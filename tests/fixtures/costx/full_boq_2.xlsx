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ade Breakup" sheetId="1" r:id="rId1"/>
    <sheet name="Trade Breakup Showing Markup" sheetId="2" r:id="rId3"/>
    <sheet name="Trade Summary" sheetId="3" r:id="rId4"/>
  </sheets>
  <calcPr fullCalcOnLoad="1"/>
</workbook>
</file>

<file path=xl/sharedStrings.xml><?xml version="1.0" encoding="utf-8"?>
<sst xmlns="http://schemas.openxmlformats.org/spreadsheetml/2006/main" count="2129" uniqueCount="2129">
  <si>
    <t>Bill Ref.</t>
  </si>
  <si>
    <t>Description</t>
  </si>
  <si>
    <t>Quantity</t>
  </si>
  <si>
    <t>Unit</t>
  </si>
  <si>
    <t>Rate</t>
  </si>
  <si>
    <t>Total</t>
  </si>
  <si>
    <t>GFA</t>
  </si>
  <si>
    <t>FECA</t>
  </si>
  <si>
    <t>Ground Floor</t>
  </si>
  <si>
    <t>m2</t>
  </si>
  <si>
    <t>Level 1</t>
  </si>
  <si>
    <t>UCA</t>
  </si>
  <si>
    <t>External Area</t>
  </si>
  <si>
    <t>Demolition</t>
  </si>
  <si>
    <t>GENERALLY</t>
  </si>
  <si>
    <t xml:space="preserve"> 1/1A</t>
  </si>
  <si>
    <t>Tenderers are referred to the Specification for the full particulars of workmanship and materials, and the quantities herein provided shall be read in conjunction with the drawings</t>
  </si>
  <si>
    <t>Note</t>
  </si>
  <si>
    <t xml:space="preserve"> 1/1B</t>
  </si>
  <si>
    <t>This Builders Bill of Quantities has not been measured in accordance with the Australian Standard Method of Measurement of Building Works, 5th Edition</t>
  </si>
  <si>
    <t xml:space="preserve"> 1/1C</t>
  </si>
  <si>
    <t>The Tenderers should carefully check site to assess the extent of Demolition required for this contract</t>
  </si>
  <si>
    <t>REFERENCES</t>
  </si>
  <si>
    <t>Refer to drawing no. A.058-A for Demolition Plan</t>
  </si>
  <si>
    <t>PRICES</t>
  </si>
  <si>
    <t>Prices shall include for:</t>
  </si>
  <si>
    <t xml:space="preserve"> 1/1D</t>
  </si>
  <si>
    <t>Demolition of work</t>
  </si>
  <si>
    <t xml:space="preserve"> 1/1E</t>
  </si>
  <si>
    <t>Taking down, removal and cartage from site</t>
  </si>
  <si>
    <t xml:space="preserve"> 1/1F</t>
  </si>
  <si>
    <t>Cleaning up on completion</t>
  </si>
  <si>
    <t xml:space="preserve"> 1/1G</t>
  </si>
  <si>
    <t>Protecting adjoining surfaces</t>
  </si>
  <si>
    <t xml:space="preserve"> 1/1H</t>
  </si>
  <si>
    <t>Making good to work disturbed</t>
  </si>
  <si>
    <t xml:space="preserve"> 1/1J</t>
  </si>
  <si>
    <t>Recycling waste where required</t>
  </si>
  <si>
    <t xml:space="preserve"> 1/1K</t>
  </si>
  <si>
    <t>Tip fees</t>
  </si>
  <si>
    <t xml:space="preserve"> 1/1L</t>
  </si>
  <si>
    <t>Environmental and sustainable requirements detailed in the specification</t>
  </si>
  <si>
    <t>GENERAL ITEMS</t>
  </si>
  <si>
    <t xml:space="preserve"> 1/1M</t>
  </si>
  <si>
    <t>Allow for site visit to assess the nature and extent of demolition</t>
  </si>
  <si>
    <t>Item</t>
  </si>
  <si>
    <t xml:space="preserve"> D/10A</t>
  </si>
  <si>
    <t>Allow to remove all vegetation within the demolition zone for the new buildings and associated paths including those not specifically noted on the drawings</t>
  </si>
  <si>
    <t xml:space="preserve"> 1/1N</t>
  </si>
  <si>
    <t>Allow to retain and protect existing works / premises on site and adjoining properties</t>
  </si>
  <si>
    <t xml:space="preserve"> 1/2A</t>
  </si>
  <si>
    <t>Allow for provision and removal of temporary fencing / screens, hoardings, weather / dust protection measures, security, temporary access, warning notices and the like</t>
  </si>
  <si>
    <t xml:space="preserve"> 1/2B</t>
  </si>
  <si>
    <t>Allow for all temporary shoring, propping, supports and the like (other than designed shoring and propping measured following)</t>
  </si>
  <si>
    <t xml:space="preserve"> 1/2C</t>
  </si>
  <si>
    <t>Allow for all required credits for recovered materials</t>
  </si>
  <si>
    <t xml:space="preserve"> 1/2D</t>
  </si>
  <si>
    <t>Allow for giving notice of any unanticipated hazardous materials or conditions found on site</t>
  </si>
  <si>
    <t xml:space="preserve"> 1/2E</t>
  </si>
  <si>
    <t>Allow for giving notice of and providing facilities for inspection</t>
  </si>
  <si>
    <t xml:space="preserve"> 1/2F</t>
  </si>
  <si>
    <t>Allow for compliance with quality assurance requirements</t>
  </si>
  <si>
    <t xml:space="preserve"> 1/2G</t>
  </si>
  <si>
    <t>Allow for submissions including work plans, data and dilapidation records</t>
  </si>
  <si>
    <t xml:space="preserve"> 1/2H</t>
  </si>
  <si>
    <t>Allow for traffic management measures</t>
  </si>
  <si>
    <t xml:space="preserve"> 1/2J</t>
  </si>
  <si>
    <t>Allow for all costs associated with meeting local authority requirements and obtaining approvals</t>
  </si>
  <si>
    <t xml:space="preserve"> D/11C</t>
  </si>
  <si>
    <t xml:space="preserve">Allow to carry out works in accordance with waste management plan </t>
  </si>
  <si>
    <t xml:space="preserve"> D/8D</t>
  </si>
  <si>
    <t xml:space="preserve">Allow to remove all redundant (visible and non visible) works; footings, slabs, retaining walls, pits etc including redundant inground services </t>
  </si>
  <si>
    <t xml:space="preserve"> D/8H</t>
  </si>
  <si>
    <t>Allow to remove redundant stormwater lines, grates and pits.</t>
  </si>
  <si>
    <t xml:space="preserve"> D/9E</t>
  </si>
  <si>
    <t>Allow for the removal of all Asbestos and Hazardous Material in accordance with the requirements of BCA, Work Cover, Australian Standards and local authorities.</t>
  </si>
  <si>
    <t xml:space="preserve"> D/9F</t>
  </si>
  <si>
    <t>Allow for the removal of all Contaminated Material in accordance with the requirements of the local authorities.</t>
  </si>
  <si>
    <t xml:space="preserve"> D/9D</t>
  </si>
  <si>
    <t>Allow to remove all debris from site including the payment of all fees etc.</t>
  </si>
  <si>
    <t xml:space="preserve"> D/10C</t>
  </si>
  <si>
    <t>Allow to make good all disturbed works</t>
  </si>
  <si>
    <t>NOTES AND ASSUMPTIONS</t>
  </si>
  <si>
    <t xml:space="preserve"> D/3H</t>
  </si>
  <si>
    <t>The following measurement of demolition works are INDICATIVE ONLY and it is the contractors responsibility to inspect the site and establish the full extent of Demolition Works.</t>
  </si>
  <si>
    <t>DEMOLITION</t>
  </si>
  <si>
    <t>Demolish existing pergola</t>
  </si>
  <si>
    <t>Demolish existing concrete pad</t>
  </si>
  <si>
    <t>SERVICES</t>
  </si>
  <si>
    <t xml:space="preserve"> D/9A</t>
  </si>
  <si>
    <t>Allow to remove Electrical Services as required</t>
  </si>
  <si>
    <t xml:space="preserve"> D/9B</t>
  </si>
  <si>
    <t>Allow to remove Hydraulic Services as required</t>
  </si>
  <si>
    <t xml:space="preserve"> D/9C</t>
  </si>
  <si>
    <t>Allow to remove Mechanical Services as required</t>
  </si>
  <si>
    <t>Groundworks</t>
  </si>
  <si>
    <t xml:space="preserve"> 2/1A</t>
  </si>
  <si>
    <t xml:space="preserve"> 2/1B</t>
  </si>
  <si>
    <t>REFERENCE</t>
  </si>
  <si>
    <t>Refer to "PSM5181002R REV1" Geotechnical Report for Soil Description at site</t>
  </si>
  <si>
    <t>Refer to "88353Cumberland Council_Auburn Basketball CentreV1" for existing ground elevation at site</t>
  </si>
  <si>
    <t>Refer to Document "R02RAPAuburn Basketball CentreRev 1" for contamination report</t>
  </si>
  <si>
    <t>Refer to following civil drawing series: C102-B for "Sediment and Erosion Control Plan"</t>
  </si>
  <si>
    <t>Refer to following structural drawing series: S100 for "General Notes, Footing Plan and Footing &amp; Ground Floor Slab Details"</t>
  </si>
  <si>
    <t xml:space="preserve"> 2/1C</t>
  </si>
  <si>
    <t>Getting out, levelling, grading, trimming and forming batters</t>
  </si>
  <si>
    <t xml:space="preserve"> 2/1D</t>
  </si>
  <si>
    <t>Keeping sides plumb and to shape</t>
  </si>
  <si>
    <t xml:space="preserve"> 2/1E</t>
  </si>
  <si>
    <t>Scabbling faces of excavation as required</t>
  </si>
  <si>
    <t xml:space="preserve"> 2/1F</t>
  </si>
  <si>
    <t>Backfilling, ramming solid</t>
  </si>
  <si>
    <t xml:space="preserve"> 2/1G</t>
  </si>
  <si>
    <t>Processing excavated materials suitable for reuse as fill</t>
  </si>
  <si>
    <t xml:space="preserve"> 2/1H</t>
  </si>
  <si>
    <t>Loading and disposal of surplus spoil</t>
  </si>
  <si>
    <t xml:space="preserve"> 2/1J</t>
  </si>
  <si>
    <t>Importing fill where required</t>
  </si>
  <si>
    <t xml:space="preserve"> 2/1K</t>
  </si>
  <si>
    <t>All double handling required</t>
  </si>
  <si>
    <t xml:space="preserve"> 2/1L</t>
  </si>
  <si>
    <t>All costs associated with forming and maintaining stripped material stockpiles</t>
  </si>
  <si>
    <t xml:space="preserve"> 2/1M</t>
  </si>
  <si>
    <t xml:space="preserve"> 2/1N</t>
  </si>
  <si>
    <t>The Contractor is deemed to have included for material as found</t>
  </si>
  <si>
    <t xml:space="preserve"> 2/1P</t>
  </si>
  <si>
    <t xml:space="preserve"> 2/2A</t>
  </si>
  <si>
    <t xml:space="preserve"> 2/2B</t>
  </si>
  <si>
    <t xml:space="preserve">Allow for providing samples </t>
  </si>
  <si>
    <t xml:space="preserve"> 2/2C</t>
  </si>
  <si>
    <t xml:space="preserve">Allow for testing </t>
  </si>
  <si>
    <t xml:space="preserve"> 2/2D</t>
  </si>
  <si>
    <t xml:space="preserve">Allow for contractors submissions </t>
  </si>
  <si>
    <t xml:space="preserve"> 2/2E</t>
  </si>
  <si>
    <t>Allow for inspection of site</t>
  </si>
  <si>
    <t xml:space="preserve"> 2/2F</t>
  </si>
  <si>
    <t>Allow for complying with relevant Acts, By-laws and regulations relating to excavation, planking and strutting</t>
  </si>
  <si>
    <t xml:space="preserve"> 2/2G</t>
  </si>
  <si>
    <t xml:space="preserve"> 2/2H</t>
  </si>
  <si>
    <t>Allow for locating and marking all existing services including disconnection of redundant services not otherwise allowed for and protection of services to be retained</t>
  </si>
  <si>
    <t xml:space="preserve"> 2/2J</t>
  </si>
  <si>
    <t>Allow for a dilapidation survey if required, monitoring of existing buildings, pavements and structures close to work areas, controlling possible damage and making good damage on completion</t>
  </si>
  <si>
    <t xml:space="preserve"> 2/2K</t>
  </si>
  <si>
    <t>Allow for keeping excavations free from rain and percolating water by pumping, bailing and other means</t>
  </si>
  <si>
    <t xml:space="preserve"> 2/2L</t>
  </si>
  <si>
    <t>Allow for provision and removal of temporary fencing, hoardings warning notices and the like</t>
  </si>
  <si>
    <t xml:space="preserve"> 2/2M</t>
  </si>
  <si>
    <t xml:space="preserve"> 2/2N</t>
  </si>
  <si>
    <t>Allow for any shoring, planking and strutting deemed necessary to retain sides of excavations but not measured following</t>
  </si>
  <si>
    <t xml:space="preserve"> 2/3A</t>
  </si>
  <si>
    <t xml:space="preserve">Allow for benching prior to bulk fill on surfaces exceeding 1:4 slope </t>
  </si>
  <si>
    <t xml:space="preserve"> 2/3B</t>
  </si>
  <si>
    <t>Allow for any working space excavations deemed necessary but not measured following</t>
  </si>
  <si>
    <t xml:space="preserve"> 2/3C</t>
  </si>
  <si>
    <t>Allow for any safety covers over holes and other OH&amp;S requirements</t>
  </si>
  <si>
    <t xml:space="preserve"> 2/3D</t>
  </si>
  <si>
    <t xml:space="preserve">Allow for geotechnical investigations, monitoring and reports </t>
  </si>
  <si>
    <t>No working area were considered for detailed excavation</t>
  </si>
  <si>
    <t>Contractor to determine suitability of existing soil to be used as fill</t>
  </si>
  <si>
    <t>Earthwork quantities have been calculated on AGTEK 3D Software. Refer to images provided for reference.</t>
  </si>
  <si>
    <t>SITE CLEARANCE</t>
  </si>
  <si>
    <t>Removal of Water</t>
  </si>
  <si>
    <t>Site restoration works to make good areas of site or outside site boundary to existing condition after completion of works if required</t>
  </si>
  <si>
    <t>Stripping of top soil (100mm)[Area: 5574m2]</t>
  </si>
  <si>
    <t>m3</t>
  </si>
  <si>
    <t>EROSION AND SEDIMENT CONTROL</t>
  </si>
  <si>
    <t>Sediment Fence composed of 1.5m star pickets at maximum of 2.5m centres, self supporting geotextile and 150x100mm trench with compacted backfill and on rock, set into surface concrete (NB: refer detail to drawing no. C102-B)</t>
  </si>
  <si>
    <t>m</t>
  </si>
  <si>
    <t>Drainage swale - 1200mm wide grass lined swale drain with 1%-5% drain gradient (NB: refer detail to drawing no. C102-B)</t>
  </si>
  <si>
    <t>Sandbag Check Dam (NB: refer detail to drawing no. C102-B)</t>
  </si>
  <si>
    <t>no</t>
  </si>
  <si>
    <t>Stabilised Temporary Site Access (NB: refer detail to drawing no. C102-B)</t>
  </si>
  <si>
    <t>SITE PREPARATION</t>
  </si>
  <si>
    <t>Trim and Compact</t>
  </si>
  <si>
    <t xml:space="preserve">Trim and compact building pads to level, carpark and roads to final level allowing for falls and cross falls </t>
  </si>
  <si>
    <t>CUT AND FILL</t>
  </si>
  <si>
    <t>Bulk excavation over site to reduced level at elev. 11.54m</t>
  </si>
  <si>
    <t>Selected fill won from site</t>
  </si>
  <si>
    <t>Imported fill</t>
  </si>
  <si>
    <t>DETAILED EXCAVATION</t>
  </si>
  <si>
    <t>Footing</t>
  </si>
  <si>
    <t>Detailed excavation to pile cap footing</t>
  </si>
  <si>
    <t>Detailed excavation to strip footing</t>
  </si>
  <si>
    <t>Detailed excavation to retaining wall footing</t>
  </si>
  <si>
    <t>Lift Pit</t>
  </si>
  <si>
    <t>Detailed excavation to lift pit</t>
  </si>
  <si>
    <t>DISPOSAL</t>
  </si>
  <si>
    <t>Disposal of stripped soil (NB: Assumed stripped soil to be disposed off site)</t>
  </si>
  <si>
    <t>Piling</t>
  </si>
  <si>
    <t xml:space="preserve"> 3/1A</t>
  </si>
  <si>
    <t xml:space="preserve"> 3/1B</t>
  </si>
  <si>
    <t xml:space="preserve"> 3/1C</t>
  </si>
  <si>
    <t>All necessary excavation required for movement of the piling/boring rig about the site</t>
  </si>
  <si>
    <t xml:space="preserve"> 3/1D</t>
  </si>
  <si>
    <t>Environmental and sustainable requirements detailed in the Tender documents (if any)</t>
  </si>
  <si>
    <t xml:space="preserve"> 3/1E</t>
  </si>
  <si>
    <t>Prices for concrete and reinforcement shall include for all prices clauses items noted in those trade sections that may be applicable to the following works</t>
  </si>
  <si>
    <t xml:space="preserve"> 3/1F</t>
  </si>
  <si>
    <t>Prices for piling measured following are to include for any additional costs associated with staging with bulk earthworks if required</t>
  </si>
  <si>
    <t xml:space="preserve"> 3/1G</t>
  </si>
  <si>
    <t>Allow for monitoring adjoining properties or piers during the works for damage</t>
  </si>
  <si>
    <t xml:space="preserve"> 3/1H</t>
  </si>
  <si>
    <t>Allow for giving notice of and providing facilities for inspections</t>
  </si>
  <si>
    <t xml:space="preserve"> 3/1J</t>
  </si>
  <si>
    <t xml:space="preserve"> 3/1K</t>
  </si>
  <si>
    <t>Allow for all testing in accordance with Engineers requirements</t>
  </si>
  <si>
    <t xml:space="preserve"> 3/2A</t>
  </si>
  <si>
    <t>Allow for providing samples of materials or finishes as required</t>
  </si>
  <si>
    <t xml:space="preserve"> 3/2B</t>
  </si>
  <si>
    <t>Allow for setting out</t>
  </si>
  <si>
    <t xml:space="preserve"> 3/2C</t>
  </si>
  <si>
    <t>Allow for records of data and other contractors submissions</t>
  </si>
  <si>
    <t xml:space="preserve"> 3/2D</t>
  </si>
  <si>
    <t>Allow for boodler to boring rig where required</t>
  </si>
  <si>
    <t xml:space="preserve"> 3/2E</t>
  </si>
  <si>
    <t>Allow for providing safety covers to open excavations or other OH&amp;S requirements</t>
  </si>
  <si>
    <t xml:space="preserve"> 3/2F</t>
  </si>
  <si>
    <t>Allow for all foundation material to be monitored and certified by a suitably qualified Geotechnical Engineer prior to installation of reinforcement and concrete</t>
  </si>
  <si>
    <t xml:space="preserve"> 3/2G</t>
  </si>
  <si>
    <t>Allow for proving holes at base of footings if required by the contractors Geotechnical Engineer</t>
  </si>
  <si>
    <t>Allow for making good/levelling the bulk earthworks following concrete pile works if necessary</t>
  </si>
  <si>
    <t>SCREW PILE</t>
  </si>
  <si>
    <t>SP1 - Screw pile, 150 kN compression, 15 kN tension, Lateral load: ± 5 kN</t>
  </si>
  <si>
    <t>SP2 - Screw pile, 200 kN compression, 20 kN tension, Lateral load: ± 10 kN</t>
  </si>
  <si>
    <t>SP3 - Screw pile, 250 kN compression, 25 kN tension, Lateral load: ± 15 kN</t>
  </si>
  <si>
    <t>SP4 - Screw pile, 300 kN compression, 30 kN tension, Lateral load: ± 25 kN</t>
  </si>
  <si>
    <t>Concrete</t>
  </si>
  <si>
    <t xml:space="preserve"> 5/1A</t>
  </si>
  <si>
    <t xml:space="preserve"> 5/1B</t>
  </si>
  <si>
    <t>Refer to following sections of Auburn Basketball Centre "Architectural Specification" Revision A dated 21 January 2025 by Facility Design Group Architecture &amp; Construction: 0310 - Concrete - combined, 0315 - Concrete finishes, 0271 - Pavement base and subbase</t>
  </si>
  <si>
    <t>Refer to following structural drawing series: S100 for "General Notes, Footing Plan, Ground Floor Plan and Footing &amp; Ground Floor Slab Details", S200 for "Level 1 Slab details and Level 1 Concrete Stair Details", S210 for "Lower Roof Framing Plan", S300 for "Elevations and Sections"</t>
  </si>
  <si>
    <t>Refer to following architectural drawing series: A100 for "Floor Plan", A200 for "Wall Set-out Plan", A400 for "Sections", A500 for "Elevations", A700 for "Stair Details"</t>
  </si>
  <si>
    <t xml:space="preserve"> 5/1C</t>
  </si>
  <si>
    <t>Mixing, handling, hoisting, placing in position and compacting</t>
  </si>
  <si>
    <t xml:space="preserve"> 5/1D</t>
  </si>
  <si>
    <t>Pour joints / construction joints not detailed by engineer OR shown on drawings but not requiring formwork or jointing materials (eg between slab/footing and base of column/wall), including any associated scabbling</t>
  </si>
  <si>
    <t xml:space="preserve"> 5/1E</t>
  </si>
  <si>
    <t>Forming falls and/or crossfalls for drainage other than indicated below as detailed</t>
  </si>
  <si>
    <t xml:space="preserve"> 5/1F</t>
  </si>
  <si>
    <t>Making good after removal of formwork all holes for pipes, conduits and the like and casting in ends of angle brackets, lugs, frames and the like</t>
  </si>
  <si>
    <t xml:space="preserve"> 5/1G</t>
  </si>
  <si>
    <t xml:space="preserve">Additional concrete required to conform to structural and excavated tolerances     </t>
  </si>
  <si>
    <t xml:space="preserve"> 5/1H</t>
  </si>
  <si>
    <t xml:space="preserve"> 5/2A</t>
  </si>
  <si>
    <t>Allow for approval of foundation material bearing capacity by the consulting Geotechnical Engineer prior to placement of concrete</t>
  </si>
  <si>
    <t xml:space="preserve"> 5/2B</t>
  </si>
  <si>
    <t xml:space="preserve"> 5/2C</t>
  </si>
  <si>
    <t xml:space="preserve"> 5/2D</t>
  </si>
  <si>
    <t xml:space="preserve"> 5/2E</t>
  </si>
  <si>
    <t>Allow for providing samples and sample panels of materials or finishes</t>
  </si>
  <si>
    <t xml:space="preserve"> 5/2F</t>
  </si>
  <si>
    <t xml:space="preserve">Allow for contractor's submissions </t>
  </si>
  <si>
    <t xml:space="preserve"> 5/2G</t>
  </si>
  <si>
    <t>Allow for protecting finished surfaces from damage and cleaning on completion</t>
  </si>
  <si>
    <t xml:space="preserve"> 5/2H</t>
  </si>
  <si>
    <t>Allow for coordination with and attendance upon other trades for embedded items and other works associated with Concrete</t>
  </si>
  <si>
    <t>5/4J</t>
  </si>
  <si>
    <t>Allow for concrete pumping and pump visits</t>
  </si>
  <si>
    <t>5/4K</t>
  </si>
  <si>
    <t>Allow for concrete testing</t>
  </si>
  <si>
    <t xml:space="preserve"> 5/2J</t>
  </si>
  <si>
    <t>Allow for guarantees</t>
  </si>
  <si>
    <t>All Slabs measured in full thickness</t>
  </si>
  <si>
    <t>Assumed 180mm thick slab on ground to waste room</t>
  </si>
  <si>
    <t>Assumption</t>
  </si>
  <si>
    <t>CONCRETE SUPPLY SUMMARY</t>
  </si>
  <si>
    <t>32MPa, 80mm slump, 20mm max. aggregate size</t>
  </si>
  <si>
    <t>40MPa, 80mm slump, 20mm max. aggregate size</t>
  </si>
  <si>
    <t>INSITU CONCRETE</t>
  </si>
  <si>
    <t>Pile Cap Footing (32MPa, 80mm slump, 20mm max. aggregate size)</t>
  </si>
  <si>
    <t>Foundation (S104-B to S106-B)</t>
  </si>
  <si>
    <t>PC1 - 1900 x 1900 x 600mm deep pile cap footing [Number of: 1]</t>
  </si>
  <si>
    <t>PC2 - 1900 x 1900 x 600mm deep pile cap footing [Number of: 1]</t>
  </si>
  <si>
    <t>PC3 - 1900 x 1900 x 600mm deep pile cap footing [Number of: 1]</t>
  </si>
  <si>
    <t>Strip Footing (32MPa, 80mm slump, 20mm max. aggregate size)</t>
  </si>
  <si>
    <t>SF1 - 500 x 600mm deep strip footing [Length: 178]</t>
  </si>
  <si>
    <t>SF2 - 450 x 600mm deep strip footing [Length: 189]</t>
  </si>
  <si>
    <t>SF3 - 450 x 600mm deep strip footing [Length: 312]</t>
  </si>
  <si>
    <t>SF4 - 450 x 600mm deep strip footing [Length: 35]</t>
  </si>
  <si>
    <t>SF5 - 600 x 600mm deep strip footing [Length: 12]</t>
  </si>
  <si>
    <t>Retaining Wall Footing (32MPa, 80mm slump, 20mm max. aggregate size)</t>
  </si>
  <si>
    <t>1150 x 450mm deep L-shaped retaining wall footing (NB: Refer to drawing S111-B) [Length: 42]</t>
  </si>
  <si>
    <t>1350 x 450mm deep L-shaped retaining wall footing (NB: Refer to drawing S111-B) [Length: 18]</t>
  </si>
  <si>
    <t>1550 x 450mm deep L-shaped retaining wall footing (NB: Refer to drawing S111-B) [Length: 15]</t>
  </si>
  <si>
    <t>1750 x 450mm deep L-shaped retaining wall footing (NB: Refer to drawing S111-B) [Length: 16]</t>
  </si>
  <si>
    <t>1950 x 450mm deep L-shaped retaining wall footing (NB: Refer to drawing S111-B) [Length: 8]</t>
  </si>
  <si>
    <t>2150 x 450mm deep L-shaped retaining wall footing (NB: Refer to drawing S111-B) [Length: 34]</t>
  </si>
  <si>
    <t>2400 x 450mm deep L-shaped retaining wall footing (NB: Refer to drawing S111-B) [Length: 42]</t>
  </si>
  <si>
    <t>2450 x 550mm deep L-shaped retaining wall footing (NB: Refer to drawing S111-B) [Length: 38]</t>
  </si>
  <si>
    <t>450 x 450mm deep retaining wall footing [Length: 15]</t>
  </si>
  <si>
    <t>450 x 550mm deep retaining wall footing [Length: 15]</t>
  </si>
  <si>
    <t>250mm thick retaining wall footing [Area: 15]</t>
  </si>
  <si>
    <t>350mm thick retaining wall footing [Area: 15]</t>
  </si>
  <si>
    <t>Lift Pit Base (32MPa, 80mm slump, 20mm max. aggregate size)</t>
  </si>
  <si>
    <t>500mm thick lift pit base [Area: 8]</t>
  </si>
  <si>
    <t>Allow for 300 x 300 x 300mm deep sump pit</t>
  </si>
  <si>
    <t>Slab on Ground (32Mpa, 80mm slump, 20mm max. aggregate size)</t>
  </si>
  <si>
    <t>Ground Floor (S107-B to S109-B)</t>
  </si>
  <si>
    <t>200mm thick external slab on ground [Area: 156]</t>
  </si>
  <si>
    <t>180mm thick slab on ground [Area: 3267]</t>
  </si>
  <si>
    <t>180mm thick slab on ground to waste room (NB: Assumed) [Area: 14]</t>
  </si>
  <si>
    <t>180mm thick external slab on ground [Area: 486]</t>
  </si>
  <si>
    <t>180mm thick external ramp slab on ground [Area: 174]</t>
  </si>
  <si>
    <t>150mm thick external slab on ground [Area: 498]</t>
  </si>
  <si>
    <t>150mm thick external ramp slab on ground [Area: 41]</t>
  </si>
  <si>
    <t>600 x 600 x 500mm deep slab thickening at screw pile [Number of: 3]</t>
  </si>
  <si>
    <t>300 x 350mm deep slab edge beam [Length: 19]</t>
  </si>
  <si>
    <t>120mm deep slab on ground turn down to strip footing (NB: Refer to drawing S110-B) [Length: 674]</t>
  </si>
  <si>
    <t>300mm wide slab fold to setdown [Length: 121]</t>
  </si>
  <si>
    <t>600mm wide grated drain (NB: Refer to drawing S111-B) [Length: 9]</t>
  </si>
  <si>
    <t>40mm thick integral fall to slab on ground [Area: 262]</t>
  </si>
  <si>
    <t>Extra over labour for setdown</t>
  </si>
  <si>
    <t>Extra over labour for setdown at perimeter</t>
  </si>
  <si>
    <t>Column (40Mpa, 80mm slump, 20mm max. aggregate size)</t>
  </si>
  <si>
    <t>CC1 - 450 x 450mm column [Number of: 3]</t>
  </si>
  <si>
    <t>CC2 - 750 x 250mm column [Number of: 17]</t>
  </si>
  <si>
    <t>Suspended Slab (40MPa, 80mm slump, 20mm max. aggregate size)</t>
  </si>
  <si>
    <t>220mm thick suspended slab [Area: 17]</t>
  </si>
  <si>
    <t>Level 1 (S201-B)</t>
  </si>
  <si>
    <t>220mm thick suspended slab [Area: 242]</t>
  </si>
  <si>
    <t>240mm thick suspended slab [Area: 556]</t>
  </si>
  <si>
    <t>150mm thick bondek slab [Area: 8]</t>
  </si>
  <si>
    <t>600mm wide slab fold to setdown [Length: 47]</t>
  </si>
  <si>
    <t>40mm thick integral fall to suspended slab [Area: 128]</t>
  </si>
  <si>
    <t>Lift Shaft Top (40MPa, 80mm slump, 20mm max. aggregate size)</t>
  </si>
  <si>
    <t>Roof (S210-B)</t>
  </si>
  <si>
    <t>170mm thick lift shaft top [Area: 5]</t>
  </si>
  <si>
    <t>Hob and Kerb (32Mpa, 80mm slump, 20mm max. aggregate size)</t>
  </si>
  <si>
    <t>200 x 350mm deep concrete hob [Length: 31]</t>
  </si>
  <si>
    <t>150 x 150mm deep integral concrete kerb [Length: 82]</t>
  </si>
  <si>
    <t>300 x 150mm deep integral concrete kerb [Length: 71]</t>
  </si>
  <si>
    <t>Upstand and Hob (40Mpa, 80mm slump, 20mm max. aggregate size)</t>
  </si>
  <si>
    <t>150 x 50mm deep concrete hob [Length: 14]</t>
  </si>
  <si>
    <t>200 x 800mm deep concrete upstand [Length: 11]</t>
  </si>
  <si>
    <t xml:space="preserve"> Concrete Stair (40MPa, 80mm slump, 20mm max. aggregate size)</t>
  </si>
  <si>
    <t>Stair 1 - 2000mm width concrete stair with 300mm treads, 180mm throat thickness, 180mm riser height with 3 flights and 2 landings</t>
  </si>
  <si>
    <t>Stair 2 - 1200mm width concrete stair with 300mm treads, 180mm throat thickness, 180mm riser height with 2 flights and 1 landings</t>
  </si>
  <si>
    <t>Stair 4 - 2000mm width concrete stair with 300mm treads, 180mm throat thickness, 175mm riser height with 1 flights</t>
  </si>
  <si>
    <t>Stair 5 - 2600mm width concrete stair with 300mm treads, 180mm throat thickness, 175mm riser height with 1 flights</t>
  </si>
  <si>
    <t>Stair 6 - 1500mm width concrete stair with 300mm treads, 180mm throat thickness, 168mm riser height with 1 flights</t>
  </si>
  <si>
    <t>Stair 7 - 1500mm width concrete stair with 300mm treads, 180mm throat thickness, 168mm riser height with 1 flights</t>
  </si>
  <si>
    <t>SUNDRIES</t>
  </si>
  <si>
    <t>Concrete curing of slab in accordance with engineers requirements</t>
  </si>
  <si>
    <t>Slab on ground</t>
  </si>
  <si>
    <t>Suspended slab</t>
  </si>
  <si>
    <t>Stair treads and Landing</t>
  </si>
  <si>
    <t>Integral surface finishes as required</t>
  </si>
  <si>
    <t>Machine Float Finish</t>
  </si>
  <si>
    <t>Scored Finish</t>
  </si>
  <si>
    <t>Steel Trowelled Finish</t>
  </si>
  <si>
    <t>Broom Finish</t>
  </si>
  <si>
    <t>Steel Trowel Finish (NB: Assumed to stair treads and landings)</t>
  </si>
  <si>
    <t>Stair Treads</t>
  </si>
  <si>
    <t>Stair Landings</t>
  </si>
  <si>
    <t>Miscellaneous Items</t>
  </si>
  <si>
    <t>Sikaswell A2010-M continuous hydrophilic joint sealer</t>
  </si>
  <si>
    <t>20 x 20mm sealing compound</t>
  </si>
  <si>
    <t>3-N20 bars (600mm long) into cast in ferules central in precast wall panel (NB: Refer to drawing S202-B)</t>
  </si>
  <si>
    <t>Fully Scabble and clean construction joint to columns</t>
  </si>
  <si>
    <t>JOINTS AND ASSOCIATED ITEMS</t>
  </si>
  <si>
    <t>Isolation joint, 10mm Ableflex with sealant</t>
  </si>
  <si>
    <t>Slip joint</t>
  </si>
  <si>
    <t>Construction joint, CJ - Danley square dowels 16mm x 400mm long at 600mm centres with square dowelmaster hot dip galvanised including Sika sealant &amp; bond breaking backing tape</t>
  </si>
  <si>
    <t>Saw joint, SJ - 6mm saw cut, 35mm deep with Sika sealant</t>
  </si>
  <si>
    <t>Pour break, PB</t>
  </si>
  <si>
    <t>Key joint, KJ with bond breaker tape &amp; sealant</t>
  </si>
  <si>
    <t>BLINDING LAYER AND CONCRETE UNDERLAY</t>
  </si>
  <si>
    <t>500mm thick proof rolled subgrade with minimum 10T roller, any soft areas to be removed &amp; replaced with site won fill with a minimum depth of 300mm below the footing</t>
  </si>
  <si>
    <t>75mm thick collapsible void former and compacted subgrade</t>
  </si>
  <si>
    <t>50mm thick sand subbase layer and compacted subgrade</t>
  </si>
  <si>
    <t>20mm thick sand subbase layer and compacted subgrade</t>
  </si>
  <si>
    <t>Damproof membrane</t>
  </si>
  <si>
    <t>Formwork</t>
  </si>
  <si>
    <t xml:space="preserve"> 6/1A</t>
  </si>
  <si>
    <t xml:space="preserve"> 6/1B</t>
  </si>
  <si>
    <t>Refer to following sections of Auburn Basketball Centre "Architectural Specification" Revision A dated 21 January 2025 by Facility Design Group Architecture &amp; Construction: 0311 - Concrete formwork</t>
  </si>
  <si>
    <t xml:space="preserve"> 6/1C</t>
  </si>
  <si>
    <t>All necessary boarding, supports, erecting, framing, temporary cambering, wedging, bolts, ties, etc</t>
  </si>
  <si>
    <t xml:space="preserve"> 6/1D</t>
  </si>
  <si>
    <t>All cutting and angles</t>
  </si>
  <si>
    <t xml:space="preserve"> 6/1E</t>
  </si>
  <si>
    <t>Perforations for reinforcing bars and pipes</t>
  </si>
  <si>
    <t xml:space="preserve"> 6/1F</t>
  </si>
  <si>
    <t>Cleaning, wetting and treatment with separating agent before placing concrete</t>
  </si>
  <si>
    <t xml:space="preserve"> 6/1G</t>
  </si>
  <si>
    <t>Provision of inspection openings</t>
  </si>
  <si>
    <t xml:space="preserve"> 6/1H</t>
  </si>
  <si>
    <t>Removal of formwork</t>
  </si>
  <si>
    <t xml:space="preserve"> 6/1J</t>
  </si>
  <si>
    <t>Forming chamfered edges / corners, splayed internal angles, bevels, pencil-round edges, drip grooves and the like in beams, columns, walls, openings, slab edges, kerbs and the like</t>
  </si>
  <si>
    <t xml:space="preserve"> 6/1K</t>
  </si>
  <si>
    <t>Filling tie bolt holes</t>
  </si>
  <si>
    <t xml:space="preserve"> 6/1L</t>
  </si>
  <si>
    <t>Strutting left after removal of formwork</t>
  </si>
  <si>
    <t xml:space="preserve"> 6/1M</t>
  </si>
  <si>
    <t xml:space="preserve"> 6/2A</t>
  </si>
  <si>
    <t xml:space="preserve"> 6/2B</t>
  </si>
  <si>
    <t xml:space="preserve"> 6/2C</t>
  </si>
  <si>
    <t xml:space="preserve"> 6/2D</t>
  </si>
  <si>
    <t>Allow for catch scaffolds where propping height exceeds 5m if required (or other OH&amp;S requirements as necessary)</t>
  </si>
  <si>
    <t xml:space="preserve"> 6/2E</t>
  </si>
  <si>
    <t>Allow for working platforms around suspended slabs if required (not included in measured areas)</t>
  </si>
  <si>
    <t>Formwork less than or equal to 250mm high measured as length whereas formwork greater than 250mm high measured as area</t>
  </si>
  <si>
    <t>Formwork to footing measured, however contractor to determine whether required against ground works conditions</t>
  </si>
  <si>
    <t>Assumed Class 2 formwork to exposed surfaces and Class 5 formwork to rendered or permanently concealed surfaces</t>
  </si>
  <si>
    <t>METAL FORMWORK</t>
  </si>
  <si>
    <t>Suspended Slab</t>
  </si>
  <si>
    <t>0.75 BMT bondek to soffit with strutting height up to 3.5m high</t>
  </si>
  <si>
    <t>FORMWORK - CLASS 2</t>
  </si>
  <si>
    <t>Column</t>
  </si>
  <si>
    <t>Formwork to CC1 - 450 x 450mm column</t>
  </si>
  <si>
    <t>Formwork to CC2 - 750 x 250mm column</t>
  </si>
  <si>
    <t>Formwork to soffit with strutting height up to 3.5m high</t>
  </si>
  <si>
    <t>Edgeboard less than or equal to 250mm high to suspended slab</t>
  </si>
  <si>
    <t>Formwork to soffit with strutting height 3.5m - 4.5m high</t>
  </si>
  <si>
    <t>Formwork less than or equal to 250mm high to 600mm wide slab fold to setdown</t>
  </si>
  <si>
    <t>Slab step in soffit of slab less than or equal to 250mm high to suspended slab</t>
  </si>
  <si>
    <t>Lift Shaft Top</t>
  </si>
  <si>
    <t>Formwork to soffit with strutting height 8.5m - 9.5m high</t>
  </si>
  <si>
    <t>Edgeboard less than or equal to 250mm high to 170mm thick lift shaft top</t>
  </si>
  <si>
    <t>Upstand, Hob and Kerb</t>
  </si>
  <si>
    <t>Formwork to 200 x 350mm deep concrete hob</t>
  </si>
  <si>
    <t>Formwork to 150 x 150mm deep integral concrete kerb</t>
  </si>
  <si>
    <t>Formwork to 300 x 150mm deep integral concrete kerb</t>
  </si>
  <si>
    <t>Formwork to 150 x 50mm deep concrete hob</t>
  </si>
  <si>
    <t>Formwork to 200 x 800mm deep concrete upstand</t>
  </si>
  <si>
    <t>Concrete Stair</t>
  </si>
  <si>
    <t>Soffit to stair</t>
  </si>
  <si>
    <t>Stringer formwork</t>
  </si>
  <si>
    <t>Riser formwork</t>
  </si>
  <si>
    <t>Soffit to stair landing</t>
  </si>
  <si>
    <t>Edgeboard to stair landing less than or equal to 250mm high</t>
  </si>
  <si>
    <t>FORMWORK - CLASS 5</t>
  </si>
  <si>
    <t>Pile Cap Footing</t>
  </si>
  <si>
    <t>Formwork to PC1 - 1900 x 1900 x 600mm deep pile cap footing</t>
  </si>
  <si>
    <t>Formwork to PC2 - 1900 x 1900 x 600mm deep pile cap footing</t>
  </si>
  <si>
    <t>Formwork to PC3 - 1900 x 1900 x 600mm deep pile cap footing</t>
  </si>
  <si>
    <t>Strip Footing</t>
  </si>
  <si>
    <t>Formwork to SF1 - 500 x 600mm deep strip footing</t>
  </si>
  <si>
    <t>Formwork to SF2 - 450 x 600mm deep strip footing</t>
  </si>
  <si>
    <t>Formwork to SF3 - 450 x 600mm deep strip footing</t>
  </si>
  <si>
    <t>Formwork to SF4 - 450 x 600mm deep strip footing</t>
  </si>
  <si>
    <t>Formwork to SF5 - 600 x 600mm deep strip footing</t>
  </si>
  <si>
    <t>Retaining Wall Footing</t>
  </si>
  <si>
    <t>Formwork to 1150 x 450mm deep L-shaped retaining wall footing (NB: Refer to drawing S111-B)</t>
  </si>
  <si>
    <t>Formwork to 1350 x 450mm deep L-shaped retaining wall footing (NB: Refer to drawing S111-B)</t>
  </si>
  <si>
    <t>Formwork to 1550 x 450mm deep L-shaped retaining wall footing (NB: Refer to drawing S111-B)</t>
  </si>
  <si>
    <t>Formwork to 1750 x 450mm deep L-shaped retaining wall footing (NB: Refer to drawing S111-B)</t>
  </si>
  <si>
    <t>Formwork to 1950 x 450mm deep L-shaped retaining wall footing (NB: Refer to drawing S111-B)</t>
  </si>
  <si>
    <t>Formwork to 2150 x 450mm deep L-shaped retaining wall footing (NB: Refer to drawing S111-B)</t>
  </si>
  <si>
    <t>Formwork to 2400 x 450mm deep L-shaped retaining wall footing (NB: Refer to drawing S111-B)</t>
  </si>
  <si>
    <t>Formwork to 2450 x 550mm deep L-shaped retaining wall footing (NB: Refer to drawing S111-B)</t>
  </si>
  <si>
    <t>Formwork to 450 x 450mm deep retaining wall footing</t>
  </si>
  <si>
    <t>Formwork to 450 x 550mm deep retaining wall footing</t>
  </si>
  <si>
    <t>Formwork less than or equal to 250mm high to 250mm thick retaining wall footing</t>
  </si>
  <si>
    <t>Formwork greater than 250mm high to 350mm thick retaining wall footing</t>
  </si>
  <si>
    <t>Formwork less than or equal to 250mm high to 350mm thick retaining wall footing</t>
  </si>
  <si>
    <t>Lift Pit Base</t>
  </si>
  <si>
    <t>Formwork greater than 250mm high to 500mm thick lift pit base</t>
  </si>
  <si>
    <t>Formwork greater than 250mm high to 300 x 300 x 300mm deep sump pit</t>
  </si>
  <si>
    <t>Slab on Ground</t>
  </si>
  <si>
    <t>Edgeboard less than or equal to 250mm high to slab on ground</t>
  </si>
  <si>
    <t>Edgeboard less than or equal to 250mm high to ramp slab on ground</t>
  </si>
  <si>
    <t>Formwork greater than 250mm high to 600 x 600 x 500mm deep slab thickening at screw pile</t>
  </si>
  <si>
    <t>Formwork less than or equal to 250mm high to 300 x 350mm deep slab edge beam</t>
  </si>
  <si>
    <t>Formwork less than or equal to 250mm high to 120mm deep slab on ground turn down to strip footing (NB: Refer to drawing S110-B)</t>
  </si>
  <si>
    <t>Formwork less than or equal to 250mm high to 300mm wide slab fold to setdown</t>
  </si>
  <si>
    <t>Formwork less than or equal to 250mm high to 600mm wide grated drain</t>
  </si>
  <si>
    <t>Reinforcement</t>
  </si>
  <si>
    <t xml:space="preserve"> 7/1A</t>
  </si>
  <si>
    <t xml:space="preserve"> 7/1B</t>
  </si>
  <si>
    <t>Refer to following sections of Auburn Basketball Centre "Architectural Specification" Revision A dated 21 January 2025 by Facility Design Group Architecture &amp; Construction: 0311 - Concrete reinforcement</t>
  </si>
  <si>
    <t xml:space="preserve"> 7/1C</t>
  </si>
  <si>
    <t>Supply and delivery to site</t>
  </si>
  <si>
    <t xml:space="preserve"> 7/1D</t>
  </si>
  <si>
    <t>Cleaning, cutting, bending, fabrication and tagging</t>
  </si>
  <si>
    <t xml:space="preserve"> 7/1E</t>
  </si>
  <si>
    <t>Placing and provision of all necessary temporary fixings and supports including tie wire, chair supports, etc</t>
  </si>
  <si>
    <t xml:space="preserve"> 7/1F</t>
  </si>
  <si>
    <t>Rolling margins and waste</t>
  </si>
  <si>
    <t xml:space="preserve"> 7/1G</t>
  </si>
  <si>
    <t xml:space="preserve"> 7/1H</t>
  </si>
  <si>
    <t xml:space="preserve"> 7/1J</t>
  </si>
  <si>
    <t xml:space="preserve"> 7/1K</t>
  </si>
  <si>
    <t>Allow for producing bending schedules</t>
  </si>
  <si>
    <t xml:space="preserve"> 7/1L</t>
  </si>
  <si>
    <t>Allow for contractor's submissions</t>
  </si>
  <si>
    <t xml:space="preserve"> 7/1M</t>
  </si>
  <si>
    <t>Allow for safety capping to starter bars</t>
  </si>
  <si>
    <t xml:space="preserve"> 7/2A</t>
  </si>
  <si>
    <t xml:space="preserve">Allow for all costs associated with cathodic protection, earthing and lightning conduction </t>
  </si>
  <si>
    <t>Assumed REO rate 150kg/m3 for stair on ground</t>
  </si>
  <si>
    <t>Splicing, trimmer bars and wastage not considered</t>
  </si>
  <si>
    <t>REINFORCEMENT SUPPLY SUMMARY</t>
  </si>
  <si>
    <t>Total bar reinforcement (Measured Net)</t>
  </si>
  <si>
    <t>t</t>
  </si>
  <si>
    <t>Total bar reinforcement (By Ratio Net)</t>
  </si>
  <si>
    <t>Total 3-L11 trench mesh reinforcement to slab on ground</t>
  </si>
  <si>
    <t>Total SL81 mesh reinforcement to suspended slab</t>
  </si>
  <si>
    <t>Total SL92 mesh reinforcement to slab on ground</t>
  </si>
  <si>
    <t>Total SL102 mesh reinforcement to slab on ground</t>
  </si>
  <si>
    <t>BAR REINFORCEMENT (MEASURED)</t>
  </si>
  <si>
    <t>Bar reinforcement to PC1 - 1900 x 1900 x 600mm deep pile cap footing</t>
  </si>
  <si>
    <t>Bar reinforcement to PC2 - 1900 x 1900 x 600mm deep pile cap footing</t>
  </si>
  <si>
    <t>Bar reinforcement to PC3 - 1900 x 1900 x 600mm deep pile cap footing</t>
  </si>
  <si>
    <t>Bar reinforcement to SF1 - 500 x 600mm deep strip footing</t>
  </si>
  <si>
    <t>Bar reinforcement to SF2 - 450 x 600mm deep strip footing</t>
  </si>
  <si>
    <t>Bar reinforcement to SF3 - 450 x 600mm deep strip footing</t>
  </si>
  <si>
    <t>Bar reinforcement to SF4 - 450 x 600mm deep strip footing</t>
  </si>
  <si>
    <t>Bar reinforcement to SF5 - 600 x 600mm deep strip footing</t>
  </si>
  <si>
    <t>Bar reinforcement to 1150 x 450mm deep L-shaped retaining wall footing</t>
  </si>
  <si>
    <t>Bar reinforcement to 1350 x 450mm deep L-shaped retaining wall footing</t>
  </si>
  <si>
    <t>Bar reinforcement to 1550 x 450mm deep L-shaped retaining wall footing</t>
  </si>
  <si>
    <t>Bar reinforcement to 1750 x 450mm deep L-shaped retaining wall footing</t>
  </si>
  <si>
    <t>Bar reinforcement to 1950 x 450mm deep L-shaped retaining wall footing</t>
  </si>
  <si>
    <t>Bar reinforcement to 2150 x 450mm deep L-shaped retaining wall footing</t>
  </si>
  <si>
    <t>Bar reinforcement to 2400 x 450mm deep L-shaped retaining wall footing</t>
  </si>
  <si>
    <t>Bar reinforcement to 2450 x 550mm deep L-shaped retaining wall footing</t>
  </si>
  <si>
    <t>Bar reinforcement to 450 x 450mm deep retaining wall footing</t>
  </si>
  <si>
    <t>Bar reinforcement to 450 x 550mm deep retaining wall footing</t>
  </si>
  <si>
    <t>Bar reinforcement to 250mm thick retaining wall footing</t>
  </si>
  <si>
    <t>Bar reinforcement to 350mm thick retaining wall footing</t>
  </si>
  <si>
    <t>Bar reinforcement to 500mm thick lift pit base</t>
  </si>
  <si>
    <t>Bar reinforcement to slab on ground</t>
  </si>
  <si>
    <t>Bar reinforcement to 600 x 600 x 500mm deep slab thickening at screw pile</t>
  </si>
  <si>
    <t>Bar reinforcement to 300 x 350mm deep slab edge beam</t>
  </si>
  <si>
    <t>Bar reinforcement to slab on ground fold</t>
  </si>
  <si>
    <t>Bar reinforcement to 600mm wide grated drain</t>
  </si>
  <si>
    <t>Bar reinforcement to CC1 - 450 x 450mm column</t>
  </si>
  <si>
    <t>Bar reinforcement to CC2 - 750 x 250mm column</t>
  </si>
  <si>
    <t>Bar reinforcement to suspended slab</t>
  </si>
  <si>
    <t>Bar reinforcement to suspended slab fold and soffit step</t>
  </si>
  <si>
    <t>Bar reinforcement to suspended slab penetration and re-entrant corner</t>
  </si>
  <si>
    <t>Bar reinforcement to lift shaft top</t>
  </si>
  <si>
    <t xml:space="preserve">Upstand, Hob and Kerb </t>
  </si>
  <si>
    <t>Bar reinforcement to 200 x 350mm deep concrete hob</t>
  </si>
  <si>
    <t>Bar reinforcement to 150 x 150mm deep integral concrete kerb</t>
  </si>
  <si>
    <t>Bar reinforcement to 300 x 150mm deep integral concrete kerb</t>
  </si>
  <si>
    <t>Bar reinforcement to 150 x 50mm deep concrete hob</t>
  </si>
  <si>
    <t>Bar reinforcement to 200 x 800mm deep concrete upstand</t>
  </si>
  <si>
    <t>Bar reinforcement to Stair 1 - 2000mm width concrete stair with 300mm treads, 180mm throat thickness, 180mm riser height with 3 flights and 2 landings</t>
  </si>
  <si>
    <t>Bar reinforcement to Stair 2 - 1200mm width concrete stair with 300mm treads, 180mm throat thickness, 180mm riser height with 2 flights and 1 landings</t>
  </si>
  <si>
    <t>BAR REINFORCEMENT (BY RATIO)</t>
  </si>
  <si>
    <t xml:space="preserve">Reinforcement to Stair 4 - 2000mm width concrete stair with 300mm treads, 180mm throat thickness, 175mm riser height with 1 flights (NB: Assumed REO rate 150kg/m3 for stair on ground) </t>
  </si>
  <si>
    <t xml:space="preserve">Reinforcement to Stair 5 - 2600mm width concrete stair with 300mm treads, 180mm throat thickness, 175mm riser height with 1 flights (NB: Assumed REO rate 150kg/m3 for stair on ground) </t>
  </si>
  <si>
    <t xml:space="preserve">Reinforcement to Stair 6 - 1500mm width concrete stair with 300mm treads, 180mm throat thickness, 168mm riser height with 1 flights (NB: Assumed REO rate 150kg/m3 for stair on ground) </t>
  </si>
  <si>
    <t xml:space="preserve">Reinforcement to Stair 7 - 1500mm width concrete stair with 300mm treads, 180mm throat thickness, 168mm riser height with 1 flights (NB: Assumed REO rate 150kg/m3 for stair on ground) </t>
  </si>
  <si>
    <t>MESH REINFORCEMENT</t>
  </si>
  <si>
    <t>SL102 mesh top and bottom reinforcement to 200mm thick external slab on ground</t>
  </si>
  <si>
    <t>SL102 mesh top and bottom reinforcement to 180mm thick external slab on ground</t>
  </si>
  <si>
    <t>SL102 mesh top and bottom reinforcement to 180mm thick external ramp slab on ground</t>
  </si>
  <si>
    <t>SL92 mesh top reinforcement to 150mm thick external slab on ground</t>
  </si>
  <si>
    <t>SL92 mesh top and bottom reinforcement to 150mm thick external ramp slab on ground</t>
  </si>
  <si>
    <t>3-L11 trench mesh reinforcement to 300 x 350mm deep slab edge beam</t>
  </si>
  <si>
    <t>SL81 mesh top and bottom reinforcement to 150mm thick bondek slab</t>
  </si>
  <si>
    <t>SL81 mesh top and bottom reinforcement to 170mm thick lift shaft top</t>
  </si>
  <si>
    <t>Precast Concrete</t>
  </si>
  <si>
    <t xml:space="preserve"> 9/1A</t>
  </si>
  <si>
    <t xml:space="preserve"> 9/1B</t>
  </si>
  <si>
    <t>Refer to following sections of Auburn Basketball Centre "Architectural Specification" Revision A dated 21 January 2025 by Facility Design Group Architecture &amp; Construction: 0321 Precast Concrete</t>
  </si>
  <si>
    <t>Refer to following structural drawing series: S100 for "General Notes, Footing Plan, Ground Floor Plan and Footing &amp; Ground Floor Slab Details", S200 for "Level 1 Slab details and Level 1 Concrete Stair Details", S210 for "Lower Roof Framing Plan", S300 for "Elevations and Sections and Precast Details"</t>
  </si>
  <si>
    <t>Refer to following architectural drawing series: A100 for "Floor Plan", A200 for "Wall Set-out Plan", A400 for "Sections", A500 for "Elevations"</t>
  </si>
  <si>
    <t xml:space="preserve"> 9/1C</t>
  </si>
  <si>
    <t>Formwork including rebates, grooves etc</t>
  </si>
  <si>
    <t xml:space="preserve"> 9/1D</t>
  </si>
  <si>
    <t xml:space="preserve"> 9/1E</t>
  </si>
  <si>
    <t>Filling of pockets</t>
  </si>
  <si>
    <t xml:space="preserve"> 9/1F</t>
  </si>
  <si>
    <t>Surface finishes</t>
  </si>
  <si>
    <t xml:space="preserve"> 9/1G</t>
  </si>
  <si>
    <t>Fittings or items cast into units</t>
  </si>
  <si>
    <t xml:space="preserve"> 9/1H</t>
  </si>
  <si>
    <t>Shims and packers</t>
  </si>
  <si>
    <t xml:space="preserve"> 9/1J</t>
  </si>
  <si>
    <t>Temporary propping and bracing</t>
  </si>
  <si>
    <t xml:space="preserve"> 9/1K</t>
  </si>
  <si>
    <t>All costs associated with off-site manufacture and transport</t>
  </si>
  <si>
    <t xml:space="preserve"> 9/1L</t>
  </si>
  <si>
    <t xml:space="preserve"> 9/1M</t>
  </si>
  <si>
    <t xml:space="preserve"> 9/1N</t>
  </si>
  <si>
    <t xml:space="preserve"> 9/1P</t>
  </si>
  <si>
    <t>Allow for shop drawings and other submissions</t>
  </si>
  <si>
    <t xml:space="preserve"> 9/1Q</t>
  </si>
  <si>
    <t>Allow for required design work</t>
  </si>
  <si>
    <t xml:space="preserve"> 9/2A</t>
  </si>
  <si>
    <t xml:space="preserve">Allow for providing samples, sample units, panels and sample surface finishes </t>
  </si>
  <si>
    <t xml:space="preserve"> 9/2B</t>
  </si>
  <si>
    <t>Allow for all testing in accordance with Engineers and Architects requirements</t>
  </si>
  <si>
    <t xml:space="preserve"> 9/2C</t>
  </si>
  <si>
    <t>Allow for prototype assembly if required</t>
  </si>
  <si>
    <t xml:space="preserve"> 9/2D</t>
  </si>
  <si>
    <t>Allow for marking and certification of manufactured panels</t>
  </si>
  <si>
    <t xml:space="preserve"> 9/2E</t>
  </si>
  <si>
    <t>Allow for any necessary additional reinforcement or strong backs for temporary strengthening during lifting</t>
  </si>
  <si>
    <t xml:space="preserve"> 9/2F</t>
  </si>
  <si>
    <t>Allow for any recessed cast-in eyes, lugs and the like as required for lifting including infilling on completion</t>
  </si>
  <si>
    <t xml:space="preserve"> 9/2G</t>
  </si>
  <si>
    <t>Allow for curing in accordance with engineers requirements</t>
  </si>
  <si>
    <t xml:space="preserve"> 9/2H</t>
  </si>
  <si>
    <t xml:space="preserve">Allow for protecting during manufacture and storage </t>
  </si>
  <si>
    <t xml:space="preserve"> 9/2J</t>
  </si>
  <si>
    <t>Allow for protecting and cleaning on completion of installation</t>
  </si>
  <si>
    <t xml:space="preserve"> 9/2K</t>
  </si>
  <si>
    <t>Allow for providing dowel location templates</t>
  </si>
  <si>
    <t xml:space="preserve"> 9/2L</t>
  </si>
  <si>
    <t xml:space="preserve">Allow for warranties </t>
  </si>
  <si>
    <t>PRECAST WALL</t>
  </si>
  <si>
    <t>200mm thick precast concrete panel (NB: Refer to precast panel details S312-B)</t>
  </si>
  <si>
    <t>Extra over for raking cutting to top of precast panel</t>
  </si>
  <si>
    <t>Extra over for curve cutting to top of precast panel</t>
  </si>
  <si>
    <t>Structural Steel</t>
  </si>
  <si>
    <t>12/1A</t>
  </si>
  <si>
    <t>12/1B</t>
  </si>
  <si>
    <t>Refer to following sections of Auburn Basketball Centre "Architectural Specification" Revision A dated 21 January 2025 by Facility Design Group Architecture &amp; Construction: 0341 - Structural Steelwork, 0341p - Lysaght purlins and girts in structural steelwork, 0342 - Light Steel framing, 0344 - Steel - hot-dio galvanized coatings, 0345b - Steel - protective paint coatings, 0345p - Dulux steel protective paint coatings</t>
  </si>
  <si>
    <t>Refer to following architectural drawing series: A.100 for "Floor Plan", A.400 for "Typical Sections", A.500 for "Elevations", A.700 for "Room and Stair Details"</t>
  </si>
  <si>
    <t>Refer to following structural drawing: S107 to S109 for "Ground Floor Slab Plan", S110 to S112 for "Footing &amp; Ground Floor Slab Details", S201 for "Level 01 Slab Profile Plan", S202 for " Level 01 Slab Details", S204 for "Level 01 Steelwork Stair Details", S210 to S303 for " Framing Plan", S304 to S306 for "Framing Elevations and Sections", S308 to S311 for "Steelwork Details"</t>
  </si>
  <si>
    <t>12/1C</t>
  </si>
  <si>
    <t>All shop fabrication work including cutting, notching, milling, machining, drilling, slotted holes, bolting, riveting, welding, grinding and incidental labours</t>
  </si>
  <si>
    <t>12/1D</t>
  </si>
  <si>
    <t>Marking, delivery, unloading, hoisting, erecting and fixing</t>
  </si>
  <si>
    <t>12/1E</t>
  </si>
  <si>
    <t>Cutting to dead lengths, notching and machining ends and bearings</t>
  </si>
  <si>
    <t>12/1F</t>
  </si>
  <si>
    <t>Site cutting and welding</t>
  </si>
  <si>
    <t>12/1G</t>
  </si>
  <si>
    <t>Touching up surface treatment where required</t>
  </si>
  <si>
    <t>12/1H</t>
  </si>
  <si>
    <t>Bolts including nuts and washers</t>
  </si>
  <si>
    <t>12/1J</t>
  </si>
  <si>
    <t>12/1K</t>
  </si>
  <si>
    <t>12/1L</t>
  </si>
  <si>
    <t>12/1M</t>
  </si>
  <si>
    <t>Allow for preparation of shop drawings</t>
  </si>
  <si>
    <t>12/2A</t>
  </si>
  <si>
    <t>Allow for testing in accordance with the Engineer's requirements</t>
  </si>
  <si>
    <t>12/2B</t>
  </si>
  <si>
    <t xml:space="preserve">Allow for providing samples of materials or finishes </t>
  </si>
  <si>
    <t>12/2C</t>
  </si>
  <si>
    <t>Allow for obtaining manufacturers certificates of inspections</t>
  </si>
  <si>
    <t>12/2D</t>
  </si>
  <si>
    <t xml:space="preserve">Allow for special trial shop assembly where required </t>
  </si>
  <si>
    <t>12/2E</t>
  </si>
  <si>
    <t xml:space="preserve">Allow for necessary temporary bracing, propping and the like required for erection and removing on completion </t>
  </si>
  <si>
    <t>12/2F</t>
  </si>
  <si>
    <t>Allow for inspection / testing of welds including the use of any special equipment</t>
  </si>
  <si>
    <t>12/2G</t>
  </si>
  <si>
    <t>12/2H</t>
  </si>
  <si>
    <t xml:space="preserve">Allow for identification marks to steel </t>
  </si>
  <si>
    <t>STRUCTURAL MEMBERS</t>
  </si>
  <si>
    <t>Lower Roof Framing</t>
  </si>
  <si>
    <t>Column (S210-B)</t>
  </si>
  <si>
    <t>SC1 - 150 x 150 x 6 SHS, 26.2kg/m, 600mm surface perimeter, Steel Grade: C350L0</t>
  </si>
  <si>
    <t>SC4 - 150 x 150 x 6 SHS, 26.2kg/m, 600mm surface perimeter, Steel Grade: C350L0</t>
  </si>
  <si>
    <t>15% for connection, etc</t>
  </si>
  <si>
    <t>20mm thick base plate to SC1, 6mm CFW/490/SP, 4-M20 4.6/S HD bolts with 450mm deep embedment</t>
  </si>
  <si>
    <t>20mm thick base plate to SC4, 8mm CFW/490/SP, 4-M20 4.6/S HD bolts with 450mm deep embedment</t>
  </si>
  <si>
    <t>Framing (S210-B and S306-B)</t>
  </si>
  <si>
    <t>LR1 - 300 PFC, 40.1kg/m, 944mm surface perimeter, Steel Grade: 300PLUS</t>
  </si>
  <si>
    <t>LR2 - 310 UB 40.4, 40.4kg/m, 1251.8mm surface perimeter, Steel Grade: 300PLUS</t>
  </si>
  <si>
    <t>LR3 - 310 UB 46.2, 46.2kg/m, 1264.6mm surface perimeter, Steel Grade: 300PLUS</t>
  </si>
  <si>
    <t>LR4 - 200 UB 29.8, 29.8kg/m, 937.4mm surface perimeter, Steel Grade: 300PLUS</t>
  </si>
  <si>
    <t>LR5 - 200 PFC, 22.9kg/m, 688mm surface perimeter, Steel Grade: 300PLUS</t>
  </si>
  <si>
    <t>R5 - 300 PFC, 40.1kg/m, 944mm surface perimeter, Steel Grade: 300PLUS</t>
  </si>
  <si>
    <t>LB1 - 200 PFC, 22.9kg/m, 688mm surface perimeter, Steel Grade: 300PLUS</t>
  </si>
  <si>
    <t>LB2 - 200 PFC, 22.9kg/m, 688mm surface perimeter, Steel Grade: 300PLUS</t>
  </si>
  <si>
    <t>LB3 - 200 UB 29.8, 29.8kg/m, 937.4mm surface perimeter, Steel Grade: 300PLUS</t>
  </si>
  <si>
    <t>OR3 - 200 x 200 x 6 SHS, 35.6kg/m, 800mm surface perimeter, Steel Grade: C350L0</t>
  </si>
  <si>
    <t>ES2 - 200 PFC, 22.9kg/m, 688mm surface perimeter, Steel Grade: 300PLUS</t>
  </si>
  <si>
    <t>ES3 - 200 PFC, 22.9kg/m, 688mm surface perimeter, Steel Grade: 300PLUS</t>
  </si>
  <si>
    <t>2-M20 Chemset REO502 anchors to LB1 with 150mm deep embedment</t>
  </si>
  <si>
    <t>125 x 125 x12 EA seat to LR1 with 4-M20 8.8/S bolts into cast in ferrules, and 3 off 12mm thick plate stiffeners with 6mm CFW/490/SP</t>
  </si>
  <si>
    <t>125 x 125 x12 EA seat to LR2 with 4-M20 8.8/S bolts into cast in ferrules, and 3 off 12mm thick plate stiffeners with 6mm CFW/490/SP</t>
  </si>
  <si>
    <t>125 x 125 x12 EA seat to LR3 with 4-M20 8.8/S bolts into cast in ferrules, and 3 off 12mm thick plate stiffeners with 6mm CFW/490/SP</t>
  </si>
  <si>
    <t>125 x 125 x12 EA seat to LR4 with 4-M20 8.8/S bolts into cast in ferrules, and 3 off 12mm thick plate stiffeners with 6mm CFW/490/SP</t>
  </si>
  <si>
    <t>125 x 125 x12 EA seat to LR1 with 4-M20 8.8/S masonry anchors with 150mm deep embedment, and 3 off 12mm thick plate stiffeners with 6mm CFW/490/SP</t>
  </si>
  <si>
    <t>125 x 125 x12 EA seat to LR2 with 4-M20 8.8/S masonry anchors with 150mm deep embedment, and 3 off 12mm thick plate stiffeners with 6mm CFW/490/SP</t>
  </si>
  <si>
    <t>125 x 125 x12 EA seat to LR3 with 4-M20 8.8/S masonry anchors with 150mm deep embedment, and 3 off 12mm thick plate stiffeners with 6mm CFW/490/SP</t>
  </si>
  <si>
    <t>1-M20 Chemset REO502 anchors to ES2 with 150mm deep embedment</t>
  </si>
  <si>
    <t>1-M20 Chemset REO502 anchors to ES3 with 150mm deep embedment</t>
  </si>
  <si>
    <t>125 x 125 x12 EA seat to LB2 with 4-M20 8.8/S bolts into cast in ferrules, and 3 off 12mm thick plate stiffeners with 6mm CFW/490/SP</t>
  </si>
  <si>
    <t>125 x 125 x12 EA seat to LB3 with 4-M20 8.8/S bolts into cast in ferrules, and 3 off 12mm thick plate stiffeners with 6mm CFW/490/SP</t>
  </si>
  <si>
    <t>10mm thick end plate to OR3</t>
  </si>
  <si>
    <t>10mm thick end plate to R5</t>
  </si>
  <si>
    <t>Bracing (S210-B)</t>
  </si>
  <si>
    <t>RB1 - 38 x 1.2 Builder's Strap Bracing, Steel Grade: G450</t>
  </si>
  <si>
    <t>RB2 - M20 Rod Cross Bracings, 2.528 kg/m, Steel Grade: 300PLUS</t>
  </si>
  <si>
    <t>Girts and Purlins (S210-B)</t>
  </si>
  <si>
    <t>LP1 - 200x100x5RHS, 22.1kg/m, 600mm surface perimeter, Steel Grade: C350L0</t>
  </si>
  <si>
    <t>P1 - C15015 Purlin, 1 row of bridging, Steel Grade: G450, Z350</t>
  </si>
  <si>
    <t>P2 - C20019 Purlin, 2 rows of bridging, Steel Grade: G450, Z350</t>
  </si>
  <si>
    <t>Bridging to P1 - C15015 Purlin</t>
  </si>
  <si>
    <t>Bridging to P2 - C20019 Purlin</t>
  </si>
  <si>
    <t xml:space="preserve">Steelwork Stair 3 </t>
  </si>
  <si>
    <t>SC2 - 200 UC 46, 46.2kg/m, 1203.4mm surface perimeter, Steel Grade: C350L0</t>
  </si>
  <si>
    <t>16mm thick base plate to SC2, 6mm CFW/480/SP, 4-M20 4.6/S HD bolts with 450mm deep embedment, and 20mm thick non-shrink grout</t>
  </si>
  <si>
    <t>Framing (S210-B)</t>
  </si>
  <si>
    <t>SS1 - 250 PFC, 35.5kg/m, 844mm surface perimeter, Steel Grade: 300PLUS</t>
  </si>
  <si>
    <t>SS2 - 200 PFC, 22.9kg/m, 688mm surface perimeter, Steel Grade: 300PLUS</t>
  </si>
  <si>
    <t>50 x 50 x 5 EA, 3.5kg/m, 200mm surface perimeter (NB: Refer to S204-B)</t>
  </si>
  <si>
    <t>10mm thick end plate to SS1, 6mm CFW/480/SP and 2-M20 Chemset anchors with 125mm deep embedment, and 20mm thick non-shrink grout</t>
  </si>
  <si>
    <t>M16 Chemset REO502 anchors at 450mm CTS with 150mm deep embedment</t>
  </si>
  <si>
    <t>Plate (S210-B)</t>
  </si>
  <si>
    <t>6mm thick folded floor plate, Steel Grade: 250, (NB: Refer to S204-B)</t>
  </si>
  <si>
    <t>Lower Level Awning Framing at Grid 4</t>
  </si>
  <si>
    <t>Framing (S211-B)</t>
  </si>
  <si>
    <t>AR1 - 200 UB 29.8, 29.8kg/m, 937.4mm surface perimeter, Steel Grade: 300PLUS</t>
  </si>
  <si>
    <t>20mm thick end plate to AR1, 6mm CFW/490/SP with 4-M20 8.8/S bolts into cast in ferrules</t>
  </si>
  <si>
    <t>Girts and Purlins (S211-B)</t>
  </si>
  <si>
    <t>AP1 - C20019 Purlin, 2 rows of bridging, Steel Grade: G450, Z350</t>
  </si>
  <si>
    <t>Bridging to AP1 - C20019 purlin</t>
  </si>
  <si>
    <t>Bus Shelter Awning Framing</t>
  </si>
  <si>
    <t>Column (S211-B)</t>
  </si>
  <si>
    <t>AR2 - 150 x 150 x 6 SHS, 26.2kg/m, 600mm surface perimeter, Steel Grade: C350L0</t>
  </si>
  <si>
    <t>Bracing (S211-B)</t>
  </si>
  <si>
    <t>AB1 - M12 Rod Cross Bracings, 0.91 kg/m, Steel Grade: 300PLUS</t>
  </si>
  <si>
    <t>AP2 - C15019 Purlin at 1250mm max spacing, 1 row of bridging, Steel Grade: G450, Z350</t>
  </si>
  <si>
    <t>Bridging to AP2 - C15019 Purlin</t>
  </si>
  <si>
    <t>Entry &amp; Office Area Roof Framing Plan</t>
  </si>
  <si>
    <t>Column (S301-B)</t>
  </si>
  <si>
    <t>SC3 - 200 x 200 x 6 SHS, 35.6kg/m, 800mm surface perimeter, Steel Grade: C350L0</t>
  </si>
  <si>
    <t>20mm thick base plate to SC3, 8mm CFW/490/SP, 4-M20 4.6/S HD bolts with 450mm deep embedment</t>
  </si>
  <si>
    <t>Framing (S301-B to S307-B)</t>
  </si>
  <si>
    <t>R1 - 300 PFC, 40.1kg/m, 944mm surface perimeter, Steel Grade: 300PLUS</t>
  </si>
  <si>
    <t>R2 - 460 UB 67.1, 67.1kg/m, 1651mm surface perimeter, Steel Grade: 300PLUS</t>
  </si>
  <si>
    <t>R3 - 530 UB 82, 82kg/m, 1872.8mm surface perimeter, Steel Grade: 300PLUS</t>
  </si>
  <si>
    <t>R4 - 200 PFC, 22.9kg/m, 688mm surface perimeter, Steel Grade: 300PLUS</t>
  </si>
  <si>
    <t>R5 - 380 PFC, 55.2kg/m, 1140mm surface perimeter, Steel Grade: 300PLUS</t>
  </si>
  <si>
    <t>TB1 - 380 PFC, 55.2kg/m, 1140mm surface perimeter, Steel Grade: 300PLUS</t>
  </si>
  <si>
    <t>OR1 - 150 PFC, 17.7kg/m, 588mm surface perimeter, Steel Grade: 300PLUS</t>
  </si>
  <si>
    <t>OR2 - 250 UB 37.3, 37.3kg/m, 1083.2mm surface perimeter, Steel Grade: 300PLUS</t>
  </si>
  <si>
    <t>RS2 - 125 x 125 x 6 SHS, 21.4kg/m, 500mm surface perimeter, Steel Grade: C350L0</t>
  </si>
  <si>
    <t>ES1 - 250 PFC, 35.5kg/m, 844mm surface perimeter, Steel Grade: 300PLUS</t>
  </si>
  <si>
    <t>WH1 - 200 x 200 x 6 SHS, 35.6kg/m, 800mm surface perimeter, Steel Grade: C350L0</t>
  </si>
  <si>
    <t>WH2 - 200 x 200 x 5 SHS, 29.9kg/m, 800mm surface perimeter, Steel Grade: C350L0</t>
  </si>
  <si>
    <t>WH3 - 150 x 150 x 6 SHS, 26.2kg/m, 600mm surface perimeter, Steel Grade: C350L0</t>
  </si>
  <si>
    <t>LS1 - 50 x 50 x 5 SHS, 6.4kg/m, 200mm surface perimeter, Steel Grade: C350L0</t>
  </si>
  <si>
    <t>20mm thick end plate to R1 including: 125 x 125 x12 EA seat with 4-M20 8.8/S masonry anchors, 150mm deep embedment, and 3 off 12mm thick plate stiffeners with 6mm CFW/490/SP</t>
  </si>
  <si>
    <t>20mm thick end plate to R2 including: 125 x 125 x12 EA seat with 4-M20 8.8/S masonry anchors, 150mm deep embedment, and 3 off 12mm thick plate stiffeners with 6mm CFW/490/SP</t>
  </si>
  <si>
    <t>20mm thick end plate to R3 including: 125 x 125 x12 EA seat with 4-M20 8.8/S masonry anchors, 150mm deep embedment, and 3 off 12mm thick plate stiffeners with 6mm CFW/490/SP</t>
  </si>
  <si>
    <t>1-M20 8.8/S bolt into cast in ferrule to R4</t>
  </si>
  <si>
    <t>1-M20 Chemset REO502 anchors to ES1 with 150mm deep embedment</t>
  </si>
  <si>
    <t>10mm thick end plate to OR1</t>
  </si>
  <si>
    <t>10mm thick end plate to OR2</t>
  </si>
  <si>
    <t>10mm thick end plate to LR1</t>
  </si>
  <si>
    <t>Bracing (S301-B)</t>
  </si>
  <si>
    <t>RB1 - M20 Rod Cross Bracings, 2.528kg/m, Steel Grade: 300PLUS</t>
  </si>
  <si>
    <t>Girts and Purlins (S301-B)</t>
  </si>
  <si>
    <t>RP1 - 200 x 100 x 6 RHS, 26.2kg/m, 600mm surface perimeter, Steel Grade: C350L0</t>
  </si>
  <si>
    <t>RP2 - 250 x 150 x 6 RHS, 35.6kg/m, 800mm surface perimeter, Steel Grade: C350L0</t>
  </si>
  <si>
    <t>RP3 - 200 x 200 x 6 SHS, 35.6kg/m, 800mm surface perimeter, Steel Grade: C350L0</t>
  </si>
  <si>
    <t>Sports Hall Roof Framing</t>
  </si>
  <si>
    <t>Framing (S302-B and S304B)</t>
  </si>
  <si>
    <t>TR1 Curved (Top chord) - 200 x 200 x 9 SHS, 51.8kg/m, 800mm surface perimeter, Steel Grade: C350L0</t>
  </si>
  <si>
    <t>TR1 Curved (Bottom chord) - 200 x 200 x 6 SHS, 35.6kg/m, 800mm surface perimeter, Steel Grade: C350L0</t>
  </si>
  <si>
    <t>TR1 (Web) - 125 x 125 x 4 SHS, 14.8kg/m, 500mm surface perimeter, Steel Grade: C350L0</t>
  </si>
  <si>
    <t>HR1 Curved - 250 PFC, 35.5kg/m, 844mm surface perimeter, Steel Grade: 300PLUS</t>
  </si>
  <si>
    <t>RS1 - 200 x 200 x 5 SHS, 29.9kg/m, 800mm surface perimeter, Steel Grade: C350L0</t>
  </si>
  <si>
    <t>BS1 - 150 UC 37.20, 37.2kg/m, 923.8mm surface perimeter, Steel Grade: 300PLUS</t>
  </si>
  <si>
    <t>20mm thick end plate to TR1 including: 125 x 125 x12 EA seat with 4-M20x50mm long 8.8/S bolts into cast in ferrules, 3 off 12mm thick plate stiffeners, and 6mm CFW/490/SP</t>
  </si>
  <si>
    <t>1-M20 8.8/S bolt into cast in ferrules to HR1</t>
  </si>
  <si>
    <t>1-M20 8.8/S bolt into cast in ferrules to ES1</t>
  </si>
  <si>
    <t>1-M20 8.8/S bolt into cast in ferrules to ES2</t>
  </si>
  <si>
    <t>Girts and Purlins (S302-B and S304B)</t>
  </si>
  <si>
    <t>HP1 - 200 x 200 x 5 SHS, 29.9kg/m, 800mm surface perimeter, Steel Grade: C350L0</t>
  </si>
  <si>
    <t>Tiered Seating Framing</t>
  </si>
  <si>
    <t>Column (S107-B)</t>
  </si>
  <si>
    <t>200 UB 25.4, 25.4kg/m, 926.4mm surface perimeter</t>
  </si>
  <si>
    <t>100 x 100 x 4 CA Duragal Angle, 6.2kg/m, 400mm</t>
  </si>
  <si>
    <t>10mm thick base plate with 6mm CFW/480/SP, and 2-M16 Chemset anchors with 100mm deep embedment</t>
  </si>
  <si>
    <t>Framing (S107-B)</t>
  </si>
  <si>
    <t>150 x 50 x 3 Duragal Channel, 9kg/m, 400mm surface perimeter</t>
  </si>
  <si>
    <t>SURFACE PREPARATION</t>
  </si>
  <si>
    <t>Abrasive Blast to Class 1 AS1627</t>
  </si>
  <si>
    <t>Sand blasting to Lower Roof Framing</t>
  </si>
  <si>
    <t>Sand blasting to Steelwork Stair 3</t>
  </si>
  <si>
    <t>Sand blasting to Lower Level Awning Framing at Grid 4</t>
  </si>
  <si>
    <t>Sand blasting to Bus Shelter Awning Framing</t>
  </si>
  <si>
    <t>Sand blasting to Entry &amp; Office Area Roof Framing Plan</t>
  </si>
  <si>
    <t>Sand blasting to Sports Hall Roof Framing</t>
  </si>
  <si>
    <t>Sand blasting to Tiered Seating Framing</t>
  </si>
  <si>
    <t>Hot Dipped Galvanised to AS4680</t>
  </si>
  <si>
    <t>Hot dipped galvanised to Lower Roof Framing</t>
  </si>
  <si>
    <t>Hot dipped galvanised to Steelwork Stair 3</t>
  </si>
  <si>
    <t>Hot dipped galvanised to Lower Level Awning Framing at Grid 4</t>
  </si>
  <si>
    <t>Hot dipped galvanised to Bus Shelter Awning Framing</t>
  </si>
  <si>
    <t>Hot dipped galvanised to Entry &amp; Office Area Roof Framing Plan</t>
  </si>
  <si>
    <t>Hot dipped galvanised to Sports Hall Roof Framing</t>
  </si>
  <si>
    <t>Hot dipped galvanised to Tiered Seating Framing</t>
  </si>
  <si>
    <t>Oxide Zinc Phosphate Primer Paint</t>
  </si>
  <si>
    <t>75mm Oxide zinc phosphate primer paint to Lower Roof Framing</t>
  </si>
  <si>
    <t>75mm Oxide zinc phosphate primer paint to Steelwork Stair 3</t>
  </si>
  <si>
    <t>75mm Oxide zinc phosphate primer paint to Lower Level Awning Framing at Grid 4</t>
  </si>
  <si>
    <t>75mm Oxide zinc phosphate primer paint to Bus Shelter Awning Framing</t>
  </si>
  <si>
    <t>75mm Oxide zinc phosphate primer paint to Entry &amp; Office Area Roof Framing Plan</t>
  </si>
  <si>
    <t>75mm Oxide zinc phosphate primer paint to Sports Hall Roof Framing</t>
  </si>
  <si>
    <t>75mm Oxide zinc phosphate primer paint to Tiered Seating Framing</t>
  </si>
  <si>
    <t>ARCHITECTURAL GRADE FINISH TO EXTERNAL VISUALLY EXPOSED STEELWORK</t>
  </si>
  <si>
    <t>Architectural Grade Finish to SC1</t>
  </si>
  <si>
    <t>Architectural Grade Finish to AR2</t>
  </si>
  <si>
    <t>Waterproofing</t>
  </si>
  <si>
    <t>10/1A</t>
  </si>
  <si>
    <t>10/1B</t>
  </si>
  <si>
    <t>Refer to following sections of Auburn Basketball Centre "Architectural Specification" Revision A dated 21 January 2025 by Facility Design Group Architecture &amp; Construction: 0411p FOSROC waterproofing - external and tanking, 0621p - FOSROC waterproofing - wet areas</t>
  </si>
  <si>
    <t>Refer to Auburn Basketball "FFE Schedule" dated 10 January 2025 by Facility Design Group Architecture &amp; Construction</t>
  </si>
  <si>
    <t>Refer to following architectural drawing series: A.100 for "Floor Plan", A.800 for "Finishes Schedule"</t>
  </si>
  <si>
    <t>10/1C</t>
  </si>
  <si>
    <t>Fair edges, dressing over angle fillets, turning into grooves and all other labours</t>
  </si>
  <si>
    <t>10/1D</t>
  </si>
  <si>
    <t>Internal and external angles, fillets, circular edges</t>
  </si>
  <si>
    <t>10/1E</t>
  </si>
  <si>
    <t>Separation strips other than those specifically detailed</t>
  </si>
  <si>
    <t>10/1F</t>
  </si>
  <si>
    <t>Nails, screws, clips, rivets, straps, fixings and the like</t>
  </si>
  <si>
    <t>10/1G</t>
  </si>
  <si>
    <t>Provision for thermal movement</t>
  </si>
  <si>
    <t>10/1H</t>
  </si>
  <si>
    <t>Isolation of dissimilar materials</t>
  </si>
  <si>
    <t>10/1J</t>
  </si>
  <si>
    <t>Temporary screeds, rules and grounds</t>
  </si>
  <si>
    <t>10/1K</t>
  </si>
  <si>
    <t>Laps, square cutting and waste</t>
  </si>
  <si>
    <t>10/1L</t>
  </si>
  <si>
    <t>10/1M</t>
  </si>
  <si>
    <t>Allow for giving notice of and providing facilities for inspection, of tanking components</t>
  </si>
  <si>
    <t>10/2A</t>
  </si>
  <si>
    <t>Allow for protecting the waterproofing from damage throughout the work and cleaning off on completion, including cleaning out of rainwater systems</t>
  </si>
  <si>
    <t>10/2B</t>
  </si>
  <si>
    <t>Allow for ensuring that the roof slab structure is satisfactory before fixing membranes, and providing certification of same prior to commencing installation</t>
  </si>
  <si>
    <t>10/2C</t>
  </si>
  <si>
    <t>10/2D</t>
  </si>
  <si>
    <t>Allow for data submissions</t>
  </si>
  <si>
    <t>10/2E</t>
  </si>
  <si>
    <t>Allow for warranties</t>
  </si>
  <si>
    <t>10/2F</t>
  </si>
  <si>
    <t>Allow for maintenance manual</t>
  </si>
  <si>
    <t>10/2G</t>
  </si>
  <si>
    <t>Allow for workshop drawings and details</t>
  </si>
  <si>
    <t>WATERPROOFING</t>
  </si>
  <si>
    <t>Waterproofing to Wet Areas - FOSROC Waterproofing</t>
  </si>
  <si>
    <t xml:space="preserve">Horizontal membrane; applied on wet area floor to falls and/or cross falls
</t>
  </si>
  <si>
    <t>Ground Floor (A.100_A)</t>
  </si>
  <si>
    <t>Level 1 (A.101_A)</t>
  </si>
  <si>
    <t>Vertical membrane; applied on shower wall</t>
  </si>
  <si>
    <t>Turn-ups less than or equal to 250mm high; including any angle fillet and dressing over fillets at bottom</t>
  </si>
  <si>
    <t>Waterproofing to Landscaped Garden</t>
  </si>
  <si>
    <t>FOSROC, Material type: Two layer torch-on, root resistant, sheet membrane system with drainage sheet; Primer: Fosroc Primer 24; Base membrane: Fosroc Proofex Torchseal A600; Top membrane: Fosroc Proofex Torchseal A700; Drainage sheet layer: Fosroc Proofex Sheetdrain 81</t>
  </si>
  <si>
    <t>FOSROC Two layer torch-on, root resistant, sheet membrane system with drainage sheet; Primer: Fosroc Primer 24; Joint bond breaker: Sand/cement fillet; Base membrane: Fosroc Proofex Torchseal A600; Top Membrane: Fosroc Proofex Torchseal A700; Drainage sheet: Fosroc Proofex Sheetdrain 81; Protection Board: Fosroc Proofex Protection Board PP</t>
  </si>
  <si>
    <t>Waterproofing to Roof Deck - FOSROC Waterproofing</t>
  </si>
  <si>
    <t>Turn-ups greater than 250mm high; including any angle fillet and dressing over fillets at bottom</t>
  </si>
  <si>
    <t>Waterproofing to Lift Pit Walls</t>
  </si>
  <si>
    <t xml:space="preserve">Waterproofing to lift pit wall (NB: Choose from "Below the ground basement waterproofing/Tanking - New Construction - Retaining wall waterproofing and drainage schedule" at Section 0411P - Fosroc Waterproofing - External and Tanking  of Auburn Basketball Centre "Architectural Specification")</t>
  </si>
  <si>
    <t>Waterproofing to Retaining Walls</t>
  </si>
  <si>
    <t xml:space="preserve">Waterproofing to retaining walls (NB: Choose from "Below the ground basement waterproofing/Tanking - New Construction - Retaining wall waterproofing and drainage schedule" at Section 0411P - Fosroc Waterproofing - External and Tanking  of Auburn Basketball Centre "Architectural Specification")</t>
  </si>
  <si>
    <t>Waterproofing to Slab on Ground</t>
  </si>
  <si>
    <t xml:space="preserve">Waterproofing to slab on ground (NB: Choose from "Below the ground basement waterproofing/Tanking - New Construction - Below the ground basement waterproofing and drainage/tanking schedule" at Section 0411P - Fosroc Waterproofing - External and Tanking  of Auburn Basketball Centre "Architectural Specification")</t>
  </si>
  <si>
    <t>Ground Floor (S107-B to S109B)</t>
  </si>
  <si>
    <t>Masonry</t>
  </si>
  <si>
    <t>11/1A</t>
  </si>
  <si>
    <t>11/1B</t>
  </si>
  <si>
    <t>Refer to following sections of Auburn Basketball Centre "Architectural Specification" Revision A dated 21 January 2025 by Facility Design Group Architecture &amp; Construction: 0334 - Block Construction, 0611 - Rendering and plastering</t>
  </si>
  <si>
    <t>Refer to following architectural drawing series: A.100 to A.101 for "Floor Plan", A.400 for "Typical Sections", A.500 for "Elevations", A.600 for "Wall Details", A.700 to A.714 for "Room Details"</t>
  </si>
  <si>
    <t>Refer to following structural drawing series: S100 for "General Notes, Footing Plan, Ground Floor Plan and Footing &amp; Ground Floor Slab Details", S200 for "Level 1 Slab details", S300 for "Elevations and Sections and Precast Details"</t>
  </si>
  <si>
    <t>11/1C</t>
  </si>
  <si>
    <t>Square cutting and waste</t>
  </si>
  <si>
    <t>11/1D</t>
  </si>
  <si>
    <t>Forming all openings, machine cutting, cutting to form bond, cutting to form chases for edges of floor slabs</t>
  </si>
  <si>
    <t>11/1E</t>
  </si>
  <si>
    <t>Forming reveals including pointing and cleaning down</t>
  </si>
  <si>
    <t>11/1F</t>
  </si>
  <si>
    <t>Plumbing reveals and angles</t>
  </si>
  <si>
    <t>11/1G</t>
  </si>
  <si>
    <t>Building in of frames, flashings, dampproof course, ties, lintels, structural steel framework and the like</t>
  </si>
  <si>
    <t>11/1H</t>
  </si>
  <si>
    <t>Raking out joints for applied finishes</t>
  </si>
  <si>
    <t>11/1J</t>
  </si>
  <si>
    <t>Keeping cavities clear of mortar droppings</t>
  </si>
  <si>
    <t>11/1K</t>
  </si>
  <si>
    <t>Forming weepholes</t>
  </si>
  <si>
    <t>11/1L</t>
  </si>
  <si>
    <t>Using solid blocks where core holes would otherwise be visible or where required for fire rating</t>
  </si>
  <si>
    <t>11/1M</t>
  </si>
  <si>
    <t>Using matching half-blocks, closers, lintel and bond beam blocks as required</t>
  </si>
  <si>
    <t>11/1N</t>
  </si>
  <si>
    <t>Building in or cutting holes for pipes, handrails, cramps, steel ties sections and the like</t>
  </si>
  <si>
    <t>11/1P</t>
  </si>
  <si>
    <t>Making good and protecting finished surfaces</t>
  </si>
  <si>
    <t>11/2A</t>
  </si>
  <si>
    <t>Cleaning down</t>
  </si>
  <si>
    <t>11/2B</t>
  </si>
  <si>
    <t>11/2C</t>
  </si>
  <si>
    <t xml:space="preserve">Allow for providing brick and mortar samples </t>
  </si>
  <si>
    <t>11/2D</t>
  </si>
  <si>
    <t>Allow for building sample panels</t>
  </si>
  <si>
    <t>11/2E</t>
  </si>
  <si>
    <t>Allow for testing</t>
  </si>
  <si>
    <t>11/2F</t>
  </si>
  <si>
    <t>11/2G</t>
  </si>
  <si>
    <t>11/2H</t>
  </si>
  <si>
    <t>11/2J</t>
  </si>
  <si>
    <t xml:space="preserve">Allow for storing and protecting bricks </t>
  </si>
  <si>
    <t>11/2K</t>
  </si>
  <si>
    <t>11/2L</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</si>
  <si>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</si>
  <si>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Used measured REO rate for masonry</t>
  </si>
  <si>
    <t>Assumed 190mm block wall with a CF rate of 0.12 m3/m2 and 290mm block wall with a CF rate of 0.17 m3/m2</t>
  </si>
  <si>
    <t>BLOCKWORK</t>
  </si>
  <si>
    <t>Blockwall</t>
  </si>
  <si>
    <t>External Blockwall</t>
  </si>
  <si>
    <t>External Blockwall up to 3.0m high</t>
  </si>
  <si>
    <t>BW1 - 190mm Block Wall - Fair faced, Smooth Pebble; Supplier: Austral Blocks</t>
  </si>
  <si>
    <t>190mm Block Wall - Fair faced, Smooth Pebble; Supplier: Austral Blocks</t>
  </si>
  <si>
    <t>Extra Over to lay blocks to splay (162.78 degrees; NB: Degrees measured on plan)</t>
  </si>
  <si>
    <t>Extra Over to lay blocks to splay (135.15 degrees; NB: Degrees measured on plan)</t>
  </si>
  <si>
    <t>Extra Over to lay blocks to splay (134.85 degrees; NB: Degrees measured on plan)</t>
  </si>
  <si>
    <t>190mm Retaining Block Wall - Fair faced, Smooth Pebble; Supplier: Austral Blocks</t>
  </si>
  <si>
    <t>Extra Over to lay blocks to splay (140 degrees; NB: Degrees measured on plan)</t>
  </si>
  <si>
    <t>Extra Over to lay blocks to splay (107.25 degrees)</t>
  </si>
  <si>
    <t>Extra Over to lay blocks to splay (123 degrees; NB: Degrees measured on plan)</t>
  </si>
  <si>
    <t>Extra Over to lay blocks to splay (106.64 degrees; NB: Degrees measured on plan)</t>
  </si>
  <si>
    <t>Extra Over to lay blocks to splay (163.36 degrees; NB: Degrees measured on plan)</t>
  </si>
  <si>
    <t>190mm Stair shaft Block Wall - Fair faced, Smooth Pebble; Supplier: Austral Blocks</t>
  </si>
  <si>
    <t>290mm Block Wall - Fair faced, Smooth Pebble; Supplier: Austral Blocks</t>
  </si>
  <si>
    <t>290mm Retaining Block Wall - Fair faced, Smooth Pebble; Supplier: Austral Blocks</t>
  </si>
  <si>
    <t>External Blockwall with total height from 3.0m - 4.0m</t>
  </si>
  <si>
    <t>External Blockwall with total height from 4.0m - 5.0m</t>
  </si>
  <si>
    <t>External Blockwall with total height from 5.0m - 6.0m</t>
  </si>
  <si>
    <t>External Blockwall with total height from 7.0m - 8.0m</t>
  </si>
  <si>
    <t>Internal Blockwall</t>
  </si>
  <si>
    <t>Internal Blockwall up to 3.0m high</t>
  </si>
  <si>
    <t>290mm Lift Pit Block Wall - Fair faced, Smooth Pebble; Supplier: Austral Blocks</t>
  </si>
  <si>
    <t>Internal Blockwall with total height from 3.0m - 4.0m</t>
  </si>
  <si>
    <t>190mm Lift Pit Block Wall - Fair faced, Smooth Pebble; Supplier: Austral Blocks</t>
  </si>
  <si>
    <t>Internal Blockwall with total height from 4.0m - 5.0m</t>
  </si>
  <si>
    <t>Internal Blockwall with total height from 5.0m - 6.0m</t>
  </si>
  <si>
    <t>Internal Blockwall with total height from 6.0m - 7.0m</t>
  </si>
  <si>
    <t>Internal Blockwall with total height from 7.0m - 8.0m</t>
  </si>
  <si>
    <t>Corefilling</t>
  </si>
  <si>
    <t>Corefilling to External Blockwall</t>
  </si>
  <si>
    <t>Corefilling to External Blockwall up to 3.0m high</t>
  </si>
  <si>
    <t>Corefilling to BW1 - 190mm Block Wall; 32MPa, 230 slump ±30mm, 10mm max aggregate size; Assumed CF Rate: 0.12m3/m2</t>
  </si>
  <si>
    <t>Corefilling to 190mm Block Wall; 32MPa, 230 slump ±30mm, 10mm max aggregate size; Assumed CF Rate: 0.12m3/m2</t>
  </si>
  <si>
    <t>Corefilling to 190mm Retaining Block Wall; 32MPa, 230 slump ±30mm, 10mm max aggregate size; Assumed CF Rate: 0.12m3/m2</t>
  </si>
  <si>
    <t>Corefilling to 190mm Stair shaft Block Wall; 32MPa, 230 slump ±30mm, 10mm max aggregate size; Assumed CF Rate: 0.12m3/m2</t>
  </si>
  <si>
    <t>Corefilling to 290mm Block Wall; 32MPa, 230 slump ±30mm, 10mm max aggregate size; Assumed CF Rate: 0.17m3/m2</t>
  </si>
  <si>
    <t>Corefilling to 290mm Retaining Block Wall; 32MPa, 230 slump ±30mm, 10mm max aggregate size; Assumed CF Rate: 0.17m3/m2</t>
  </si>
  <si>
    <t>Corefilling to External Blockwall with total height from 3.0m - 4.0m</t>
  </si>
  <si>
    <t>Corefilling to External Blockwall with total height from 4.0m - 5.0m</t>
  </si>
  <si>
    <t>Corefilling to External Blockwall with total height from 5.0m - 6.0m</t>
  </si>
  <si>
    <t>Corefilling to External Blockwall with total height from 7.0m - 8.0m</t>
  </si>
  <si>
    <t>Corefilling to Internal Blockwall</t>
  </si>
  <si>
    <t>Corefilling to Internal Blockwall up to 3.0m high</t>
  </si>
  <si>
    <t>Corefilling to 290mm Lift Pit Block Wall; 32MPa, 230 slump ±30mm, 10mm max aggregate size; Assumed CF Rate: 0.17m3/m2</t>
  </si>
  <si>
    <t>Corefilling to Internal Blockwall with total height from 3.0m - 4.0m</t>
  </si>
  <si>
    <t>Corefilling to 190mm Lift Pit Block Wall; 32MPa, 230 slump ±30mm, 10mm max aggregate size; Assumed CF Rate: 0.12m3/m2</t>
  </si>
  <si>
    <t>Corefilling to Internal Blockwall with total height from 4.0m - 5.0m</t>
  </si>
  <si>
    <t>Corefilling to Internal Blockwall with total height from 5.0m - 6.0m</t>
  </si>
  <si>
    <t>Corefilling to Internal Blockwall with total height from 6.0m - 7.0m</t>
  </si>
  <si>
    <t>Corefilling to Internal Blockwall with total height from 7.0m - 8.0m</t>
  </si>
  <si>
    <t>Accessories to Blockwall</t>
  </si>
  <si>
    <t>Bond beam</t>
  </si>
  <si>
    <t>BB1 - 200mm deep bond beam to doors</t>
  </si>
  <si>
    <t>BB1 - 200mm deep bond beam to windows</t>
  </si>
  <si>
    <t>Bar reinforcement to External Blockwall</t>
  </si>
  <si>
    <t>Bar reinforcement to External Blockwall up to 3.0m high</t>
  </si>
  <si>
    <t>Bar reinforcement to BW1 - 190mm Block Wall</t>
  </si>
  <si>
    <t>Bar reinforcement to 190mm Block Wall; Measured reo rate: 16kg/m2</t>
  </si>
  <si>
    <t>Bar reinforcement to 190mm Retaining Block Wall</t>
  </si>
  <si>
    <t>Bar reinforcement to 190mm Stair shaft Block Wall; Measured reo rate: 16kg/m2</t>
  </si>
  <si>
    <t>Bar reinforcement to 290mm Block Wall</t>
  </si>
  <si>
    <t>Bar reinforcement to 290mm Retaining Block Wall</t>
  </si>
  <si>
    <t>Bar reinforcement to External Blockwall with total height from 3.0m - 4.0m</t>
  </si>
  <si>
    <t>Bar reinforcement to 190mm Block Wall; Measured reo rate: 15kg/m2</t>
  </si>
  <si>
    <t>Bar reinforcement to External Blockwall with total height from 4.0m - 5.0m</t>
  </si>
  <si>
    <t>Bar reinforcement to 190mm Stair shaft Block Wall; Measured reo rate: 15kg/m2</t>
  </si>
  <si>
    <t>Bar reinforcement to External Blockwall with total height from 5.0m - 6.0m</t>
  </si>
  <si>
    <t>Bar reinforcement to External Blockwall with total height from 7.0m - 8.0m</t>
  </si>
  <si>
    <t>Bar reinforcement to Internal Blockwall</t>
  </si>
  <si>
    <t>Bar reinforcement to Internal Blockwall up to 3.0m high</t>
  </si>
  <si>
    <t>Bar reinforcement to 190mm Block Wall; Measured reo rate: 18kg/m2</t>
  </si>
  <si>
    <t>Bar reinforcement to 290mm Lift Pit Block Wall</t>
  </si>
  <si>
    <t>Bar reinforcement to Internal Blockwall with total height from 3.0m - 4.0m</t>
  </si>
  <si>
    <t>Bar reinforcement to 190mm Lift Pit Block Wall</t>
  </si>
  <si>
    <t>Bar reinforcement to Internal Blockwall with total height from 4.0m - 5.0m</t>
  </si>
  <si>
    <t>Bar reinforcement to Internal Blockwall with total height from 5.0m - 6.0m</t>
  </si>
  <si>
    <t>Bar reinforcement to Internal Blockwall with total height from 6.0m - 7.0m</t>
  </si>
  <si>
    <t>Bar reinforcement to Internal Blockwall with total height from 7.0m - 8.0m</t>
  </si>
  <si>
    <t>Bar reinforcement to Bond beam</t>
  </si>
  <si>
    <t>Bar reinforcement to BB1 - 200mm deep bond beam to doors</t>
  </si>
  <si>
    <t>Bar reinforcement to BB1 - 200mm deep bond beam to windows</t>
  </si>
  <si>
    <t>Sundries</t>
  </si>
  <si>
    <t>Starter bars drill and epoxy grout 150mm deep min embedment into existing slab (NB: Refer to drawing S110-B)</t>
  </si>
  <si>
    <t>VCJ - 10mm ableflex Vertical construction joint</t>
  </si>
  <si>
    <t>M.E.T. 3-2 galvanised sliding vertical expansion joint ties at 600mm centres</t>
  </si>
  <si>
    <t>Compacted granular backfill, measured as wall area (NB: Refer to drawing S111-B)</t>
  </si>
  <si>
    <t>100mm diameter AGI drain in blue metal fill connected to stormwater system</t>
  </si>
  <si>
    <t>RENDER TO INTERNAL WALLS</t>
  </si>
  <si>
    <t>6mm Cement render for tile finish</t>
  </si>
  <si>
    <t>Ground Level (A.200.A)</t>
  </si>
  <si>
    <t>6mm Cemnet render scratch for tile finish</t>
  </si>
  <si>
    <t>Ground Level (A.702.A)</t>
  </si>
  <si>
    <t>Metalworks</t>
  </si>
  <si>
    <t>21/1A</t>
  </si>
  <si>
    <t>21/1B</t>
  </si>
  <si>
    <t>Refer to following sections of Auburn Basketball Centre "Architectural Specification" Revision A dated 21 January 2025 by Facility Design Group Architecture &amp; Construction: 0457 - External Screen, 0552 - Metalwork - Fabricated</t>
  </si>
  <si>
    <t>Refer to following architectural drawing series: A.100 for "Floor Plan", A.400 for "Typical Sections", A.500 for "Elevations", A.600 for "Wall Details", A.700 for "Room and Stair Details", , A.800 for "Finishes Schedule", A.1000 for "Doors and Window Schedule"</t>
  </si>
  <si>
    <t>Refer to following civil drawing number: C104-B for "Stormwater Drainage Plan", C107-B for "Stormwater Details"</t>
  </si>
  <si>
    <t>21/1C</t>
  </si>
  <si>
    <t>21/1D</t>
  </si>
  <si>
    <t>21/1E</t>
  </si>
  <si>
    <t>Cutting to dead lengths and machining ends and bearings</t>
  </si>
  <si>
    <t>21/1F</t>
  </si>
  <si>
    <t>Touching up surface treatment where damaged</t>
  </si>
  <si>
    <t>21/1G</t>
  </si>
  <si>
    <t>21/1H</t>
  </si>
  <si>
    <t>21/1J</t>
  </si>
  <si>
    <t>21/1K</t>
  </si>
  <si>
    <t>21/1L</t>
  </si>
  <si>
    <t>Allow for tests</t>
  </si>
  <si>
    <t>21/1M</t>
  </si>
  <si>
    <t>Allow for covering and protecting surfaces from weather and building operations</t>
  </si>
  <si>
    <t>21/2A</t>
  </si>
  <si>
    <t>21/2B</t>
  </si>
  <si>
    <t>BALUSTRADES AND HANDRAILS</t>
  </si>
  <si>
    <t>F.HRS.01 - 50mm diameter round wall mounted handrail in marine grade stainless steel 316 grade</t>
  </si>
  <si>
    <t>Ground Floor (A.100-A)</t>
  </si>
  <si>
    <t>F.HRS-03 - 1000mm high marine grade stainless steel 316 grade exterior handrails composed of 75x12mm top rail and 50x12mm bottom rail vertical balusters at 125mm maximum centres</t>
  </si>
  <si>
    <t>F.HRD.01 - 1000mm high marine grade stainless steel 316 grade ramp grabrail composed of 50mm diameter top rail, 40mm diameter balusters with 50mm clear 12mm diameter spigot connection on top, and 85x12mm continuous kerb rail at base parallel to ramp surface</t>
  </si>
  <si>
    <t>F.HRD.02 - 1000mm high marine grade stainless steel 316 grade flatbar stair handrail composed of 50mm diameter top rail, 40mm diameter balusters with 50mm clear 12mm diameter spigot connection on top</t>
  </si>
  <si>
    <t>F.HRD.04 - 1210mm high marine grade stainless steel 316 grade balustrade (NB: Height measured in plans)</t>
  </si>
  <si>
    <t>Level 1 (A.101-A)</t>
  </si>
  <si>
    <t>1000mm high pipe rail handrail compose of 50mm diameter round wall with 25mm balusters and 25mm horizontal rails at 125mm centres max in powder coated finish</t>
  </si>
  <si>
    <t>50mm diameter round wall mounted handrail in powder coated finish</t>
  </si>
  <si>
    <t>1000mm high pipe rail handrail at Stair 3 (NB: No details provided)</t>
  </si>
  <si>
    <t>GATE</t>
  </si>
  <si>
    <t>G.01 - 2000 x 2000mm high black pipe rail and PVC coated chainwire gate including fixings, hardwares and painting</t>
  </si>
  <si>
    <t>No</t>
  </si>
  <si>
    <t>D.43 - 1120 x 2380mm high powdercoated aluminium door frame, framed fixed louvre door leaf with kickplate</t>
  </si>
  <si>
    <t>FENCING</t>
  </si>
  <si>
    <t>2065mm high palisade fencing in powder coated finish (NB: Height measured on plan, No details provided)</t>
  </si>
  <si>
    <t>2000mm high palisade fencing in powder coated finish (NB: Height measured on plan, No details provided)</t>
  </si>
  <si>
    <t>SCREENS</t>
  </si>
  <si>
    <t>AL.LVR-02 - 1800mm high powdercoated aluminium screen to plant deck (NB: Measured as wall area)</t>
  </si>
  <si>
    <t>AWNING</t>
  </si>
  <si>
    <t>F.AWN-02 - 700mm wide fabricated steel awning with 100x50mm SHS perimeter frame and clad with Mini Orb roof sheet in monument colour</t>
  </si>
  <si>
    <t>STAIR NOSING</t>
  </si>
  <si>
    <t>I.CPT-01 - Step Edging; DTAC Pemko Urban Edging; T5 Extruded Aluminium, Continuous Bar of Silicon Carbide Infill</t>
  </si>
  <si>
    <t>I.CPT-01</t>
  </si>
  <si>
    <t>TACTILE INDICATOR</t>
  </si>
  <si>
    <t>F.TGS-01 - Tactile Ground Surface Indicator; Finish: 316 Marine Grade Stainless; Supplier: DTAC; Code: DT0200,DT0200W,DT0200Y</t>
  </si>
  <si>
    <t>1800x600mm wide F.TGS-01</t>
  </si>
  <si>
    <t>1050x600mm wide F.TGS-01</t>
  </si>
  <si>
    <t>1500x600mm wide F.TGS-01</t>
  </si>
  <si>
    <t>1300x600mm wide F.TGS-01</t>
  </si>
  <si>
    <t>2300x600mm wide F.TGS-01</t>
  </si>
  <si>
    <t>2000x600mm wide F.TGS-01</t>
  </si>
  <si>
    <t>OTHERS</t>
  </si>
  <si>
    <t>200mm wide galvanised Heelguard steel grate Class D</t>
  </si>
  <si>
    <t>Roofing</t>
  </si>
  <si>
    <t>13/1A</t>
  </si>
  <si>
    <t>13/1B</t>
  </si>
  <si>
    <t>Refer to following sections of Auburn Basketball Centre "Architectural Specification" Revision A dated 21 January 2025 by Facility Design Group Architecture &amp; Construction: 0421 - Roofing, 0193 - Roof access safety system</t>
  </si>
  <si>
    <t>Refer to following architectural drawing series: A.100 for "Floor Plan", A.400 for "Typical Sections", A.500 for "Elevations", A.600 for "Wall Details"</t>
  </si>
  <si>
    <t>13/1C</t>
  </si>
  <si>
    <t>Laps, square or raking cutting and waste</t>
  </si>
  <si>
    <t>13/1D</t>
  </si>
  <si>
    <t>Turning-up and turning-down roof sheets</t>
  </si>
  <si>
    <t>13/1E</t>
  </si>
  <si>
    <t>Nails, screws, clips, rivets, straps and the like</t>
  </si>
  <si>
    <t>13/1F</t>
  </si>
  <si>
    <t>13/1G</t>
  </si>
  <si>
    <t>13/1H</t>
  </si>
  <si>
    <t>Fixing of wall cladding in vertical or horizontal direction as required</t>
  </si>
  <si>
    <t>13/1J</t>
  </si>
  <si>
    <t>13/1K</t>
  </si>
  <si>
    <t>Allow for giving notice and providing facilities for inspections</t>
  </si>
  <si>
    <t>13/1L</t>
  </si>
  <si>
    <t>Allow for providing samples and prototypes</t>
  </si>
  <si>
    <t>13/1M</t>
  </si>
  <si>
    <t xml:space="preserve">Allow for tests </t>
  </si>
  <si>
    <t>13/1N</t>
  </si>
  <si>
    <t>13/1P</t>
  </si>
  <si>
    <t xml:space="preserve">Allow for providing warranties </t>
  </si>
  <si>
    <t>13/2A</t>
  </si>
  <si>
    <t xml:space="preserve">Allow for providing maintenance manuals </t>
  </si>
  <si>
    <t>13/2B</t>
  </si>
  <si>
    <t>Allow for protecting the roofing system from damage throughout the work and cleaning off on completion</t>
  </si>
  <si>
    <t>13/2C</t>
  </si>
  <si>
    <t>Allow for ensuring that the roof structure is satisfactory before fixing roof sheeting</t>
  </si>
  <si>
    <t>Siphonic stomwater were excluded in this BOQ, Assumed it to be included in the Hydraulic services</t>
  </si>
  <si>
    <t>COMPOSITE PANEL ROOFING</t>
  </si>
  <si>
    <t>S.ARC.01 - 150 Series Arcpanel Ecotek Composite Panel Roof with Dover white 0.42BMT Colorbond Trimdek profile on the outside, EPS- FR Insulation Core and Monument 0.42 BMT Corrugated profile on the inside</t>
  </si>
  <si>
    <t>S.ARC.02 - Vaulted Roof 250 Series Arcpanel Ecotek Composite Panel Roof with Dover white 0.42BMT Colorbond Trimdek profile on the outside, EPS- FR Insulation Core and Monument 0.42 BMT Corrugated profile on the inside</t>
  </si>
  <si>
    <t>S.ARC.02 - 200 Series Arcpanel Ecotek Composite Panel Roof with Dover white 0.42BMT Colorbond Trimdek profile on the outside, EPS- FR Insulation Core and Monument 0.42 BMT Corrugated profile on the inside</t>
  </si>
  <si>
    <t>SHEET METAL ROOFING</t>
  </si>
  <si>
    <t>29mm Colorbond Trimdek Roof - 0.42BMT Lysaght Trimdek sheet metal roof in Dover white colour</t>
  </si>
  <si>
    <t>29mm Colorbond Trimdek Roof on 50mm top hat - 0.42BMT Lysaght Trimdek sheet metal roof in Dover white colour</t>
  </si>
  <si>
    <t>29mm Colorbond Horizontal Trimdek Skirt - 0.42BMT Lysaght Trimdek sheet metal roof in Dover white colour</t>
  </si>
  <si>
    <t>29mm Colorbond Horizontal Trimdek Skirt on 35mm top hat - 0.42BMT Lysaght Trimdek sheet metal roof in Dover white colour</t>
  </si>
  <si>
    <t>Extra over for Curve cutting of Trimdek Panel</t>
  </si>
  <si>
    <t>INSULATION</t>
  </si>
  <si>
    <t>Vapour Permeable membrane</t>
  </si>
  <si>
    <t>Roof Insulation (NB: Assumed, No details provided)</t>
  </si>
  <si>
    <t>SUPPORT MESH</t>
  </si>
  <si>
    <t>Welded Safety Mesh - to ANZS Standards</t>
  </si>
  <si>
    <t>FLASHING AND CAPPINGS</t>
  </si>
  <si>
    <t xml:space="preserve">0.55BMT  Dover white Colorbond Capping and Flashing</t>
  </si>
  <si>
    <t>Flashing</t>
  </si>
  <si>
    <t>Roof to Wall Flashing</t>
  </si>
  <si>
    <t>Capping</t>
  </si>
  <si>
    <t>Edge Capping</t>
  </si>
  <si>
    <t>Drip groove and end capping (NB: Refer Detail 1 &amp; 2 of A.600 RevA)</t>
  </si>
  <si>
    <t>Curved Flashing and Capping to Vaulted Roof and Colorbond Horizontal Trimdeck Skirt</t>
  </si>
  <si>
    <t>Colorbond Trimdek Ridge Capping</t>
  </si>
  <si>
    <t>Valley Capping</t>
  </si>
  <si>
    <t>Fascia</t>
  </si>
  <si>
    <t>Proprietary Arcpanel Fascia (NB: Refer Detail 1 of A.600 RevA)</t>
  </si>
  <si>
    <t>GUTTERS AND DOWNPIPES</t>
  </si>
  <si>
    <t>801x236mm high 0.55BMT Concealed Gutter including colorbond capping, flashing and gutter support (NB: Refer Detail 1 &amp; 2 of A.600 RevA)</t>
  </si>
  <si>
    <t>200x200mm high 0.55BMT Concealed gutter including flashing and overflow(NB: Refer Detail 2 of A.600 RevA)</t>
  </si>
  <si>
    <t>500x280mm high 0.55BMT Concealed Gutter including colorbond capping, flashing and gutter support (NB: Refer Detail 1 of A.601 RevA)</t>
  </si>
  <si>
    <t xml:space="preserve">300x165mm high 0.55BMT Concealed Gutter including colorbond capping, overflashing and gutter support </t>
  </si>
  <si>
    <t>Colorbond half Round 200 Eaves Gutter</t>
  </si>
  <si>
    <t>Colorbond half Round 250 Eaves Gutter</t>
  </si>
  <si>
    <t>Colorbond half round eaves gutter to bus shelter</t>
  </si>
  <si>
    <t>150mm dia. Colorbond downpipe</t>
  </si>
  <si>
    <t>100mm dia. Colorbond downpipe</t>
  </si>
  <si>
    <t>Downpipe Spreader</t>
  </si>
  <si>
    <t>ROOF ACCESS SAFETY SYSTEM</t>
  </si>
  <si>
    <t>Roof Access Safety System</t>
  </si>
  <si>
    <t>Cladding &amp; Louvres</t>
  </si>
  <si>
    <t>23/1A</t>
  </si>
  <si>
    <t>Tenderers are referred to the Specification for the full particulars of workmanship and materials and the quantities herein provided shall be read in conjunction with the drawings</t>
  </si>
  <si>
    <t>23/1B</t>
  </si>
  <si>
    <t>Refer to following sections of Auburn Basketball Centre "Architectural Specification" Revision A dated 21 January 2025 by Facility Design Group Architecture &amp; Construction: 0431b - Cladding - combined, 0471 - Thermal Insulation and Pliable Membrane</t>
  </si>
  <si>
    <t>Refer to following architectural drawing series: A.100 for "Floor Plan", A.500 for "Elevations", A.600 for "Wall Details"</t>
  </si>
  <si>
    <t>23/1C</t>
  </si>
  <si>
    <t>23/1D</t>
  </si>
  <si>
    <t>Fixing in position with all necessary templates, blocking, nails, screws, plugs etc</t>
  </si>
  <si>
    <t>23/1E</t>
  </si>
  <si>
    <t>Cutting and making good around pipes and the like</t>
  </si>
  <si>
    <t>23/1F</t>
  </si>
  <si>
    <t>Wall framing</t>
  </si>
  <si>
    <t>16/1D</t>
  </si>
  <si>
    <t>16/1E</t>
  </si>
  <si>
    <t>16/1F</t>
  </si>
  <si>
    <t>16/1G</t>
  </si>
  <si>
    <t>16/1H</t>
  </si>
  <si>
    <t>Bolts and nuts and any type of washer that may be required</t>
  </si>
  <si>
    <t>Linings</t>
  </si>
  <si>
    <t>16/1J</t>
  </si>
  <si>
    <t>Notching and fitting around projections, pipes, light fittings, hatches and the like and including cleats, packers, wedges and similar items</t>
  </si>
  <si>
    <t>16/1K</t>
  </si>
  <si>
    <t>Nails and screws</t>
  </si>
  <si>
    <t>16/2A</t>
  </si>
  <si>
    <t>Internal and external angles</t>
  </si>
  <si>
    <t>16/2B</t>
  </si>
  <si>
    <t>Edges set and finished flush with solid plastering in the same plane</t>
  </si>
  <si>
    <t>16/2C</t>
  </si>
  <si>
    <t>Casing beads</t>
  </si>
  <si>
    <t>16/2D</t>
  </si>
  <si>
    <t>Insulation</t>
  </si>
  <si>
    <t>16/2E</t>
  </si>
  <si>
    <t>16/2F</t>
  </si>
  <si>
    <t>16/2G</t>
  </si>
  <si>
    <t>23/1G</t>
  </si>
  <si>
    <t>23/1H</t>
  </si>
  <si>
    <t>Allow for co-operating with, attending on and making good after all other trades as necessary</t>
  </si>
  <si>
    <t>23/1J</t>
  </si>
  <si>
    <t>23/1K</t>
  </si>
  <si>
    <t>Allow for cleaning on completion</t>
  </si>
  <si>
    <t>23/1L</t>
  </si>
  <si>
    <t>23/1M</t>
  </si>
  <si>
    <t xml:space="preserve">Allow for data submissions </t>
  </si>
  <si>
    <t>23/1N</t>
  </si>
  <si>
    <t>23/1P</t>
  </si>
  <si>
    <t>16/2H</t>
  </si>
  <si>
    <t>Allow for shop drawings if required</t>
  </si>
  <si>
    <t>16/2J</t>
  </si>
  <si>
    <t>Allow for samples</t>
  </si>
  <si>
    <t>16/2K</t>
  </si>
  <si>
    <t>16/2N</t>
  </si>
  <si>
    <t>Allow for attending on and making good after all other trades, cutting out and making good defective work and for cleaning on completion</t>
  </si>
  <si>
    <t>16/2P</t>
  </si>
  <si>
    <t>Allow for protecting finished surfaces</t>
  </si>
  <si>
    <t>16/2S</t>
  </si>
  <si>
    <t>CLADDING TO EXTERNAL WALLS</t>
  </si>
  <si>
    <t>9mm Thick Cemintel Barestone Expresswall Cladding with 28mm Furring Channel</t>
  </si>
  <si>
    <t>9mm Thick Cemintel Barestone Expresswall Cladding with 35mm Furring Channel</t>
  </si>
  <si>
    <t>Ground Level (A.100_A)</t>
  </si>
  <si>
    <t>9mm Thick Cemintel Barestone Expresswall Cladding with 45mm Furring Channel</t>
  </si>
  <si>
    <t>LOUVRES</t>
  </si>
  <si>
    <t>AL.LVR-01 - 1500 x 520mm high aluminium framed fixed louvre window. Louvreclad cascade series in powdercoat duratec Zeus white finish</t>
  </si>
  <si>
    <t>W.10 - 500 x 300mm high Louvreclad Cascade Series; Powdercoated AI. 100mm high performance fixed extruded mullion louvre</t>
  </si>
  <si>
    <t xml:space="preserve">W.31 - 900 x 1000mm high  Louvreclad Cascade Series; Powdercoated AI. 100mm high performance fixed extruded mullion louvre</t>
  </si>
  <si>
    <t>2200 x 1200mm high aluminium framed fixed louvre window. Louvreclad cascade series to existing window opening, powdercoat duratec Zeus white finish</t>
  </si>
  <si>
    <t>5733 x 2010mm high Luxacon 84R facade system by Hunter Douglas architectural products including join profiles, stringers and traffic white coating</t>
  </si>
  <si>
    <t>6000 x 2010mm high Luxacon 84R facade system by Hunter Douglas architectural products including join profiles, stringers and traffic white coating</t>
  </si>
  <si>
    <t>7600 x 2010mm high Luxacon 84R facade system by Hunter Douglas architectural products including join profiles, stringers and traffic white coating</t>
  </si>
  <si>
    <t>Glazing, Windows &amp; Glazed Doors</t>
  </si>
  <si>
    <t>Refer to following sections of Auburn Basketball Centre "Architectural Specification" Revision A dated 21 January 2025 by Facility Design Group Architecture &amp; Construction: 0451b - Windows, Doors, Glazed Doors and Automatic Sliding Doors, 0461 - Glazing, 0574 - Windows coverings</t>
  </si>
  <si>
    <t xml:space="preserve">Refer to following architectural drawing series: A.1000 to A.1001 for "Door and Window Schedule Numbering", and  A.1004 for "Window Schedule"</t>
  </si>
  <si>
    <t>22/1A</t>
  </si>
  <si>
    <t>22/1B</t>
  </si>
  <si>
    <t>22/1C</t>
  </si>
  <si>
    <t>All shop fabrication work</t>
  </si>
  <si>
    <t>22/1D</t>
  </si>
  <si>
    <t>22/1E</t>
  </si>
  <si>
    <t>Frames, mullions, transoms, glazing bars, beads and trims</t>
  </si>
  <si>
    <t>22/1F</t>
  </si>
  <si>
    <t>Cover plates within and between window units</t>
  </si>
  <si>
    <t>22/1G</t>
  </si>
  <si>
    <t>Window and door hardware</t>
  </si>
  <si>
    <t>22/1H</t>
  </si>
  <si>
    <t>Chain winders if required</t>
  </si>
  <si>
    <t>22/1J</t>
  </si>
  <si>
    <t>Caulking and pointing</t>
  </si>
  <si>
    <t>22/1K</t>
  </si>
  <si>
    <t>Flashings and weather bars</t>
  </si>
  <si>
    <t>22/1L</t>
  </si>
  <si>
    <t>Glass and glazing</t>
  </si>
  <si>
    <t>22/1M</t>
  </si>
  <si>
    <t>Sub-sills and sub-heads</t>
  </si>
  <si>
    <t>22/1N</t>
  </si>
  <si>
    <t>Packers</t>
  </si>
  <si>
    <t>22/1P</t>
  </si>
  <si>
    <t>22/1Q</t>
  </si>
  <si>
    <t>22/2A</t>
  </si>
  <si>
    <t>Allow for shop drawings as required</t>
  </si>
  <si>
    <t>22/2B</t>
  </si>
  <si>
    <t>22/2C</t>
  </si>
  <si>
    <t>22/2D</t>
  </si>
  <si>
    <t>22/2E</t>
  </si>
  <si>
    <t xml:space="preserve">Allow for providing shop drawings </t>
  </si>
  <si>
    <t>22/2F</t>
  </si>
  <si>
    <t>22/2G</t>
  </si>
  <si>
    <t>22/2H</t>
  </si>
  <si>
    <t>22/2J</t>
  </si>
  <si>
    <t>EXTERNAL WINDOWS AND GLAZED DOORS</t>
  </si>
  <si>
    <t>Ground Floor (A.200A-201A)</t>
  </si>
  <si>
    <t>Glazed Doors</t>
  </si>
  <si>
    <t xml:space="preserve">2340x920mm wide single leaf swing glazed door with aluminium frame in powdercoated finish (Area of 1 door panel = 2.15m2) </t>
  </si>
  <si>
    <t xml:space="preserve">2340x920mm wide single leaf swing glazed door with aluminium frame in powdercoated finish(Area of 1 door panel = 2.15m2)  </t>
  </si>
  <si>
    <t>Automatic Doors</t>
  </si>
  <si>
    <t xml:space="preserve">2700x3600mm wide double leaf sliding automatic glazed door with aluminium frame in powdercoated finish(Area of 1 door panel = 9.72m2) </t>
  </si>
  <si>
    <t>Curtain Wall</t>
  </si>
  <si>
    <t xml:space="preserve">2250x3010mm wide curtain wall with aluminium frame in powdercoated finish; Glass Type: 10.38mm low-e glass; Decals: full height frosted glazing film; SHGC Value: 0.8; U-Value: 6.7 (Area of 1  = 0.9m2) </t>
  </si>
  <si>
    <t xml:space="preserve">2250x2210mm wide curtain wall with aluminium frame in powdercoated finish; Glass Type: 10.38mm low-e glass/double glazed suite; Decals: frosted glazing film to 1m; Acoustic Rating: Rw31; SHGC Value: 0.8; U-Value: 6.7 (Area of 1  = 4.97m2)</t>
  </si>
  <si>
    <t xml:space="preserve">2250x3010mm wide curtain wall with aluminium frame in powdercoated finish; Glass Type: 10.38mm low-e glass; SHGC Value: 0.8; U-Value: 6.7 (Area of 1  = 6.77m2)</t>
  </si>
  <si>
    <t xml:space="preserve">2250x3010mm wide curtain wall with aluminium frame in powdercoated finish; Glass Type: 10.38mm low-e glass; Decals: full height frosted glazing film; SHGC Value: 0.8; U-Value: 6.7 (Area of 1  = 6.77m2)</t>
  </si>
  <si>
    <t xml:space="preserve">2250x5810mm wide curtain wall with aluminium frame in powdercoated finish; Glass Type: 10.38mm low-e glass; SHGC Value: 0.8; U-Value: 6.7 (Area of 1  = 13.07m2) </t>
  </si>
  <si>
    <t xml:space="preserve">2250x4810mm wide curtain wall with aluminium frame in powdercoated finish; Glass Type: 10.38mm low-e glass; SHGC Value: 0.8; U-Value: 6.7 (Area of 1  = 7.28m2) </t>
  </si>
  <si>
    <t xml:space="preserve">2250x4500mm wide curtain wall with aluminium frame in powdercoated finish; Glass Type: 10.38mm low-e glass; SHGC Value: 0.8; U-Value: 6.7 (Area of 1  = 10.13m2) </t>
  </si>
  <si>
    <t>Sliding Glazed window</t>
  </si>
  <si>
    <t xml:space="preserve">600x2400mm wide  sliding glazed window with aluminium frame in powdercoated finish (Area of 1 window panel = 1.44m2) </t>
  </si>
  <si>
    <t>Louvre</t>
  </si>
  <si>
    <t xml:space="preserve">300x500mm wide  louvre with aluminium frame in powdercoated finish  </t>
  </si>
  <si>
    <t xml:space="preserve">520x1500mm wide  louvre with aluminium frame in powdercoated finish  </t>
  </si>
  <si>
    <t>Level 1 (A.202A)</t>
  </si>
  <si>
    <t xml:space="preserve">2200x1200mm wide  louvre with aluminium frame in powdercoated finish  </t>
  </si>
  <si>
    <t xml:space="preserve">1000x900mm wide  louvre with aluminium frame in powdercoated finish  </t>
  </si>
  <si>
    <t xml:space="preserve">2200x1200mm wide  louvre with aluminium frame in powdercoated finish (Area of 1  = 0m2) </t>
  </si>
  <si>
    <t xml:space="preserve">2200x1200mm wide  louvre with aluminium frame in powdercoated finish; Glass Type: double glazed suite; Decals: frosted glazing film to 1m; Acoustic Rating: Rw31 </t>
  </si>
  <si>
    <t xml:space="preserve">2250x3010mm wide curtain wall with aluminium frame in powdercoated finish; Glass Type: 10.38mm low-e glass; SHGC Value: 0.8; U-Value: 6.7 (Area of 1  = 6.77m2) </t>
  </si>
  <si>
    <t xml:space="preserve">2250x2210mm wide curtain wall with aluminium frame in powdercoated finish; Glass Type: 10.38mm low-e glass; SHGC Value: 0.8; U-Value: 6.7 (Area of 1  = 4.97m2) </t>
  </si>
  <si>
    <t xml:space="preserve">1200x2781mm wide curtain wall with aluminium frame in powdercoated finish; Glass Type: 10.38mm low-e glass; SHGC Value: 0.8; U-Value: 6.7 (Area of 1  = 3.34m2) </t>
  </si>
  <si>
    <t xml:space="preserve">2250x4810mm wide curtain wall with aluminium frame in powdercoated finish; Glass Type: 10.38mm low-e glass; SHGC Value: 0.8; U-Value: 6.7 (Area of 1  = 10.82m2) </t>
  </si>
  <si>
    <t>Circular window</t>
  </si>
  <si>
    <t>2400x4753mm wide circular window with aluminium frame in powdercoated finish (Area of 1 window panel = 11.41m2) W.03</t>
  </si>
  <si>
    <t>INTERNAL WINDOWS AND GLAZED DOORS</t>
  </si>
  <si>
    <t xml:space="preserve">2100x3000mm wide curtain wall with aluminium frame in powdercoated finish; Glass Type: 10.38mm low-e glass; Decals: frosted glazing film to 1m; Acoustic Rating: Rw31; SHGC Value: 0.8; U-Value: 6.7 (Area of 1  = 6.3m2) </t>
  </si>
  <si>
    <t xml:space="preserve">2100x3000mm wide curtain wall with aluminium frame in powdercoated finish; Glass Type: 10.38mm low-e glass; Decals: full height frosted glazing film; SHGC Value: 0.8; U-Value: 6.7 (Area of 1  = 6.3m2) </t>
  </si>
  <si>
    <t>Fixed Glazed Window</t>
  </si>
  <si>
    <t xml:space="preserve">1400x5200mm wide bi-fold fixed glazed window with aluminium frame in powdercoated finish (Area of 1 window panel = 1.44m2) </t>
  </si>
  <si>
    <t xml:space="preserve">2300x3000mm wide curtain wall with aluminium frame in powdercoated finish; Glass Type: 10.38mm low-e glass; SHGC Value: 0.8; U-Value: 6.7 (Area of 1  = 6.9m2) </t>
  </si>
  <si>
    <t xml:space="preserve">2300x4500mm wide curtain wall with aluminium frame in powdercoated finish; Glass Type: 10.38mm low-e glass; SHGC Value: 0.8; U-Value: 6.7 (Area of 1  = 10.35m2) </t>
  </si>
  <si>
    <t xml:space="preserve">850x5200mm wide curtain wall with aluminium frame in powdercoated finish; Glass Type: 10.38mm low-e glass; SHGC Value: 0.8; U-Value: 6.7 (Area of 1  = 4.42m2) </t>
  </si>
  <si>
    <t xml:space="preserve">2400x4500mm wide curtain wall with aluminium frame in powdercoated finish; Glass Type: 10.38mm low-e glass; SHGC Value: 0.8; U-Value: 6.7 (Area of 1  = 10.8m2) </t>
  </si>
  <si>
    <t xml:space="preserve">2250x1500mm wide curtain wall with aluminium frame in powdercoated finish; Glass Type: 10.38mm low-e glass; SHGC Value: 0.8; U-Value: 6.7 (Area of 1  = 3.38m2) </t>
  </si>
  <si>
    <t xml:space="preserve">2400x2200mm wide curtain wall with aluminium frame in powdercoated finish; Glass Type: 10.38mm low-e glass; SHGC Value: 0.8; U-Value: 6.7 (Area of 1  = 5.28m2) </t>
  </si>
  <si>
    <t xml:space="preserve">2400x5000mm wide curtain wall with aluminium frame in powdercoated finish; Glass Type: 10.38mm low-e glass/double glazed suite;Decals: frosted glazing film to 1m; Acoustic Rating: Rw31; SHGC Value: 0.8; U-Value: 6.7 (Area of 1  = 12m2)   </t>
  </si>
  <si>
    <t xml:space="preserve">2400x5000mm wide curtain wall with aluminium frame in powdercoated finish; Glass Type: 10.38mm low-e glass; SHGC Value: 0.8; U-Value: 6.7 (Area of 1  = 12m2) </t>
  </si>
  <si>
    <t xml:space="preserve">2400x1157mm wide curtain wall with aluminium frame in powdercoated finish; Glass Type: 10.38mm low-e glass; SHGC Value: 0.8; U-Value: 6.7 (Area of 1  = 2.78m2) </t>
  </si>
  <si>
    <t xml:space="preserve">2400x1500mm wide curtain wall with aluminium frame in powdercoated finish; Glass Type: 10.38mm low-e glass; SHGC Value: 0.8; U-Value: 6.7 (Area of 1  = 3.6m2) </t>
  </si>
  <si>
    <t xml:space="preserve">2400x3010mm wide curtain wall with aluminium frame in powdercoated finish; Glass Type: 10.38mm low-e glass; SHGC Value: 0.8; U-Value: 6.7 (Area of 1  = 7.22m2) </t>
  </si>
  <si>
    <t xml:space="preserve">1400x5200mm wide curtain wall with aluminium frame in powdercoated finish; Glass Type: 10.38mm low-e glass; SHGC Value: 0.8; U-Value: 6.7 (Area of 1  = 7.28m2) </t>
  </si>
  <si>
    <t xml:space="preserve">2400x1015mm wide single leaf swing glazed door with aluminium frame in powdercoated finish(Area of 1 door panel = 2.44m2) </t>
  </si>
  <si>
    <t>SUPPLY AND INSTALL OF ALUMINIUM FRAMES TO EXTERNAL DOORS</t>
  </si>
  <si>
    <t>Installation of aluminium frame to single leaf swing solid core doors</t>
  </si>
  <si>
    <t>SUPPLY AND INSTALL OF ALUMINIUM FRAMES TO INTERNAL DOORS</t>
  </si>
  <si>
    <t>Installation of aluminium frame to single leaf swing flush panel doors</t>
  </si>
  <si>
    <t>Installation of aluminium frame to double leaf swing solid core doors</t>
  </si>
  <si>
    <t>GLAZING FILM</t>
  </si>
  <si>
    <t>Full height Frosted Glazing film</t>
  </si>
  <si>
    <t>Frosted Glazing fim to 1000mm height</t>
  </si>
  <si>
    <t>Doors and Door Hardware</t>
  </si>
  <si>
    <t>Refer to following sections of Auburn Basketball Centre "Architectural Specification" Revision A dated 21 January 2025 by Facility Design Group Architecture &amp; Construction: 0451b - Windows, Doors, Glazed Doors, and Automatic Sliding Doors, 0451p ALSPEC Aluminium Windows and Doors, 0453 - Doors and Access Panels, 0455 - Door Hardware, 0461 - Glazing, 0671p - Dulux Painting</t>
  </si>
  <si>
    <t>Refer to following architectural drawing series: A.100 for "Floor Plan", A.200 for "Wall Setout", A.400 for "Typical Sections", A.500 for "Elevations", A.600 for "Wall Details", A.700 for "Room and Stair Details", A.800 for "Finishes Schedule", A.1000 for "Doors and Window Schedule"</t>
  </si>
  <si>
    <t>Labours in framing, checking, mitring, housing, halving, mortice and tenoning, gluing, spiking, screwing and drilling for bolts</t>
  </si>
  <si>
    <t>Shop priming before fixing and priming all faces of undressed timber to be built in as required</t>
  </si>
  <si>
    <t>Cut-outs, spreader bars, stiffener plates, packers, mortar guards, strike plates, ties and anchors, rubber buffers, hinges etc.</t>
  </si>
  <si>
    <t>Filling frames solid with mortar and/or pressure grouting</t>
  </si>
  <si>
    <t xml:space="preserve">Allow for shop drawings as required </t>
  </si>
  <si>
    <t xml:space="preserve">Allow for submitting samples </t>
  </si>
  <si>
    <t>23/2A</t>
  </si>
  <si>
    <t>Allow for attending upon and making good after all other trades, cutting out and making good defective work and for cleaning off and leaving work perfect on completion</t>
  </si>
  <si>
    <t>23/2B</t>
  </si>
  <si>
    <t>23/2C</t>
  </si>
  <si>
    <t>23/2D</t>
  </si>
  <si>
    <t>Allow for providing independent testing authority report that fire doors have passed relevant tests</t>
  </si>
  <si>
    <t>23/2E</t>
  </si>
  <si>
    <t>Allow for priming the top and bottom edges of the door before installation</t>
  </si>
  <si>
    <t>24/1F</t>
  </si>
  <si>
    <t>Allow for keying alike, master keying and grandmaster keying if specified</t>
  </si>
  <si>
    <t>24/1G</t>
  </si>
  <si>
    <t>Allow for construction keying</t>
  </si>
  <si>
    <t>23/2F</t>
  </si>
  <si>
    <t>EXTERNAL DOORS</t>
  </si>
  <si>
    <t>Flush Panel Doors</t>
  </si>
  <si>
    <t xml:space="preserve">2040x1640mm wide double leaf swing flush panel door with steel frame in paint finish </t>
  </si>
  <si>
    <t>Flush Solid Core Doors</t>
  </si>
  <si>
    <t xml:space="preserve">2380x1120mm wide single leaf swing flush solid core door with steel frame in paint finish </t>
  </si>
  <si>
    <t xml:space="preserve">2340x920mm wide single leaf swing flush solid core door with steel frame in paint finish </t>
  </si>
  <si>
    <t>Solid Core Doors</t>
  </si>
  <si>
    <t>2100x1843mm wide single leaf swing solid core door; 350x550mm wide return air grille; 230mm high x to match door leaf kickplate (NB: Supply and install of aluminium frames were measured elsewhere)</t>
  </si>
  <si>
    <t>2340x1843x38mm thick single leaf swing solid core door; Perimeter Seal RP120,Bottom RP38,Meeting Stiles RP16Si; 350x550mm wide return air grille; 230mm high x to match door leaf kickplate (NB: Supply and install of aluminium frames were measured elsewhere)</t>
  </si>
  <si>
    <t>Roller Doors</t>
  </si>
  <si>
    <t>5000x5100mm wide roller door including all fittings, hardware, and equipments</t>
  </si>
  <si>
    <t>INTERNAL DOORS</t>
  </si>
  <si>
    <t>2340x920mm wide single leaf swing flush panel door; 350x550mm wide return air grille; 230mm high x to match door leaf kickplate (NB: Supply and install of aluminium frames were measured elsewhere)</t>
  </si>
  <si>
    <t>2340x920x35mm thick single leaf swing flush panel door; 350x550mm wide return air grille; 230mm high x to match door leaf kickplate (NB: Supply and install of aluminium frames were measured elsewhere)</t>
  </si>
  <si>
    <t>2340x920x40mm thick single leaf swing flush panel door; 350x550mm wide return air grille; 230mm high x to match door leaf kickplate (NB: Supply and install of aluminium frames were measured elsewhere)</t>
  </si>
  <si>
    <t>2340x920x45mm thick single leaf swing flush panel door (NB: Supply and install of aluminium frames were measured elsewhere)</t>
  </si>
  <si>
    <t>2340x920x40mm thick single leaf swing flush panel door ; Perimeter Seal RP120,Bottom - RP87Si,; 350x550mm wide return air grille; 230mm high x to match door leaf kickplate (NB: Supply and install of aluminium frames were measured elsewhere)</t>
  </si>
  <si>
    <t>2340x920x35mm thick single leaf swing flush panel door (NB: Supply and install of aluminium frames were measured elsewhere)</t>
  </si>
  <si>
    <t xml:space="preserve">2380x1120x0mm wide  single leaf swing flush solid core door with steel frame in paint finish </t>
  </si>
  <si>
    <t xml:space="preserve">2410x920x0mm wide single leaf swing flush solid core door with steel frame in paint finish </t>
  </si>
  <si>
    <t>2400x1843mm wide double leaf swing solid core door; Perimeter Seal RP120,Bottom RP38,Meeting Stiles RP16Si; ; 230mm high x to match door leaf kickplate (NB: Supply and install of aluminium frames were measured elsewhere)</t>
  </si>
  <si>
    <t xml:space="preserve">2100x1643x0mm wide double leaf swing solid core door with steel frame in paint finish; ; 230mm high x to match door leaf kickplate </t>
  </si>
  <si>
    <t>2500x2100x0mm wide roller door including fittings, hardwares, and equipments</t>
  </si>
  <si>
    <t>2000x2340x0mm wide roller door including fittings, hardwares, and equipments</t>
  </si>
  <si>
    <t xml:space="preserve">2380x1120mm wide  single leaf swing flush solid core door with steel frame in paint finish </t>
  </si>
  <si>
    <t>DOOR HARDWARE TO EXTERNAL DOORS</t>
  </si>
  <si>
    <t>Door hardware to double leaf swing flush panel doors</t>
  </si>
  <si>
    <t>Door hardware to single leaf swing flush solid core doors</t>
  </si>
  <si>
    <t>Door hardware to single leaf swing solid core doors</t>
  </si>
  <si>
    <t>DOOR HARDWARE TO INTERNAL DOORS</t>
  </si>
  <si>
    <t>Door hardware to single leaf swing flush panel doors</t>
  </si>
  <si>
    <t>Door hardware to double leaf swing solid core doors</t>
  </si>
  <si>
    <t>DOOR SEAL</t>
  </si>
  <si>
    <t>Door Seal to External Doors</t>
  </si>
  <si>
    <t>Perimeter Seal RP120</t>
  </si>
  <si>
    <t>Bottom Seal RP38</t>
  </si>
  <si>
    <t>Door Seal to Internal Doors</t>
  </si>
  <si>
    <t>Bottom Seal 87Si</t>
  </si>
  <si>
    <t>MEETING STILE</t>
  </si>
  <si>
    <t>Meeting Stile to External Doors</t>
  </si>
  <si>
    <t>Meeting Stiles RP16Si</t>
  </si>
  <si>
    <t>Meeting Stile to Internal Doors</t>
  </si>
  <si>
    <t>KICKPLATES</t>
  </si>
  <si>
    <t>Kickplates to External Doors</t>
  </si>
  <si>
    <t>230mm high x to match door leaf kickplate</t>
  </si>
  <si>
    <t>Kickplates to Internal Doors</t>
  </si>
  <si>
    <t>Partitions &amp; Linings</t>
  </si>
  <si>
    <t>16/1A</t>
  </si>
  <si>
    <t>16/1B</t>
  </si>
  <si>
    <t xml:space="preserve">Refer to following sections of Auburn Basketball Centre "Architectural Specification" Revision A dated 21 January 2025 by Facility Design Group Architecture &amp; Construction: 0471 - Thermal insulation and pliable membranes, 0472 - Acoustic insulation and 0520 - Partitions - combined
</t>
  </si>
  <si>
    <t>Refer to Auburn Basketball Centre "Acoustic Design Report" Revision A dated 4 October 2024 by Building Services Engineers</t>
  </si>
  <si>
    <t xml:space="preserve">Refer to Auburn Basketball Centre "Fire Engineering Report" dated 4 December 2024 by Minerva Group (NSW) Pty Ltd
</t>
  </si>
  <si>
    <t>Refer to Auburn Basketball Centre "NCC Section J - J1V3 Assessment Report" dated 28 January 2025 by Building Services Engineers</t>
  </si>
  <si>
    <t>16/1C</t>
  </si>
  <si>
    <t>16/2L</t>
  </si>
  <si>
    <t>16/2M</t>
  </si>
  <si>
    <t>16/2Q</t>
  </si>
  <si>
    <t>16/2R</t>
  </si>
  <si>
    <t>16/2T</t>
  </si>
  <si>
    <t>External cladding was measured elsewhere.</t>
  </si>
  <si>
    <t>Blockwork was measured elsewhere.</t>
  </si>
  <si>
    <t>Cement render was measured elsewhere.</t>
  </si>
  <si>
    <t>Assumptions on wall types for walls without tagging were based on arrangement - location on wall setout plans. Remove if not required.</t>
  </si>
  <si>
    <t>EXTERNAL WALL</t>
  </si>
  <si>
    <t>Fire Rated Wall</t>
  </si>
  <si>
    <t>(9BS/45SS/200FFB/-) - 50mm thick R1.50 (32kg/m3) bulk insulation; Fire rating: 2 hr</t>
  </si>
  <si>
    <t>Ground Floor (A.200A-A.201A)</t>
  </si>
  <si>
    <t>(9BS/35SS/190FFB/13PB) - 1x13mm thick direct stick fire-rated plasterboard lining to internal side; with non-combustible insulation; Fire rating: 2hr</t>
  </si>
  <si>
    <t>(9BS/35SS/190FFB/13PB) - 1x13mm thick direct stick fire-rated plasterboard lining to internal side; with 50mm thick R1.50 (32kg/m3) bulk insulation; Fire rating: 2hr</t>
  </si>
  <si>
    <t>(9BS/45SS/200PC/-) - 1x13mm thick high impact plasterboard lining to Court Hall side with 50mm thick R1.50 (32kg/m3) bulk insulation; Fire rating: 2hr (NB: High impact plasterboard to Court Hall side was assumed based on the arrangement - location of wall type on plan. Remove if not required)</t>
  </si>
  <si>
    <t>Non-Fire Rated Wall</t>
  </si>
  <si>
    <t>(9BS/45SS) - 35mm Thick Intex Rockwool insulation boards with Bradford Enviroseal Proctor Wrap</t>
  </si>
  <si>
    <t>(9BS/35SS) - 35mm Thick Intex Rockwool insulation boards with Bradford Enviroseal Proctor Wrap</t>
  </si>
  <si>
    <t>(9BS/28SS) - 35mm Thick Intex Rockwool insulation boards with Bradford Enviroseal Proctor Wrap</t>
  </si>
  <si>
    <t>(9BS/45SS/200PC/-) - 50mm thick R1.50 bulk insulation</t>
  </si>
  <si>
    <t>(9BS/45SS/200PC/-) - Non-combustible insulation (NB: No details provided)</t>
  </si>
  <si>
    <t>(9BS/45SS/200FFB/-) - Non-combustible insulation (NB: No details provided)</t>
  </si>
  <si>
    <t>(9BS/35SS/190FFB/13PB) - 1x13mm thick direct fixed standard plasterboard lining to internal side; with non-combustible insulation</t>
  </si>
  <si>
    <t>(9BS/35SS/190FFB/13PB) - 1x13mm thick direct fixed high impact plasterboard lining to internal side, with 50mm thick R1.50 (32kg/m3) bulk insulation</t>
  </si>
  <si>
    <t>(9BS/45SS/200SS/13PB) - 1x13mm thick high impact plasterboard lining to internal side, with 50mm thick R1.50 (32kg/m3) bulk insulation</t>
  </si>
  <si>
    <t>(9BS/45SS/200FFB/13PB) - 1x6mm thick fibre cement sheet to internal side, with 50mm thick R1.50 (32kg/m3) bulk insulation (NB: Fibre cement sheet to internal side was assumed based on the arrangement - location of wall type on plan. Remove if not required)</t>
  </si>
  <si>
    <t>(9BS/45SS/200PC/-) - 1x13mm thick high impact plasterboard lining to Court Hall side with 50mm thick R1.50 (32kg/m3) bulk insulation (NB: High impact plasterboard to Court Hall side was assumed based on the arrangement - location of wall type on plan. Remove if not required)</t>
  </si>
  <si>
    <t>Frametek Steel Framing</t>
  </si>
  <si>
    <t>(9BS/45SS/200SS/13PB) - 200mm Frametek steel stud framing</t>
  </si>
  <si>
    <t>(29MS/150SS) - 150mm Frametek wall frame with non combustible insulation to frame cavity</t>
  </si>
  <si>
    <t>Roof Level (A.102_A)</t>
  </si>
  <si>
    <t>(29MS/50TH/200SS/50TH/29MS) - 200mm Frametek wall frame with non combustible insulation to frame cavity</t>
  </si>
  <si>
    <t>INTERNAL WALL</t>
  </si>
  <si>
    <t>(13PB/90SS/9FC/13PB) - 1x13mm thick fire-rated high impact plasterboard lining (10.5kg/m2) to each side, fixed to min. 92mm steel stud with 90mm thick insulation in cavity, min. 11kg/m3 density;Acoustic Rating Dw/Rw (dB): 40/45 (NB: Fire-rated high impact plasterboards on each side were assumed based on the arrangement - location of wall type on plan. Remove if not required)</t>
  </si>
  <si>
    <t>(13PB/90SS/9FC/13PB) - 1x13mm thick fire-rated high impact plasterboard lining (10.5kg/m2) to one side, fixed to min. 92mm steel stud with 90mm thick insulation in cavity, min. 11kg/m3 density; and 1x9mm thick fibre cement with 1x13mm thick standard plasterboard (8.5kg/m2) to other side; Acoustic Rating Dw/Rw (dB): 40/45</t>
  </si>
  <si>
    <t>(13PB/90SS/9FC/13PB) - 1x13mm thick fire-rated plasterboard lining (10.5kg/m2) to one side, fixed to min. 92mm steel stud with 90mm thick insulation in cavity, min. 11kg/m3 density; Acoustic Rating Dw/Rw (dB): 40/45 (NB: Fire-rated plasterboard to one side was assumed based on the arrangement - location of wall type on plan. Remove if not required)</t>
  </si>
  <si>
    <t>Dry/- - (13PB/90SS/9FC/13PB) - 1x13mm thick fire-rated plasterboard lining (10.5kg/m2) to one side fixed to min. 92mm steel stud with 90mm thick insulation in cavity, min. 11kg/m3 density; Acoustic Rating Dw/Rw (dB): 40/45 (NB: Fire-rated plasterboard to one side was assumed based on the arrangement - location of wall type on plan. Remove if not required)</t>
  </si>
  <si>
    <t>(13PB/90SS/13PB) - 1x13mm thick fire-rated high impact plasterboard lining (10.5kg/m2) to one side, fixed to min. 92mm steel stud with 90mm thick R2.7 bulk insulation in cavity, 32kg/m3 density; and 1x13mm thick standard plasterboard (8.5kg/m2) to other side; Acoustic Rating Dw/Rw (dB): 40/45</t>
  </si>
  <si>
    <t>(13PB/90SS/13PB) - 1x13mm thick fire-rated high impact plasterboard lining (10.5kg/m2) to one side, fixed to min. 92mm steel stud with 90mm thick insulation in cavity, min. 11kg/m3 density; and 1x13mm thick standard plasterboard (8.5kg/m2) to other side; Acoustic Rating Dw/Rw (dB): 40/45</t>
  </si>
  <si>
    <t xml:space="preserve">(13PB/90SS/13PB) - 1x13mm thick fire-rated high impact plasterboard lining (10.5kg/m2) to dry side, fixed to min. 92mm steel stud with 90mm thick  insulation in cavity, min. 11kg/m3 density; and 1x6mm thick fibre cement sheet on wet side; Acoustic Rating Dw/Rw (dB): 40/45 (NB: Fire rated high impact plasterboard to dry side and fibre cement sheet on wet side were assumed based on the arrangement - location of wall types on plan. Remove if not required)</t>
  </si>
  <si>
    <t>(13PB/200FFB/6CR) - 1x13mm thick fire rated high impact plasterboard lining to dry side; Acoustic Rating Dw/Rw (dB): 35/40; Fire rating: 120/-/-</t>
  </si>
  <si>
    <t>(13PB/200FFB/6CR) - 1x13mm thick fire rated high impact plasterboard lining to dry side; Acoustic Rating Dw/Rw (dB): 35/40; Fire rating: 120/-/- (NB: Standard plasterboard to dry side was assumed based on the arrangement - location of wall type on plan. Remove if not required)</t>
  </si>
  <si>
    <t>(9BS/45SS/200PC/-) - 1x13mm thick fire rated high impact plasterboard lining to Court Hall side with non-combustible insulation; Fire rating: 2hr (NB: High impact plasterboard to Court Hall side was assumed based on the arrangement - location of wall type on plan. Remove if not required)</t>
  </si>
  <si>
    <t>Acoustically Rated Wall</t>
  </si>
  <si>
    <t>(9BS/45SS/200SS/13PB) - 1x13mm thick high impact plasterboard lining to Court Hall side, with non-combustible insulation; Acoustic Rating: Rw45</t>
  </si>
  <si>
    <t>(6FC/90SS/6FC) - 1x13mm thick high impact plasterboard lining to dry side, fixed to 92mm steel stud with 90mm thick insulation in cavity, min. 11kg/m3 density; and 1x6mm fibre cement sheet to wet side; Acoustic Rating Dw/Rw (dB): 35/40 (NB: High impact plasterboard to dry side and fibre cement sheet to wet side were assumed based on the arrangement - location of wall type on plan. Remove if not required)</t>
  </si>
  <si>
    <t>(6FC/90SS/6FC) - 1x6mm thick fibre cement sheet to each side, fixed to 92mm steel stud with 90mm thick insulation in cavity, min. 11kg/m3 density; Acoustic Rating Dw/Rw (dB): 35/40</t>
  </si>
  <si>
    <t>(6FC/90SS/6FC) - 1x6mm thick fibre cement sheet to one side, fixed to 92mm steel stud with 90mm thick insulation in cavity, min. 11kg/m3 density; Acoustic Rating Dw/Rw (dB): 35/40</t>
  </si>
  <si>
    <t>(-/200FFB/13PB) - 1x13mm thick direct fixed high impact plasterboard to one side; Acoustic Rating Dw/Rw (dB): 35/40</t>
  </si>
  <si>
    <t>(-/200FFB/13PB) - 1x13mm thick direct fixed standard plasterboard to one side; Acoustic Rating Dw/Rw (dB): 35/40</t>
  </si>
  <si>
    <t>(13PB/90SS/6FC) - 1x13mm thick high impact plasterboard lining (8.5kg/m2) to dry side, fixed to 92mm steel stud with 90mm thick insulation in cavity, min 11kg/m3 density; and 1x6mm thick fibre cement sheet to wet side; Acoustic Rating Dw/Rw (dB): 35/40</t>
  </si>
  <si>
    <t xml:space="preserve">(13PB/90SS/6FC) - 1x13mm thick standard plasterboard (8.5kg/m2) to one side, fixed to 92mm steel stud with 90mm thick insulation in cavity, min 11kg/m3 density; Acoustic Rating Dw/Rw (dB): 35/40  (NB: Standard plasterboard lining to one side was assumed based on the arrangement - location of wall type on plan. Remove if not required)</t>
  </si>
  <si>
    <t xml:space="preserve">(13PB/90SS/6FC) - 1x13mm thick high impact plasterboard (8.5kg/m2) to one side, fixed to 92mm steel stud with 90mm thick insulation in cavity, min 11kg/m3 density; Acoustic Rating Dw/Rw (dB): 35/40  (NB: Standard plasterboard lining to one side was assumed based on the arrangement - location of wall type on plan. Remove if not required)</t>
  </si>
  <si>
    <t>(9FC/90SS/9FC) - 1x13mm thick standard plasterboard lining on dry side fixed to 92mm steel stud with 90mm thick insulation in cavity, min. 11kg/m3; and 1x9mm thick fibre cement sheet to wet side; Acoustic Rating Dw/Rw (dB): 35/40</t>
  </si>
  <si>
    <t>(13PB/90SS/13PB) - 1x13mm thick high impact plasterboard lining on each side, fixed to 92mm steel stud; with 90mm thick R2.7 bulk insulation in cavity, 32kg/m3; Acoustic Rating Dw/Rw (dB): 30/35</t>
  </si>
  <si>
    <t>(13PB/90SS/13PB) - 1x13mm thick high impact plasterboard lining on each side, fixed to 92mm steel stud; with 90mm thick insulation in cavity, min. 11kg/m3; Acoustic Rating Dw/Rw (dB): 35/40</t>
  </si>
  <si>
    <t>(13PB/90SS/13PB) - 1x13mm thick standard plasterboard lining on each side, fixed to 92mm steel stud; with 90mm thick insulation in cavity, min. 11kg/m3; Acoustic Rating Dw/Rw (dB): 35/40</t>
  </si>
  <si>
    <t>(13PB/90SS/13PB) - 1x13mm thick standard plasterboard lining on one side, fixed to 92mm steel stud; with 90mm thick insulation in cavity, min. 11kg/m3; Acoustic Rating Dw/Rw (dB): 35/40</t>
  </si>
  <si>
    <t>(-/200PC/-) - 1x13mm thick high impact plasterboard lining to Court Hall side with non-combustible insulation; Acoustic rating: Rw35 (NB: High impact plasterboard to Court Hall side was assumed based on the arrangement - location of wall type on plan. Remove if not required)</t>
  </si>
  <si>
    <t>(-/200PC/-) - 1x13mm thick high impact plasterboard lining to Court Hall side with non-combustible insulation; Acoustic rating: Rw40 (NB: High impact plasterboard to Court Hall side was assumed based on the arrangement - location of wall type on plan. Remove if not required)</t>
  </si>
  <si>
    <t>1x13mm thick standard plasterboard to one side, fixed to concrete column with insulation; Acoustic Rating Dw/Rw (dB): 35/40 (NB: Standard plasterboard to one side was assumed based on the arrangement - location of wall type on plan. Remove if not required)</t>
  </si>
  <si>
    <t>1x13mm thick standard plasterboard to one side, fixed to steel stud (NB: Standard plasterboard to one side was assumed based on the arrangement - location of wall type on plan. Remove if not required)</t>
  </si>
  <si>
    <t>1x6mm thick fibre cement sheet to wet side (NB: Fibre cement sheet to wet side was assumed based on the arrangement - location of wall type on plan. Remove if not required)</t>
  </si>
  <si>
    <t>(9BS/45SS/200SS/13PB) - 1x13mm thick standard plasterboard lining to Court Hall side, with non-combustible insulation</t>
  </si>
  <si>
    <t>(13PB/200FFB/13PB) - 1x13mm thick standard plasterboard lining to each side</t>
  </si>
  <si>
    <t>(13PB/90SS/6FC) - 1x13mm thick standard plasterboard lining (8.5kg/m2) to dry side, fixed to 92mm steel stud with non-combustible insulation; and 1x6mm thick fibre cement sheet to wet side</t>
  </si>
  <si>
    <t>(13PB/90SS/6FC) - 1x13mm thick standard plasterboard lining (8.5kg/m2) to one side, fixed to 92mm steel stud with non-combustible insulation (NB:Standard plasterboard lining to one side was assumed based on the arrangement - location of wall type on plan. Remove if not required)</t>
  </si>
  <si>
    <t>(-/200FFB/13PB) - 1x13mm thick direct fixed high impact plasterboard to one side</t>
  </si>
  <si>
    <t>(-/200FFB/13PB) - 1x13mm thick direct fixed standard plasterboard to one side</t>
  </si>
  <si>
    <t>(6FC/50SS/6FC) - 1x6mm thick fibre cement sheet to wet side, fixed to 50mm steel stud with non-combustible insulation (NB: Fibre cement sheet to wet side was assumed based on the arrangement - location of wall type on plan. Remove if not required)</t>
  </si>
  <si>
    <t>(6FC/90SS/6FC) - 1x6mm thick fibre cement sheet to each side, fixed to 90mm steel stud with non-combustible insulation</t>
  </si>
  <si>
    <t>(6FC/90SS/6FC) - 1x6mm thick fibre cement sheet to wet side, fixed to 90mm steel stud (NB: Fibre cement sheet to wet side was assumed based on the arrangement - location of wall type on plan. Remove if not required)</t>
  </si>
  <si>
    <t>(6FC/90SS/6FC) - 1x6mm thick fibre cement sheet to wet side, fixed to 90mm steel stud with non-combustible insulation (NB: Fibre cement sheet to wet side was assumed based on the arrangement - location of wall type on plan. Remove if not required)</t>
  </si>
  <si>
    <t>(9FC/90SS/9FC) - 1x9mm thick fibre cement sheet to each side, fixed to 90mm steel stud with non-combustible insulation</t>
  </si>
  <si>
    <t>(9FC/90SS/9FC) - 1x9mm thick fibre cement sheet to wet side, fixed to 90mm steel stud with non-combustible insulation; and 1x13mm thick high impact plasterboard lining on dry side</t>
  </si>
  <si>
    <t>(9FC/90SS/9FC) - 1x9mm thick fibre cement sheet to wet side, fixed to 90mm steel stud with non-combustible insulation; and 1x13mm thick standard plasterboard lining on dry side</t>
  </si>
  <si>
    <t>(9FC/90SS/9FC) - 1x9mm thick fibre cement sheet to wet side, fixed to 90mm steel stud with non-combustible insulation (NB: Fibre cement sheet to wet side was assumed based on the arrangement - location of wall type on plan. Remove if not required)</t>
  </si>
  <si>
    <t>(13PB/90SS/13PB) - 1x13mm thick high impact plasterboard lining to each side, fixed to 90mm steel stud with non-combustible insulation</t>
  </si>
  <si>
    <t>(13PB/90SS/13PB) - 1x13mm thick standard plasterboard lining to each side, fixed to 90mm steel stud with non-combustible insulation</t>
  </si>
  <si>
    <t>(13PB/90SS/13PB) - 1x13mm thick standard plasterboard lining to one side, fixed to 90mm steel stud with non-combustible insulation (NB: Standard plasterboard lining to one side was assumed based on the arrangement - location of wall type on plan. Remove if not required)</t>
  </si>
  <si>
    <t>Lining to Walls</t>
  </si>
  <si>
    <t>1x13mm thick high impact plasterboard to one side (NB: High impact plasterboard to one side was assumed based on the arrangement - location of wall type on plan. Remove if not required)</t>
  </si>
  <si>
    <t>1x13mm thick high impact plasterboard to one side, fixed to concrete column (NB: High impact plasterboard to one side was assumed based on the arrangement - location of wall type on plan. Remove if not required)</t>
  </si>
  <si>
    <t>1x6mm thick fibre cement sheet to wet side, fixed to concrete column (NB: Fibre cement sheet to one side was assumed based on the arrangement - location of wall type on plan. Remove if not required)</t>
  </si>
  <si>
    <t>INSTALLATION OF METAL FRAME TO EXTERNAL DOORS</t>
  </si>
  <si>
    <t>Installation of steel frame to double leaf swing flush panel doors</t>
  </si>
  <si>
    <t>Installation of steel frame to single leaf swing flush solid core doors</t>
  </si>
  <si>
    <t>INSTALLATION OF METAL FRAME TO INTERNAL DOORS</t>
  </si>
  <si>
    <t>Installation of steel frame to double leaf swing solid core doors</t>
  </si>
  <si>
    <t>Ceilings</t>
  </si>
  <si>
    <t>17/1A</t>
  </si>
  <si>
    <t>17/1B</t>
  </si>
  <si>
    <t>Refer to following sections of Auburn Basketball Centre "Architectural Specification" Revision A dated 21 January 2025 by Facility Design Group Architecture &amp; Construction: 0531 - Suspended Ceilings - Combined, 0531p - RONDO in supsended ceilings - combined</t>
  </si>
  <si>
    <t>Refer to following architectural drawing series: A.300 for "Reflected Ceiling Plans", A.800 for "Finishes Schedule"</t>
  </si>
  <si>
    <t>Refer to NCC Section J - J1V3 Assessment Report by Building Services Engineers dated 28 January 2025</t>
  </si>
  <si>
    <t>17/1C</t>
  </si>
  <si>
    <t>Cutting and making good around sprinkler heads, pipes and the like</t>
  </si>
  <si>
    <t>17/1D</t>
  </si>
  <si>
    <t>Movement and control joints</t>
  </si>
  <si>
    <t>17/1E</t>
  </si>
  <si>
    <t>Purpose made stop beads, casing beads and corner beads</t>
  </si>
  <si>
    <t>17/1F</t>
  </si>
  <si>
    <t>17/1G</t>
  </si>
  <si>
    <t>17/1H</t>
  </si>
  <si>
    <t>17/1J</t>
  </si>
  <si>
    <t>Allow for submitting samples</t>
  </si>
  <si>
    <t>17/1K</t>
  </si>
  <si>
    <t>17/1L</t>
  </si>
  <si>
    <t>17/1M</t>
  </si>
  <si>
    <t>17/1N</t>
  </si>
  <si>
    <t>17/1P</t>
  </si>
  <si>
    <t>17/2A</t>
  </si>
  <si>
    <t>Allow for giving notice of inspections</t>
  </si>
  <si>
    <t>17/2B</t>
  </si>
  <si>
    <t xml:space="preserve">Allow for providing spares </t>
  </si>
  <si>
    <t>Assume 600x600mm wide Access Panel to each floor.</t>
  </si>
  <si>
    <t>CEILING TYPE</t>
  </si>
  <si>
    <t>Ceiling Type up to 3.5m height from AFFL</t>
  </si>
  <si>
    <t>I.SCE-01; Armstrong Optima OP dB Suspended Ceiling 1200x 600mm GRID</t>
  </si>
  <si>
    <t>Ground Floor (A.300_A)</t>
  </si>
  <si>
    <t>Level 1 (A.301_A)</t>
  </si>
  <si>
    <t>I.SCE-02; Armstrong Bioguard Acoustic Suspended Ceiling 1200x 600mm GRID</t>
  </si>
  <si>
    <t>I.SCE-03; Armstrong Bioguard Acoustic Suspended Ceiling 1200x 600mm GRID</t>
  </si>
  <si>
    <t>6mm FC Soffit/50mm Steel Stud+ Non-Combustible Insulation</t>
  </si>
  <si>
    <t>BULKHEAD AND CEILING ACCESSORIES</t>
  </si>
  <si>
    <t>Bulkheads installation up to 3.5m high (Including bulkhead to skylights and stair opening)</t>
  </si>
  <si>
    <t>13mm Plasterboard/90mm Steel Stud+ Non-Combustible Insulation bulkheads greater than 250mm high</t>
  </si>
  <si>
    <t>WR Plasterboard bulkheads less than 250mm high</t>
  </si>
  <si>
    <t>INSULATION TO CEILING</t>
  </si>
  <si>
    <t>R2.0 Non-Combustible Bulk Insulation</t>
  </si>
  <si>
    <t>Insulation under I.SCE-01</t>
  </si>
  <si>
    <t>Insulation under I.SCE-02</t>
  </si>
  <si>
    <t>Insulation under No Linings</t>
  </si>
  <si>
    <t>Carpet</t>
  </si>
  <si>
    <t>19/1A</t>
  </si>
  <si>
    <t>19/1B</t>
  </si>
  <si>
    <t>Refer to following sections of Auburn Basketball Centre "Architectural Specification" Revision A dated 21 January 2025 by Facility Design Group Architecture &amp; Construction: 0652 - Carpets</t>
  </si>
  <si>
    <t>18/1C</t>
  </si>
  <si>
    <t>Cutting including raking and circular cutting and waste</t>
  </si>
  <si>
    <t>18/1D</t>
  </si>
  <si>
    <t>Making good around pipes and the like</t>
  </si>
  <si>
    <t>18/1E</t>
  </si>
  <si>
    <t>21.1B</t>
  </si>
  <si>
    <t>Allow for all deemed to be included items</t>
  </si>
  <si>
    <t>21.1C</t>
  </si>
  <si>
    <t>21.1D</t>
  </si>
  <si>
    <t>21.1E</t>
  </si>
  <si>
    <t>Additional floor preparation items not documented but measured for best practice, builder to remove if not required</t>
  </si>
  <si>
    <t>CARPET FINISHES</t>
  </si>
  <si>
    <t>I.CPT-01 - Graphite 8.5mm Thick 1020GSM; Colour - Broadrib Avondale; Supplier: Nolan</t>
  </si>
  <si>
    <t>I.CPT-02 - 8mm 835GSM; Colour: Carbon Ribbed; Finish: Reef; Supplier: Nolan</t>
  </si>
  <si>
    <t>FLOOR PREPARATION AND PROTECTION</t>
  </si>
  <si>
    <t>Grind floor (if required)</t>
  </si>
  <si>
    <t xml:space="preserve">Make good floor levels (3mm ardit / topping), 50% of area allowed </t>
  </si>
  <si>
    <t>Allow for floor protection to carpet areas</t>
  </si>
  <si>
    <t>Resilient Finishes</t>
  </si>
  <si>
    <t>18/1A</t>
  </si>
  <si>
    <t>18/1B</t>
  </si>
  <si>
    <t>Refer to following sections of Auburn Basketball Centre "Architectural Specification" Revision A dated 21 January 2025 by Facility Design Group Architecture &amp; Construction: 0651 - Resilient Finishes</t>
  </si>
  <si>
    <t>18/1F</t>
  </si>
  <si>
    <t>Allow for attending on and making good after all other trades, cutting out and making good defective work</t>
  </si>
  <si>
    <t>18/1G</t>
  </si>
  <si>
    <t>18/1H</t>
  </si>
  <si>
    <t>18/1J</t>
  </si>
  <si>
    <t>18/1K</t>
  </si>
  <si>
    <t>18/1L</t>
  </si>
  <si>
    <t>18/1M</t>
  </si>
  <si>
    <t>18/2A</t>
  </si>
  <si>
    <t>Allow for spare materials as specified (1%)</t>
  </si>
  <si>
    <t>18/2B</t>
  </si>
  <si>
    <t>18/2C</t>
  </si>
  <si>
    <t>VINYL FLOORING</t>
  </si>
  <si>
    <t>I.VIN-01 - Safestep Vinyl Floor Finish; Colour: Charcoal - R12 Slip Resistance; Supplier: Forbo; Code: 175882 charcoal</t>
  </si>
  <si>
    <t>RUBBER</t>
  </si>
  <si>
    <t xml:space="preserve">I.RGF-01  - Impact - Tile; Black Polymerically Bound Recycled Rubberl 6% EPDM - 15mm thick 800KG/m3; Supplier: A1 Rubber</t>
  </si>
  <si>
    <t>FLOOR JUNCTION</t>
  </si>
  <si>
    <t>between Vinyl &amp; Timber</t>
  </si>
  <si>
    <t>between Vinyl &amp; Carpet</t>
  </si>
  <si>
    <t xml:space="preserve">between Carpet &amp; Rubber </t>
  </si>
  <si>
    <t>between Rubber &amp; Timber</t>
  </si>
  <si>
    <t xml:space="preserve">Allow for costs associated with treating concrete slabs to meet AS1884 ready to receive resilient finishes if the required moisture content cannot be achieved including the application of selected sealer </t>
  </si>
  <si>
    <t>Allow to strip and seal laid vinyl flooring</t>
  </si>
  <si>
    <t>Allow for floor protection to vinyl areas</t>
  </si>
  <si>
    <t>VINYL SKIRTING</t>
  </si>
  <si>
    <t>100mm high vinyl cove</t>
  </si>
  <si>
    <t>METAL/ALUMINIUM SKIRTING</t>
  </si>
  <si>
    <t>ALSPEC 100mm aluminium skirting</t>
  </si>
  <si>
    <t>Level 1 (A.712.A)</t>
  </si>
  <si>
    <t>X.DSK-01 - 150 35mm Ducted skirting, Brand/range: ECD elite series</t>
  </si>
  <si>
    <t>Tiling</t>
  </si>
  <si>
    <t>Refer to following sections of Auburn Basketball Centre "Architectural Specification" Revision A dated 21 January 2025 by Facility Design Group Architecture &amp; Construction: 0631 - Ceramic tiling</t>
  </si>
  <si>
    <t>Refer to following architectural drawing series: A.100 to A.101 for "Floor Plan", A.400 for "Typical Sections", A.500 for "Elevations", A.600 for "Wall Details", A.700 to A.714 for "Room Details", A.800 for "Finishes Schedule"</t>
  </si>
  <si>
    <t>19/1C</t>
  </si>
  <si>
    <t>Temporary rules, temporary grounds, temporary screeds and the like</t>
  </si>
  <si>
    <t>19/1D</t>
  </si>
  <si>
    <t>Cutting and making good around pipes, sanitary fittings, floor wastes and the like</t>
  </si>
  <si>
    <t>19/1E</t>
  </si>
  <si>
    <t>All normal bedding and pointing materials, adhesives and the like</t>
  </si>
  <si>
    <t>19/1F</t>
  </si>
  <si>
    <t>Standard glazed edge tiles</t>
  </si>
  <si>
    <t>19/1G</t>
  </si>
  <si>
    <t>Salient and re-entrant corners including trims if required by the documents</t>
  </si>
  <si>
    <t>19/1H</t>
  </si>
  <si>
    <t>19/1J</t>
  </si>
  <si>
    <t>19/1K</t>
  </si>
  <si>
    <t>19/1L</t>
  </si>
  <si>
    <t>19/1M</t>
  </si>
  <si>
    <t xml:space="preserve">Allow for laying sample panel </t>
  </si>
  <si>
    <t>19/2A</t>
  </si>
  <si>
    <t>19/2B</t>
  </si>
  <si>
    <t>Allow for cleaning and polishing on completion</t>
  </si>
  <si>
    <t>19/2C</t>
  </si>
  <si>
    <t>Allow for grouted and caulked joints</t>
  </si>
  <si>
    <t>19/2D</t>
  </si>
  <si>
    <t>Allow for spare tiles</t>
  </si>
  <si>
    <t>19/2E</t>
  </si>
  <si>
    <t>Allow for preparation of substrate</t>
  </si>
  <si>
    <t>19/2F</t>
  </si>
  <si>
    <t>Assume I.CTL-02 to Cleaners</t>
  </si>
  <si>
    <t>TILING TO FLOOR</t>
  </si>
  <si>
    <t>I.CTL-02 - P4 Slip Resistance;Colour: Ash Grey; Finish: 300x300 Brushed, Product: Durastone, Supplier: Everstone, Code: DS-AG3010B</t>
  </si>
  <si>
    <t>TILING TO INTERNAL WALLS</t>
  </si>
  <si>
    <t>I.CTL-01 -100mm x300mm x 10mm Ceramic Tile, Colour: Gloss white</t>
  </si>
  <si>
    <t>TILE SKIRTING</t>
  </si>
  <si>
    <t>I.CTL-01 - 100mmx300mm x 10mm Ceramic Tile, Colour: Gloss white</t>
  </si>
  <si>
    <t>between Tile &amp; Carpet</t>
  </si>
  <si>
    <t>Level 1 (A.101A)</t>
  </si>
  <si>
    <t>Painting</t>
  </si>
  <si>
    <t>34/1A</t>
  </si>
  <si>
    <t>34/1B</t>
  </si>
  <si>
    <t>Refer to following sections of Auburn Basketball Centre "Architectural Specification" Revision A dated 21 January 2025 by Facility Design Group Architecture &amp; Construction: 0531 - Suspended Ceilings - Combined, 0531p - RONDO in supsended ceilings - combined, 0671p - DULUX painting</t>
  </si>
  <si>
    <t>Refer to following architectural drawing series: A.100 for "Floor Plan", A.300 for "Reflected Ceiling Plans", A.400 for "Typical Sections", A.500 for "Elevations", A.600 for "Wall Details", A.700 to A.714 for "Room Details", A.800 for "Finishes Schedule"</t>
  </si>
  <si>
    <t>34/1C</t>
  </si>
  <si>
    <t>Provision, erection and removal of scaffolding</t>
  </si>
  <si>
    <t>34/1D</t>
  </si>
  <si>
    <t>Preparation of surfaces</t>
  </si>
  <si>
    <t>34/1E</t>
  </si>
  <si>
    <t>Rubbing between coats and the like</t>
  </si>
  <si>
    <t>34/1F</t>
  </si>
  <si>
    <t>Back priming of dressed timber where required</t>
  </si>
  <si>
    <t>34/1G</t>
  </si>
  <si>
    <t>Protection and masking of floors, fittings and the like</t>
  </si>
  <si>
    <t>34/1H</t>
  </si>
  <si>
    <t>Removing and replacing door and window furniture</t>
  </si>
  <si>
    <t>34/1J</t>
  </si>
  <si>
    <t>Removing splash and spray marks</t>
  </si>
  <si>
    <t>34/1K</t>
  </si>
  <si>
    <t>34/1L</t>
  </si>
  <si>
    <t>34/1M</t>
  </si>
  <si>
    <t xml:space="preserve">Allow for all testing </t>
  </si>
  <si>
    <t>34/1N</t>
  </si>
  <si>
    <t xml:space="preserve">Allow for obtaining manufacturer's certificates </t>
  </si>
  <si>
    <t>34/1P</t>
  </si>
  <si>
    <t>34/1Q</t>
  </si>
  <si>
    <t>34/2A</t>
  </si>
  <si>
    <t>34/2B</t>
  </si>
  <si>
    <t>34/2C</t>
  </si>
  <si>
    <t>Allow for covering and protecting surfaces from building operations</t>
  </si>
  <si>
    <t>34/2D</t>
  </si>
  <si>
    <t>Assumed paint to concrete upstand at Level 1 Heat Pump Farm</t>
  </si>
  <si>
    <t>No details provided for P1 and P2 Painting for Internal wall finish</t>
  </si>
  <si>
    <t>PAINTING TO CEILING</t>
  </si>
  <si>
    <t>Paint To Ceiling Linings</t>
  </si>
  <si>
    <t>Painting to Ceiling Type 2.5m to 3.00m height from AFFL</t>
  </si>
  <si>
    <t>PT01 to I.SCE-01 - Dulux White Ceiling Paint</t>
  </si>
  <si>
    <t>PT01 to I.SCE-02 - Dulux White Ceiling Paint</t>
  </si>
  <si>
    <t>PT01 to I.SCE-03 - Dulux White Ceiling Paint</t>
  </si>
  <si>
    <t>PAINTING TO EXTERNAL WALLS</t>
  </si>
  <si>
    <t>Paint to concrete upstand (NB: No details provided)</t>
  </si>
  <si>
    <t>PAINTING TO INTERNAL WALLS</t>
  </si>
  <si>
    <t>P1 Painting (NB: no details provided)</t>
  </si>
  <si>
    <t xml:space="preserve">Level 1  (A.712.A)</t>
  </si>
  <si>
    <t>P2 Painting (NB: no details provided)</t>
  </si>
  <si>
    <t>PAINTING TO EXTERNAL DOORS (NB: NO DETAILS PROVIDED)</t>
  </si>
  <si>
    <t>Painting to both sides of double leaf swing flush panel doors</t>
  </si>
  <si>
    <t>Painting to both sides of single leaf swing flush solid core doors</t>
  </si>
  <si>
    <t>Painting to both sides of single leaf swing solid core doors</t>
  </si>
  <si>
    <t>Painting to both sides of leaf swing flush solid core doors</t>
  </si>
  <si>
    <t>PAINTING TO INTERNAL DOORS (NB: NO DETAILS PROVIDED)</t>
  </si>
  <si>
    <t>Painting to both sides of single leaf swing flush panel doors</t>
  </si>
  <si>
    <t>Painting to both sides of double leaf swing solid core doors</t>
  </si>
  <si>
    <t>FF&amp;E (Group 1 &amp; 2)</t>
  </si>
  <si>
    <t>28/1A</t>
  </si>
  <si>
    <t>28/1B</t>
  </si>
  <si>
    <t>Refer to following sections of Auburn Basketball Centre "Architectural Specification" Revision A dated 21 January 2025 by Facility Design Group Architecture &amp; Construction: 0811s - Sanitary Fixtures, 0812s - Tapware</t>
  </si>
  <si>
    <t>Refer to following architectural drawing series: A.100 for "Floor Plan", A.700 for "Room Details"</t>
  </si>
  <si>
    <t>Refer to "W346 Auburn Fixtures &amp; Finishes Schedule 250110" by Facility Design Group Architecture &amp; Construction</t>
  </si>
  <si>
    <t>Refer to excel file "W346 Auburn - Fixtures &amp; Finishes Schedule Grouping 1-3" Tender issue 07.01.25</t>
  </si>
  <si>
    <t>28/1C</t>
  </si>
  <si>
    <t>28/1D</t>
  </si>
  <si>
    <t>28/1E</t>
  </si>
  <si>
    <t>28/1F</t>
  </si>
  <si>
    <t>28/1G</t>
  </si>
  <si>
    <t>28/1H</t>
  </si>
  <si>
    <t>Measurements were based in drawings rather than the quantities in the tables</t>
  </si>
  <si>
    <t>Group 3 are not included in this measure</t>
  </si>
  <si>
    <t>Items whos groupings cannot be identified were measured under UNGROUP heading</t>
  </si>
  <si>
    <t>GROUP 1</t>
  </si>
  <si>
    <t>Loose Furniture</t>
  </si>
  <si>
    <t>F.COF-01/F.COF-02 - 600mm diameter coffee table furniture, Brand: SOF - Eternity round Coffee Table</t>
  </si>
  <si>
    <t>Sanitary Fixtures</t>
  </si>
  <si>
    <t>F.CLS-01 - Sink, Color: Gloss White Vitreous China, Code: 811592W, Brand: Caroma</t>
  </si>
  <si>
    <t>F.FLW.01 - 100x100mm Floor waste, Floor grate square STD Chrome, Code: 552204C, Brand: Beaumont</t>
  </si>
  <si>
    <t>F.FLW.01 - 8" diameter top industrial area drain</t>
  </si>
  <si>
    <t>F.HBA-02 - Ceramic Basins, Gloss White Vitreous China basin with integrated shelf, Code:Left hand - RB2275L/Right hand - RB2275L, Brand: Fienza Delta Care</t>
  </si>
  <si>
    <t>F.HBA-02 - Tapware, Enware Timed flow basin pillar tap, Chrome - 15 seconds of flow, Code:TFC745</t>
  </si>
  <si>
    <t>F.HBA-03 - Ceramic basins, gloss white basin with integrated shelf, 1 Tap hole, Code: 878810W, Caroma Urbane II Basin</t>
  </si>
  <si>
    <t>F.HBA-03 - Tapware, Color: Chrome Finish, Code: 90989C5A, Brand: Caroma</t>
  </si>
  <si>
    <t>F.KOH-01 - Stainless steel hand basin, Brand: Britex Knee Operated hand basin, Code: HBKO, Brand: Britex Knee operated hand basin</t>
  </si>
  <si>
    <t>F.MTA-01 - Sink Mixer, Chrome finish sink mixer with swivel outlet, Code: 98056C4A, Caroma Cirrus</t>
  </si>
  <si>
    <t>F.SHR.02/X.SHR.02 - Shower head, chrome finish, Code: VR2, Brand: Rada Vandal resistant shower head</t>
  </si>
  <si>
    <t>F.SHR.02/X.SHR.02 - Recessed shower control 30 seconds, Code: TFC749128, Brand: Enware Tempostop shower valve</t>
  </si>
  <si>
    <t>F.SNK-01 - Stainless steel sink, 1 tap hole, Code: 4062, Brand: Clark Evolution</t>
  </si>
  <si>
    <t>X.HBA-01 - Ceramic Basins, Color: Gloss White Vitreous, China Basin with integrated shelf, Code: RB2275L, Brand: Fienza Delta Care</t>
  </si>
  <si>
    <t>X.HBA-01 - Tapware, chrome finish, Code: 90989C5A, Brand: Caroma</t>
  </si>
  <si>
    <t>X.LDY-01 - Stainless steel basin, Laundry Tab, white powdercoated cabinet, Code:71X4000, Brand: EverHard</t>
  </si>
  <si>
    <t>X.LDY-02 - Laundry Tapware, chrome finish, Code: 90331BL4A, Brand: Caroma Luna Lever Tap Set</t>
  </si>
  <si>
    <t xml:space="preserve">X.SHR.01 - Showerhead, Caroma Plus Starsafe II inverted T accessible shower set including adjustable shower head and rail  and grabrails, Code: 782740A, Brand: Caroma</t>
  </si>
  <si>
    <t>X.SHR.01 - Shower mixer chrome finish with red and blue indicators, Code: 91107C, Brand: Caroma Care plus showermixer standard handle H/C</t>
  </si>
  <si>
    <t>X.TOI-04 - Toiled Suite, Care200 V2 Connector(S Trap) suite with backrest and Caravelle Care single flap seat sorrento blue, Code: 982910BSB, Brand: Caroma Care 200</t>
  </si>
  <si>
    <t>X.URI-01 - Stainless steel recessed urinal, Code: USAN, Brand: Britex Sanistep Urinal Recessed (2530mm)</t>
  </si>
  <si>
    <t>X.WCA-01 - Toilet Suite, Wall faced closed coupled suite with arc stainless steel seat, Code: 743500W, Brand: Caroma Urbane</t>
  </si>
  <si>
    <t>F.HWS-01 - Under sink zip instantaneous hot water unit - 12744</t>
  </si>
  <si>
    <t>Sanitary Hardware</t>
  </si>
  <si>
    <t>F.PTD.01 - Paper towel dispenser, M:725LAR, Brand: Metlam Ellipse paper towel dispenser</t>
  </si>
  <si>
    <t>F.TOI-02 - Toilet paper holder, satin stainless steel, Code: ML841, Brand: Metlam Jumbo Roll Dispenser</t>
  </si>
  <si>
    <t>F.TOI-03 - Soap Dispenser, stainless steel, Code: ML112, Brand: Metlam</t>
  </si>
  <si>
    <t>X.SHR.01 - Automatic stainless steel soap dispenser, Code: BTX-05-034, Brand: Britex</t>
  </si>
  <si>
    <t>X.SHR.01 - Folding shower seat, accessible folding seat - white compact laminate seat and satin stainless steel frame, Code: ML991-CL, Brand: Metlam</t>
  </si>
  <si>
    <t>X.TOI-01 - Toilet Suite, wall faced closed coupled suite with arc stainless steel seat, Code: 743500W, Brand: Caroma Urbane</t>
  </si>
  <si>
    <t>X.TOI-04 - Toilet paper holder, Code: ML-113SS, Brand: Metlam</t>
  </si>
  <si>
    <t>X.WCA-01 - Toilet paper holder, surface mounted, Code: ML-113SS, Brand: Metlam</t>
  </si>
  <si>
    <t>Special Equipment</t>
  </si>
  <si>
    <t>F.BBB-01 - Basketball Backboard,Roof structure hung, front fold rear braced basketball backstop, add bodet shot clock to each mast, FIBA certified straight mast roof mount, includes armour glass backboard padding, Electric key switch operation, suitable for level 2 international competition, Brand: RMA Sport</t>
  </si>
  <si>
    <t>F.BBB-02 - Basketball Backboard wall mounted, FIBA certified side swing basketball system. includes armour glass backboard, spring loaded ring and backboard padding, suitable for level 2 international competition, Brand: RMA Sport</t>
  </si>
  <si>
    <t>F.BSB-01 - Wall-mounted electronic scoreboards,FIBA certified wireless scoreboard with fiba certified scoreboard foul wings with 150mm team fouls to suit SB-F3A scoreboards, Brand: RMA Sports, Bodet Scoreboards</t>
  </si>
  <si>
    <t>Curtain</t>
  </si>
  <si>
    <t>F.CCR-01 - Curtain rail and curtain, Brand: Reilly's privacy track &amp; heavy curtain, Color: Rail white (3000mm high)</t>
  </si>
  <si>
    <t>Cubicle Partition</t>
  </si>
  <si>
    <t>F.CPL-01 - Partitioning, pedestal mounted compact laminate wet area partition system includes componentry, supports, wall anchors, seats to shower cubicles, Otway, Colour Code:1035 Brand: Laminex Waterloo Toilet &amp; Shower partition - wall panels</t>
  </si>
  <si>
    <t>F.CPL-02 - 1800x600mm wide cubicle doors including door hardware and latch componentry, Laminex waterloo toilet and shower partition door panel, OTWAY, Code:1035; Metlam LM202-CBNP coat hook</t>
  </si>
  <si>
    <t>F.CPL-03 - 1800x850mm wide cubicle doors including door hardware and latch componentry, Laminex waterloo toilet and shower partition door panel, OTWAY, Code:1035 Metlam LM202-CBNP coat hook</t>
  </si>
  <si>
    <t>F.CPL-04 - 1800x700mm wide cubicle doors including door hardware and latch componentry, Laminex waterloo toilet and shower partition door panel, OTWAT, Code:1035</t>
  </si>
  <si>
    <t>F.CPL-04 - Shower cubicle seat, 650x250mm wide,compact laminate wet area partition system includes componentry, supports, wall anchors, seats to shower cubicles, Color Code: 161, Olivine, Brand: Laminex Waterloo toilet &amp; shower partition wall panels</t>
  </si>
  <si>
    <t>F.CPL-04 - Shower cubicle seat, 900x250mm wide,compact laminate wet area partition system includes componentry, supports, wall anchors, seats to shower cubicles, Color Code: 161, Olivine, Brand: Laminex Waterloo toilet &amp; shower partition wall panels</t>
  </si>
  <si>
    <t>Mirror</t>
  </si>
  <si>
    <t>F.MIR-01 - 450x1000mm framed mirror in satin stainless steel, Code: ML771-5, Brand: Metlam framed mirror</t>
  </si>
  <si>
    <t>J.MIR-01 - 5200x2400mm high mirror (NB: No details provided, Refer to A.700B-A)</t>
  </si>
  <si>
    <t>F.BIK.01 - Bicycle rack, Galvanized, Supplier: LEDA Economy Coral, Code: ESBR03B (up to 12 bicycle)</t>
  </si>
  <si>
    <t>F.BIK-01 - Stationary pedal bike</t>
  </si>
  <si>
    <t>F.DFR.01 - Drinking fountain, stainless steel, Code: DFRE, Brand: Britex Health Club Drinking Fountain</t>
  </si>
  <si>
    <t>X.SHR.01 - Contemporary robe hooks, surface mounted, Code: ML202, Brand: Metlam</t>
  </si>
  <si>
    <t>Grabrails</t>
  </si>
  <si>
    <t>X.TOI-04 - Stainless steel grabrails, flush mounted, concealed fixing, Code: ML-330-1SS, Brand: Metlam</t>
  </si>
  <si>
    <t>X.TOI-04 - Stainless steel grabrails, flush mounted, concealed fixings, Code: MLR103-X/MLR104, Brand: Metlam</t>
  </si>
  <si>
    <t>X.WCA-01 - Stainless steel ambulant grabrails, Code: MLR112, Brand: Metlam</t>
  </si>
  <si>
    <t>GROUP 2</t>
  </si>
  <si>
    <t>F.GYM-02 - Squat Stand, Commercial Fitness Equipment, Titanium USA P30 Squat Rack</t>
  </si>
  <si>
    <t>F.GYM-03 - Smith Machine, Commercial Fitness Equipment, Titanium USA Harvard Series smith machine</t>
  </si>
  <si>
    <t>X.MIB-01 - Ice Bath, 5000 watts, standard blue, MIPOD pro chill, Brand: iCoolsports MIPOD</t>
  </si>
  <si>
    <t>Audio &amp; Visual Equipment</t>
  </si>
  <si>
    <t>F.TV-01 - Television display monitor, 65x75K, 4K ultra HD high dynamic range, Sony Bravia</t>
  </si>
  <si>
    <t>UNGROUP</t>
  </si>
  <si>
    <t>J.DSS-01 - 600x460mm Open shelving, Vogue 4 tier wire shelving kit</t>
  </si>
  <si>
    <t>J.DSS-02 - 1500x460mm Open shelving, Vogue 4 tier wire shelving kit</t>
  </si>
  <si>
    <t>J.DSS-03 - 900x460mm Open shelving, Vogue 4 tier wire shelving kit</t>
  </si>
  <si>
    <t>J.DSS-04 - 1200x460mm Open shelving, Vogue 4 tier wire shelving kit</t>
  </si>
  <si>
    <t>J-SSB-01 - 1200x700x900mm high stainless steel bench with midshelf 4 legs, with splashback 150mm high</t>
  </si>
  <si>
    <t>J-SSB-02 - 2400x900x900mm high Vouge stainless steel island prep bench, midshelf 4 legs</t>
  </si>
  <si>
    <t>J-SSB-03 - 600x700x900mm high Vouge stainless steel table with 600mm splashback with Midshelf X4 legs</t>
  </si>
  <si>
    <t>F.SCR-01 - Scorers table &amp; seating, Code: GYMBENCH2, Brand: Victoria sports - scorers bench with seat</t>
  </si>
  <si>
    <t xml:space="preserve">F.CTC-01 - 700mm square Shesman Sliq Isotop tabletop with black Maxwell base chairs -  terrace chair in black (4 per table)</t>
  </si>
  <si>
    <t>F.BOB-01 - Furniture - Balance Trainer</t>
  </si>
  <si>
    <t>F.DCB-01 - Furniture - Mobile Laundry Trolley</t>
  </si>
  <si>
    <t>F.FDE-01 - Furniture - VALD ForceDecks Dual force plate system</t>
  </si>
  <si>
    <t>F.NBD-01 - Furniture - Norbord Hamstring Testing System</t>
  </si>
  <si>
    <t>F.MTB-01/F.MTB.04 - SOF - Executive Credenza A with Lockable drawers , Code: 98056C4A</t>
  </si>
  <si>
    <t>J.SSS-01 - Vouge double bowl sink R/H drainer - 1500mm, Enware food service tap FWS011</t>
  </si>
  <si>
    <t xml:space="preserve">F.PLB-01 - Planterbox, black,  Elite office furniture - A-File tambour planter box</t>
  </si>
  <si>
    <t>White Goods</t>
  </si>
  <si>
    <t>Appliances and Equipment</t>
  </si>
  <si>
    <t>F.ICE-01 - Free standing ice machine,3 OF Brand: Devanti Commercial Ice Maker Machine</t>
  </si>
  <si>
    <t>F.SOV-01 - High speed oven, satin stainless steel, Brand: CIBO+Countertop Fast Oven</t>
  </si>
  <si>
    <t>F.CFS-01 - Self service food - cold, Polar G-series energy efficient multideck display fridge, Brand: Polar G-series energy efficient multideck display fridge, stainless steel</t>
  </si>
  <si>
    <t>F.DIW-01 - Kitchen appliance dishwasher, Eswwod IW3N under counter automatic deluxe dishwasher, stainless steel</t>
  </si>
  <si>
    <t>F.DSW-02 - Kitchen appliance dishwasher, Bosch 600mm freestanding dishwasher, stainless steel, Code: SMS8EDI01A</t>
  </si>
  <si>
    <t>F.FRY-01 - Cooking appliance countertop fryer, Roband F-Series double basket, stainless steel, Code: F25</t>
  </si>
  <si>
    <t>F.GRL-01 - Cooking appliance - countertop griddle toaster, Roband Griddle toaster, single phase, medium production, stainless steel, Code: GT480</t>
  </si>
  <si>
    <t xml:space="preserve">F.HFS-01 - Self service food hot, stainless steel, Brand:  Hatco Glo-ray designer series heated display warmer duel shelf</t>
  </si>
  <si>
    <t>F.MCW-01 - Cooking appliance microwave, stainless steel, Code: MD-1000L, Brand: Benchstar stainless steel microwave oven</t>
  </si>
  <si>
    <t>F.SWP-01 - Cooking appliance - contact grill/sandwich press, stainless steel, Code: GSA810S, Supplier: Roband 8 slice grill station smooth plates 2300W</t>
  </si>
  <si>
    <t>F.PCY-01 - Network printer copier scanner, white, imageRUNNER ADVANCE DX 4900i Series</t>
  </si>
  <si>
    <t>X.WAM-01 - Laundry washing machine, Electrolux ultimatecare 8kg front load washer,White, Code:EWF8024Q5WB</t>
  </si>
  <si>
    <t>X.TUD-01 - Laundry tumble dryer, Electrolux 8kg heat pump clothes dryer, white, Code: EDH803R7WB</t>
  </si>
  <si>
    <t>Signage</t>
  </si>
  <si>
    <t>26/1A</t>
  </si>
  <si>
    <t>26/1B</t>
  </si>
  <si>
    <t>Refer to following sections of Auburn Basketball Centre "Architectural Specification" Revision A dated 21 January 2025 by Facility Design Group Architecture &amp; Construction: 0581 - Signage</t>
  </si>
  <si>
    <t>Refer to following architectural drawing series: A.100 for "Floor Plan", A.720 for "Signage Details"</t>
  </si>
  <si>
    <t>26/1C</t>
  </si>
  <si>
    <t>All shop fabrication work including cutting milling, machining, drilling, grinding and incidental labours</t>
  </si>
  <si>
    <t>26/1D</t>
  </si>
  <si>
    <t>Delivery, unloading, erecting and fixing</t>
  </si>
  <si>
    <t>26/1E</t>
  </si>
  <si>
    <t>26/1F</t>
  </si>
  <si>
    <t>26/1G</t>
  </si>
  <si>
    <t>26/1H</t>
  </si>
  <si>
    <t>26/1J</t>
  </si>
  <si>
    <t>26/1K</t>
  </si>
  <si>
    <t>26/1L</t>
  </si>
  <si>
    <t>26/1M</t>
  </si>
  <si>
    <t>Allow for any undetailed statutory signage</t>
  </si>
  <si>
    <t>STATUTORY SIGNAGE</t>
  </si>
  <si>
    <t>"Unisex Toilet LH &amp; Shower" sign incorporating international symbol of access including braille and tactile message with minimum of 20mm "San Serif" font size, shall be unified english braille, Grade 1 and uncontracted to NCC standards and Australian Braille Authority specification (NB: Refer to A.723-A for detail)</t>
  </si>
  <si>
    <t>Ground Floor (A.722-A)</t>
  </si>
  <si>
    <t>Level 1 (A.723-A)</t>
  </si>
  <si>
    <t>"Male Toilets" sign incorporating international symbol of access including braille and tactile message with minimum of 20mm "San Serif" font size, shall be unified english braille, Grade 1 and uncontracted to NCC standards and Australian Braille Authority specification (NB: Refer to A.723-A for detail)</t>
  </si>
  <si>
    <t>"Female Toilets" sign incorporating international symbol of access including braille and tactile message with minimum of 20mm "San Serif" font size, shall be unified english braille, Grade 1 and uncontracted to NCC standards and Australian Braille Authority specification (NB: Refer to A.723-A for detail)</t>
  </si>
  <si>
    <t>"Female Ambulant Toilets" sign incorporating female ambulant symbol including braille and tactile message with minimum of 20mm "San Serif" font size, shall be unified english braille, Grade 1 and uncontracted to NCC standards and Australian Braille Authority specification (NB: Refer to A.723-A for detail)</t>
  </si>
  <si>
    <t>"Male Ambulant Toilets" sign incorporating male ambulant symbol including braille and tactile message with minimum of 20mm "San Serif" font size, shall be unified english braille, Grade 1 and uncontracted to NCC standards and Australian Braille Authority specification (NB: Refer to A.723-A for detail)</t>
  </si>
  <si>
    <t>"Cleaner" sign incorporating international symbol of access including braille and tactile message with minimum of 20mm "San Serif" font size, shall be unified english braille, Grade 1 and uncontracted to NCC standards and Australian Braille Authority specification (NB: Refer to A.723-A for detail)</t>
  </si>
  <si>
    <t>"Female Change Room" sign incorporating symbols identifying each sanitary facility within including braille and tactile message with minimum of 20mm "San Serif" font size, shall be unified english braille, Grade 1 and uncontracted to NCC standards and Australian Braille Authority specification (NB: Refer to A.723-A for detail)</t>
  </si>
  <si>
    <t>"Female Toilet LH" sign incorporating international symbol of access including braille and tactile message with minimum of 20mm "San Serif" font size, shall be unified english braille, Grade 1 and uncontracted to NCC standards and Australian Braille Authority specification (NB: Refer to A.723-A for detail)</t>
  </si>
  <si>
    <t>"Accessible Shower" sign incorporating international symbol of access including braille and tactile message with minimum of 20mm "San Serif" font size, shall be unified english braille, Grade 1 and uncontracted to NCC standards and Australian Braille Authority specification (NB: Refer to A.723-A for detail)</t>
  </si>
  <si>
    <t>"Male Change Room" sign incorporating symbols identifying each sanitary facility within including braille and tactile message with minimum of 20mm "San Serif" font size, shall be unified english braille, Grade 1 and uncontracted to NCC standards and Australian Braille Authority specification (NB: Refer to A.723-A for detail)</t>
  </si>
  <si>
    <t>"Male Toilet LH" sign incorporating international symbol of access including braille and tactile message with minimum of 20mm "San Serif" font size, shall be unified english braille, Grade 1 and uncontracted to NCC standards and Australian Braille Authority specification (NB: Refer to A.723-A for detail)</t>
  </si>
  <si>
    <t>"Lift Do Not Use Lift If There is a Fire" sign including braille and tactile message with minimum of 20mm "San Serif" font size, shall be unified english braille, Grade 1 and uncontracted to NCC standards and Australian Braille Authority specification (NB: Refer to A.723-A for detail)</t>
  </si>
  <si>
    <t>Fire Egress Sign - 320 x 150mm high "FIRE SAFETY DOOR DO NOT OBSTRUCT DO NOT KEEP OPEN" sign, including braille and tactile message with minimum of 20mm "San Serif" font size, shall be unified english braille, Grade 1 and uncontracted to NCC standards and Australian Braille Authority specification (NB: Refer to A.722-A for detail)</t>
  </si>
  <si>
    <t>Statutory Signages (NB: Refer 0581 - Signage section of Auburn Basketball Centre "Architectural Specification" Revision A dated 21 January 2025 by Facility Design Group Architecture &amp; Construction)</t>
  </si>
  <si>
    <t>Provision of Statutory Signages</t>
  </si>
  <si>
    <t>EXTERNAL SIGNAGE</t>
  </si>
  <si>
    <t>"AUBURN BASKETBALL HIGH PERFORMANCE FACILITY" non-illuminated powder coated low relief steel signage logo mounted on a framed perforated mesh screen background (NB: Refer to A.722-A for detail)</t>
  </si>
  <si>
    <t>Ground Level (DWG ## Rev #)</t>
  </si>
  <si>
    <t>Level 1 (DWG ## Rev #)</t>
  </si>
  <si>
    <t>Joinery</t>
  </si>
  <si>
    <t>20/1A</t>
  </si>
  <si>
    <t>20/1B</t>
  </si>
  <si>
    <t>Refer to following sections of Auburn Basketball Centre "Architectural Specification" Revision A dated 21 January 2025 by Facility Design Group Architecture &amp; Construction: 0551 - Joinery</t>
  </si>
  <si>
    <t>Refer to following architectural drawing series: A.100 for "Floor Plan", A.700 for "Room Details", A.800 for "Finishes Schedule"</t>
  </si>
  <si>
    <t>20/1C</t>
  </si>
  <si>
    <t>20/1D</t>
  </si>
  <si>
    <t>20/1E</t>
  </si>
  <si>
    <t>20/1F</t>
  </si>
  <si>
    <t>Drawer and door hardware</t>
  </si>
  <si>
    <t>20/1G</t>
  </si>
  <si>
    <t>Mitred angles and stopped and fitted ends</t>
  </si>
  <si>
    <t>20/1H</t>
  </si>
  <si>
    <t>20/1J</t>
  </si>
  <si>
    <t>20/1K</t>
  </si>
  <si>
    <t>20/1L</t>
  </si>
  <si>
    <t>Allow for Contractor's submissions</t>
  </si>
  <si>
    <t>20/1M</t>
  </si>
  <si>
    <t>20/2A</t>
  </si>
  <si>
    <t>20/2B</t>
  </si>
  <si>
    <t>Stone Finishes to Joinery</t>
  </si>
  <si>
    <t>Stone to top</t>
  </si>
  <si>
    <t>Stone to both sides</t>
  </si>
  <si>
    <t>Stone to one side</t>
  </si>
  <si>
    <t>Stone to front</t>
  </si>
  <si>
    <t>JOINERY UNITS</t>
  </si>
  <si>
    <t>J.CAB-01 - 900x600x860mm high underbench cupboard with open shelves, and midhelf in laminate finish</t>
  </si>
  <si>
    <t>J.CAB-02 - 900x600x810mm high underbench cupboard with open shelves, and midhelf in laminate finish</t>
  </si>
  <si>
    <t>J.CAB-03 - 1200x600x810mm high underbench cupboard with 2-door cabinet, and midshelf in laminate finish</t>
  </si>
  <si>
    <t>J.CAB-05 - 600x600x810mm high underbench cupboard with 3 drawers in laminate finish</t>
  </si>
  <si>
    <t>J.CAB-06 - 750x600x810mm high underbench cupboard with 3 drawers in laminate finish</t>
  </si>
  <si>
    <t>J.CAB-07 - 1678x600x810mm high underbench corner cupboard with 1-hinged bi-fold door cabinet, and midshelf in laminate finish</t>
  </si>
  <si>
    <t>J.CAB-08 - 1200x600x860mm high underbench cupboard with 2-door cabinet, and midshelf in laminate finish</t>
  </si>
  <si>
    <t>J.CAB-10 - 3000x2400mm high slat wall with merchandise display</t>
  </si>
  <si>
    <t>J.CAB-11 - 600x600x880mm high underbench cupboard with 3 drawers in laminate finish</t>
  </si>
  <si>
    <t>J.CAB-11 - 900x880x600mm joinery cabinet with 3 drawers in laminate finish</t>
  </si>
  <si>
    <t>J.CAB-15 - 3600x600x2400mm high tall shelves with 4-bay multi-shelf in laminate finish</t>
  </si>
  <si>
    <t>J.CAB-17 - 700x450x2081mm high tall cabinet with 2-panel laminated sliding doors with 1 drawer in laminate finish</t>
  </si>
  <si>
    <t>J.CAB-18 - 900x300x880mm high underbench cupboard with open shelves, and midshelf in laminate finish</t>
  </si>
  <si>
    <t>J.CAB-20 - 600x880x600mm high 1 Door Laminated Cabinet with Midshelf</t>
  </si>
  <si>
    <t>J.CAB-21 - 900x880x600mm high with 2-door cabinet, and midshelf, Allow for cutouts for sink drainage, underbench zip hotwater unit, and chilled water tap and supply unit in laminate finish</t>
  </si>
  <si>
    <t>J.CAB-22 - 600x600x1800mm high tall cabinet in laminate finish</t>
  </si>
  <si>
    <t>J.CAB-27 - 800x600x880mm high underbench cupboard with 2-door cabinet, and midshelf, Allow for cutouts for sink drainage, underbench zip hotwater unit, and chilled water tap and supply unit in laminate finish</t>
  </si>
  <si>
    <t>J.STB-01 - 1520x900x1000mm high strapping bench with 19mm thick plywood bespoke joinery unit with upholstered padded seating</t>
  </si>
  <si>
    <t>J.BSP-01 - 8150x1000x800mm high Steel Framed and 19mm Plywood Bench Seating</t>
  </si>
  <si>
    <t>J.BSP-01 - 5000x1000x1200mm high Steel Framed and 19mm Plywood Bench Seating</t>
  </si>
  <si>
    <t>J.SLF-01 - 200x600x18mm thick Compact laminate on x2 Angle Brackets</t>
  </si>
  <si>
    <t>J.CAB-23 - 2590x300x2400mm high tall cabinet with 3-panel glass sliding doors in laminate finish</t>
  </si>
  <si>
    <t>BENCHTOP TO JOINERY UNITS</t>
  </si>
  <si>
    <t>J.CAB-13 - 600x20mm thick benchtop in laminate finish</t>
  </si>
  <si>
    <t>J.CAB-09 - 700x40mm thick benchtop in laminate finish</t>
  </si>
  <si>
    <t>J.CAB-09 - 900x40mm thick benchtop in laminate finish</t>
  </si>
  <si>
    <t>J.CAB-25 - 600x20mm thick benchtop in laminate finish</t>
  </si>
  <si>
    <t>J.CAB-26 - 600x20mm thick benchtop in laminate finish</t>
  </si>
  <si>
    <t>Hydraulic Services</t>
  </si>
  <si>
    <t>MM/1A</t>
  </si>
  <si>
    <t>MM/1B</t>
  </si>
  <si>
    <t>MM/1C</t>
  </si>
  <si>
    <t>Excavation and backfilling including removal of spoil, maintaining faces of trenches and pits, forming pockets beneath collars and all jointing</t>
  </si>
  <si>
    <t>MM/1D</t>
  </si>
  <si>
    <t>Plant and equipment, pipework, fittings, fixtures, taps, traps connections, ancillary items and anything else necessary to complete the works</t>
  </si>
  <si>
    <t>MM/1E</t>
  </si>
  <si>
    <t>Testing and commissioning</t>
  </si>
  <si>
    <t>MM/1F</t>
  </si>
  <si>
    <t>Documentation, operating instructions and maintenance manuals</t>
  </si>
  <si>
    <t>MM/1G</t>
  </si>
  <si>
    <t>Co-ordination with other engineering installations</t>
  </si>
  <si>
    <t>MM/1H</t>
  </si>
  <si>
    <t>Complying with all statutory regulations</t>
  </si>
  <si>
    <t>MM/1J</t>
  </si>
  <si>
    <t>MM/1K</t>
  </si>
  <si>
    <t>Allow for keeping excavations free from rain and percolating water by pumping or other means</t>
  </si>
  <si>
    <t>MM/2A</t>
  </si>
  <si>
    <t>Allow for giving notices, obtaining permits, paying fees, obtaining certificates of satisfactory completion issued by a local authority where required</t>
  </si>
  <si>
    <t>MM/2B</t>
  </si>
  <si>
    <t>Allow for testing the installations</t>
  </si>
  <si>
    <t>MM/2C</t>
  </si>
  <si>
    <t>Allow for sterilising the installations</t>
  </si>
  <si>
    <t>MM/2D</t>
  </si>
  <si>
    <t xml:space="preserve">Allow for marking pipes with paint, colour bands, tags, plates, badges or lettering for identification purposes, or with arrows for indicating directions of flow for each type of installation  </t>
  </si>
  <si>
    <t>MM/2E</t>
  </si>
  <si>
    <t>MM/2F</t>
  </si>
  <si>
    <t>MM/2G</t>
  </si>
  <si>
    <t>Allow for costs of complying with statutory regulations</t>
  </si>
  <si>
    <t>MM/2H</t>
  </si>
  <si>
    <t>Allow for the disconnection removal and/or diversion of existing hydraulic services as necessary</t>
  </si>
  <si>
    <t>MM/2J</t>
  </si>
  <si>
    <t>MM/2K</t>
  </si>
  <si>
    <t/>
  </si>
  <si>
    <t>endh1</t>
  </si>
  <si>
    <t>MM/2L</t>
  </si>
  <si>
    <t>HYDRAULIC SERVICES</t>
  </si>
  <si>
    <t>Electrical &amp; Security Services</t>
  </si>
  <si>
    <t>QQ/1A</t>
  </si>
  <si>
    <t>QQ/1B</t>
  </si>
  <si>
    <t>Prices for shall include for:</t>
  </si>
  <si>
    <t>QQ/1C</t>
  </si>
  <si>
    <t>Excavation including removal of spoil</t>
  </si>
  <si>
    <t>QQ/1D</t>
  </si>
  <si>
    <t>Plant and equipment, wiring, connections and ancillary items</t>
  </si>
  <si>
    <t>QQ/1E</t>
  </si>
  <si>
    <t>QQ/1F</t>
  </si>
  <si>
    <t>QQ/1G</t>
  </si>
  <si>
    <t>QQ/1H</t>
  </si>
  <si>
    <t>QQ/1J</t>
  </si>
  <si>
    <t>QQ/1K</t>
  </si>
  <si>
    <t>Allow for complying with relevant acts, by laws and statutory regulations</t>
  </si>
  <si>
    <t>QQ/1L</t>
  </si>
  <si>
    <t xml:space="preserve">Allow for giving notices, obtaining permits and completion certificates, paying all fees and charges </t>
  </si>
  <si>
    <t>QQ/1M</t>
  </si>
  <si>
    <t>QQ/1N</t>
  </si>
  <si>
    <t>QQ/2A</t>
  </si>
  <si>
    <t>Allow for providing as built documentation</t>
  </si>
  <si>
    <t>QQ/2B</t>
  </si>
  <si>
    <t>QQ/2C</t>
  </si>
  <si>
    <t>QQ/2E</t>
  </si>
  <si>
    <t>ELECTRICAL SERVICES</t>
  </si>
  <si>
    <t>SECURITY SERVICES</t>
  </si>
  <si>
    <t>Mechanical Services</t>
  </si>
  <si>
    <t>RR/1A</t>
  </si>
  <si>
    <t>RR/1B</t>
  </si>
  <si>
    <t>RR/1C</t>
  </si>
  <si>
    <t>Plant and equipment, ductwork, registers, wiring, connections and ancillary items</t>
  </si>
  <si>
    <t>RR/1D</t>
  </si>
  <si>
    <t>RR/1E</t>
  </si>
  <si>
    <t>RR/1F</t>
  </si>
  <si>
    <t>RR/1G</t>
  </si>
  <si>
    <t>RR/1H</t>
  </si>
  <si>
    <t>RR/1J</t>
  </si>
  <si>
    <t>RR/1K</t>
  </si>
  <si>
    <t>RR/1L</t>
  </si>
  <si>
    <t>RR/1M</t>
  </si>
  <si>
    <t>Allow for paying all fees, inspections and the like</t>
  </si>
  <si>
    <t>RR/1N</t>
  </si>
  <si>
    <t>RR/2B</t>
  </si>
  <si>
    <t>MECHANICAL SERVICES</t>
  </si>
  <si>
    <t>Fire Services</t>
  </si>
  <si>
    <t>PP/1A</t>
  </si>
  <si>
    <t>PP/1B</t>
  </si>
  <si>
    <t>PP/1C</t>
  </si>
  <si>
    <t>PP/1D</t>
  </si>
  <si>
    <t>Plant and equipment, piping, wiring, connections and ancillary items</t>
  </si>
  <si>
    <t>PP/1E</t>
  </si>
  <si>
    <t>PP/1F</t>
  </si>
  <si>
    <t>PP/1G</t>
  </si>
  <si>
    <t>PP/1H</t>
  </si>
  <si>
    <t>PP/1J</t>
  </si>
  <si>
    <t>PP/1K</t>
  </si>
  <si>
    <t>PP/1L</t>
  </si>
  <si>
    <t>PP/1M</t>
  </si>
  <si>
    <t>PP/1N</t>
  </si>
  <si>
    <t>PP/1P</t>
  </si>
  <si>
    <t>PP/2A</t>
  </si>
  <si>
    <t>Allow for staff training</t>
  </si>
  <si>
    <t>PP/2C</t>
  </si>
  <si>
    <t>FIRE SERVICES</t>
  </si>
  <si>
    <t>Vertical Transport</t>
  </si>
  <si>
    <t>Refer to following sections of Auburn Basketball Centre "Architectural Specification" Revision A dated 21 January 2025 by Facility Design Group Architecture &amp; Construction: 2011 - Lift design and install</t>
  </si>
  <si>
    <t>Refer to following architectural drawing series: A.100 for "Floor Plan"</t>
  </si>
  <si>
    <t>Plant, equipment, commissioning, testing, wiring, connections and ancillary items</t>
  </si>
  <si>
    <t>LIFT CAR</t>
  </si>
  <si>
    <t>1100mm x 1400mm wide passenger lift to grid C-2; Lift car design: Side wall: Laminated CPL cladding in Santorini white glossy finish, Rear wall: Stainless steel cladded ACP in Hairline (AISI 443) cladded stainless, Ceiling: Hairline (AISI 443) stainless / round spots and Flooring: Nolan Broadrib Charcoal carpet; Service Level: Ground Floor to Level 1; 2 stops; 1 panel door opening</t>
  </si>
  <si>
    <t>External Works</t>
  </si>
  <si>
    <t>36/1A</t>
  </si>
  <si>
    <t>Tenderers are referred to the Specification for the full particulars of workmanship and materials, and the quantities herein provided shall be read in conjunction with the drawings.</t>
  </si>
  <si>
    <t>36/1B</t>
  </si>
  <si>
    <t>Prices for landscaping related excavation shall include for:-</t>
  </si>
  <si>
    <t>36/1C</t>
  </si>
  <si>
    <t>Getting out</t>
  </si>
  <si>
    <t>36/1D</t>
  </si>
  <si>
    <t>36/1E</t>
  </si>
  <si>
    <t>Backfilling</t>
  </si>
  <si>
    <t>36/1F</t>
  </si>
  <si>
    <t>Ramming solid</t>
  </si>
  <si>
    <t>36/1G</t>
  </si>
  <si>
    <t>36/1H</t>
  </si>
  <si>
    <t>36/1J</t>
  </si>
  <si>
    <t>36/1K</t>
  </si>
  <si>
    <t>Refer to following civil drawing series: C101-B for "General Notes", C102-B for "Sediment and Erosion Control Plan", C103-B for "Stormwater Catchment Area Plan", C104-B for "Stormwater Drainage Plan", C106-B for "External Pavement Plan", C107-B for "Stormwater Details", C108-B for "Stormwater OSD Tank Details"</t>
  </si>
  <si>
    <t>Refer to following sections of Auburn Basketball Centre "Landscape Works Specification" Issue 3 Dated January 2025 by environmental partnership</t>
  </si>
  <si>
    <t>Refer to following landscaped drawing series: GA.01 for "General Arrangement Plan", PL.01 for "Planting Plan", IP.01 for "Irrigation Performance Requirements Plan", TP.01 for "Tree Protection Plan"</t>
  </si>
  <si>
    <t>36/1L</t>
  </si>
  <si>
    <t>36/1M</t>
  </si>
  <si>
    <t>36/1N</t>
  </si>
  <si>
    <t>Allow for contractors submissions</t>
  </si>
  <si>
    <t>36/1P</t>
  </si>
  <si>
    <t>Allow for samples and tests</t>
  </si>
  <si>
    <t>36/2A</t>
  </si>
  <si>
    <t>36/2B</t>
  </si>
  <si>
    <t>36/2C</t>
  </si>
  <si>
    <t>Allow for keeping excavation free from rain and percolating water by pumping, bailing and other means</t>
  </si>
  <si>
    <t>36/2D</t>
  </si>
  <si>
    <t>Allow for warning sign regarding plant protection</t>
  </si>
  <si>
    <t>36/2E</t>
  </si>
  <si>
    <t>Allow for temporary landscape fencing</t>
  </si>
  <si>
    <t>36/2F</t>
  </si>
  <si>
    <t>Allow for reinstatement of existing turf or landscape areas which may be disturbed during the course of the works</t>
  </si>
  <si>
    <t>36/2G</t>
  </si>
  <si>
    <t>Allow for submitting warranties and maintenance manuals where required</t>
  </si>
  <si>
    <t>Assume waterproofing for OSD Tank slab on ground and perimeter blockwall (Delete if not necessary)</t>
  </si>
  <si>
    <t>PLANTS</t>
  </si>
  <si>
    <t>Trees</t>
  </si>
  <si>
    <t>TCA - Tuckeroo, Cupaniopsis anacardioides; Scheduled Size: 45L; Mature Height: 10 to 15m; Mature Spread: 3.5 to 8m</t>
  </si>
  <si>
    <t>ER - Blueberry Ash, Elaeocarpus reticulatus; Scheduled Size: 45L; Mature Height: 5 to 10m; Mature Spread: 3.5 to 6m</t>
  </si>
  <si>
    <t>EUC - Narrow leaved Ironbark, Eucalyptus crebra; Scheduled Size: 45L; Mature Height: over 30m; Mature Spread: 6 to 10m</t>
  </si>
  <si>
    <t>EUM - Grey Box, Eucalyptus moluccana; Scheduled Size: 45L; Mature Height: 15 to 20mm; Mature Spread: 6 to 10m</t>
  </si>
  <si>
    <t>LC - Brush Box, Lophostemon confertus; Scheduled Size: 45L; Mature Height: 20 to 25mm; Mature Height: 6 to 10m</t>
  </si>
  <si>
    <t>TUP - Chinese Elm, Ulmus parvifolia; Scheduled Size: 45L; Mature Height: 8 to 12mm; Mature Spread: 10 to 15m</t>
  </si>
  <si>
    <t>Shrubs</t>
  </si>
  <si>
    <t>AF - Sickle Wattle, Acacia falcata; Scheduled Size: 200mm; Mature Height: 3 to 5m; Mature Spread: 1.2 to 2.0m</t>
  </si>
  <si>
    <t>BU - Sweet Bursaria, Bursaria spinosa var. macrop; Scheduled Size: 200mm; Mature Height: 3 to 5m; Mature Spread: 2.0 to 3.5m</t>
  </si>
  <si>
    <t>Groundcovers and Grasses</t>
  </si>
  <si>
    <t>DR - Spreading Flax Lily, Dianella revoluta "Little Rev"; Scheduled Size: 150mm; Mature Height: 0.3 to 0.45m; Mature Spread: 0.3 to 0.6m</t>
  </si>
  <si>
    <t>GLT - Spiny-head mat rush, spiky-headed, Lomandra longifolia "Tanika"; Scheduled Size: 150mm; Mature Height: 0.45 to 0.6m; Mature Spread: 0.6 to 0.9m</t>
  </si>
  <si>
    <t>IRRIGATION</t>
  </si>
  <si>
    <t>Grass irrigation area - Turfed areas to be irrigated by Popup Sprinklers or approved equivalent at required intervals to ensure full coverage, capable of delivering 30mm/week</t>
  </si>
  <si>
    <t>Garden irrigation area - Mass planted areas to be irrigated by "Techline" dripline or approved equivalent at 750mm intervals, capable of delivering 20mm/week</t>
  </si>
  <si>
    <t>HARDSCAPE</t>
  </si>
  <si>
    <t>Fence</t>
  </si>
  <si>
    <t>Tree protection fence - 1.8m cyclone chainmesh fence (NB: Refer to Arborist Report by Hugh the Arborist dated 15 February 2024 Revision A)</t>
  </si>
  <si>
    <t>Tree trunk protection - Timber planks (50mm x 100mm) spaced at 100mm intervals, and must be fixed against the trunk with tie wire</t>
  </si>
  <si>
    <t>SOFTSCAPE</t>
  </si>
  <si>
    <t>Indicative Tree Planting composed of 75mm to 100mm Mulch spread around base of tree, with Topsoil type A (Texture: Sandy Loam; Permeability fully compacted: 30-100cm/hr) and Topsoil type B (Texture: Sandy Loam; Permeability fully compacted: 2-8cm/hr), RIP Base to 150mm depth</t>
  </si>
  <si>
    <t>TS - Turf on slab; turf strips to butt against each other, Topsoil type C (Benedicts Premium Turf Underlay) to 100mm depth, washed river sand</t>
  </si>
  <si>
    <t>TG - Turf on grade; turf strips to butt against each other, Topsoil type C (Benedicts Premium Turf Underlay) to 100mm depth, turfed grassed areas cultivate and fine grade to 150mm depth prior to spreading topsoil</t>
  </si>
  <si>
    <t>GB - Garden Bed, 75mm Mulch; 300mm Topsoil type A (Texture: Sandy Loam; Permeability fully compacted: 30-100cm/hr) Cultivated 150mm into existing subgrade</t>
  </si>
  <si>
    <t>Concretel edging - 25mm Externall rolled edge, flush concrete edge with trowel finish, 100mm compacted thickness DGB20 compacted to 98% M.D.D, Subgrade to be firm natural cut ground or compacted fill to meet a min. of 100KPa allowable bearing pressure</t>
  </si>
  <si>
    <t>Two (2) 50mmx1800mm Hardwood stakes spaced at 100mm intervals, 50mm wide Jute/Hessian ties. Twisted once and stapled to stakes</t>
  </si>
  <si>
    <t>FOSROC Sheetdrain 81 - Dimpled protection and drainage membrane in high-density, extruded polyethylene with continuous filament yarn Drainage Cell</t>
  </si>
  <si>
    <t>STORMWATER</t>
  </si>
  <si>
    <t>Drain</t>
  </si>
  <si>
    <t>100mm diameter Subsoil drainage shall be laid at 0.5% fall minimum</t>
  </si>
  <si>
    <t>Pits</t>
  </si>
  <si>
    <t>Pits less than 500mm depth</t>
  </si>
  <si>
    <t xml:space="preserve">600 x 600mm  surface inlet pit with heavy duty access grate and ocean protect oceanguard (NB: Refer to drawing no. C107-B for details)</t>
  </si>
  <si>
    <t>Pits between 2000-2500mm depth</t>
  </si>
  <si>
    <t>900 x 900mm surface inlet pit with heavy duty access grate and ocean protect oceanguard (NB: Refer to drawing no. C107-B for details)</t>
  </si>
  <si>
    <t>Pipes</t>
  </si>
  <si>
    <t>Pipe less than 1000mm depth including backfilling</t>
  </si>
  <si>
    <t>150mm uPVC pipe</t>
  </si>
  <si>
    <t>225mm uPVC pipe</t>
  </si>
  <si>
    <t>300mm uPVC pipe</t>
  </si>
  <si>
    <t>Pipe between 1000-2000mm depth including backfilling</t>
  </si>
  <si>
    <t>100mm uPVC pipe</t>
  </si>
  <si>
    <t>OSD TANK (REFER TO CIVIL DRAWING NO. C108-B)</t>
  </si>
  <si>
    <t>200UC46.20, 46.2kg/m, 1203.4mm surface perimeter</t>
  </si>
  <si>
    <t>Hot dipped galvanising to steel beams</t>
  </si>
  <si>
    <t>190mm thick blockworks up to 3.0m high; Grade 15</t>
  </si>
  <si>
    <t>Corefilling to 190mm block wall; 20MPa, 230+/-30mm slump, 10mm max aggregate size; Assumed CF Rate: 0.12m3/m2</t>
  </si>
  <si>
    <t>Bar reinforcement to 190mm block wall up to 3.0m high</t>
  </si>
  <si>
    <t>Compacted free draining granular material (NB: Measured as wall area)</t>
  </si>
  <si>
    <t>Vertical control joints to masonry wall (NB: Measured as height of wall)</t>
  </si>
  <si>
    <t>Pre greased two layer galvanised steel slip joint between concrete and masonry (NB: Measured as length of wall)</t>
  </si>
  <si>
    <t>Cleanout holes at base of wall (NB: Measured as length of wall)</t>
  </si>
  <si>
    <t xml:space="preserve">Waterproofing to tank walls (NB: Choose from "Other Waterproofing Applications" at Section 0411P - Fosroc Waterproofing - External and Tanking  of Auburn Basketball Centre "Architectural Specification")</t>
  </si>
  <si>
    <t>Slab On Ground</t>
  </si>
  <si>
    <t>250mm deep concrete slab on ground; 25MPa, 80mm slump, 20mm max aggregate size</t>
  </si>
  <si>
    <t>200mm deep slab fold; 25MPa, 80mm slump, 20mm max aggregate size</t>
  </si>
  <si>
    <t>200x200mm deep concrete hob; 25MPa, 80mm slump, 20mm max aggregate size</t>
  </si>
  <si>
    <t>Mass concrete benching; 25MPa, 25MPa, 80mm slump, 20mm max aggregate size</t>
  </si>
  <si>
    <t>Edgeboard less than or equal to 250mm high to suspended slab; Class 5</t>
  </si>
  <si>
    <t>Bar reinforcement to concrete slab fold</t>
  </si>
  <si>
    <t>SL81 mesh top and bottom reinforcement to suspended slab</t>
  </si>
  <si>
    <t>Curing to slab on ground</t>
  </si>
  <si>
    <t>100mm diameter AG Drain in blue metal filled trench connected to stormwater system</t>
  </si>
  <si>
    <t xml:space="preserve">Waterproofing to slab on ground (NB: Choose from "Other Waterproofing Applications" at Section 0411P - Fosroc Waterproofing - External and Tanking  of Auburn Basketball Centre "Architectural Specification")</t>
  </si>
  <si>
    <t>200mm thick suspended slab; 32MPa, 80mm slump, 20mm max aggregate size</t>
  </si>
  <si>
    <t>1.00 BTM Bondek formwork to soffit with strutting height up to 3.5m high; Supplier: Lysaghts</t>
  </si>
  <si>
    <t>Edgeboard less than or equal to 250mm high to suspended slab; Class 2</t>
  </si>
  <si>
    <t>SL81 mesh top reinforcement to suspended slab</t>
  </si>
  <si>
    <t>Curing to suspended slab</t>
  </si>
  <si>
    <t>Backfill to top of OSD Tank (6.0 kPa DL max)</t>
  </si>
  <si>
    <t>Concrete Wall</t>
  </si>
  <si>
    <t>200mm thick concrete wall</t>
  </si>
  <si>
    <t>Formwork to 200mm thick concrete wall; Class 2</t>
  </si>
  <si>
    <t>Bar reinforcement to concrete wall</t>
  </si>
  <si>
    <t>900 x 900mm Heavy duty access grate</t>
  </si>
  <si>
    <t xml:space="preserve">600 x 600mm  Heavy duty access grate</t>
  </si>
  <si>
    <t>675mm long 20mm diameter mild steel, heavy galvanised step iron (NB: Refer to drawing no. C107-B for detail)</t>
  </si>
  <si>
    <t>450 x 450 x 10mm thick stainless steel orifice plate with 92mm diameter circular hole with sharp edges machined to 0.5mm accuracy (NB: Refer to drawing no. C108-B for detail)</t>
  </si>
  <si>
    <t>450 x 450 x 10mm thick stainless steel orifice plate with 159mm diameter circular hole with sharp edges machined to 0.5mm accuracy (NB: Refer to drawing no. C108-B for detail)</t>
  </si>
  <si>
    <t>600x800x1000mm high triangular RH3030 maximesh screen with handle and bracket on pit wall (NB: Refer to drawing no. C108-B for detail)</t>
  </si>
  <si>
    <t>OSD System Marker Plate (NB: Refer to drawing no. C108-B for detail)</t>
  </si>
  <si>
    <t>External Services</t>
  </si>
  <si>
    <t>NN/1A</t>
  </si>
  <si>
    <t>NN/1B</t>
  </si>
  <si>
    <t>NN/1C</t>
  </si>
  <si>
    <t>Getting out, levelling, grading, trimming</t>
  </si>
  <si>
    <t>NN/1D</t>
  </si>
  <si>
    <t>NN/1E</t>
  </si>
  <si>
    <t>NN/1F</t>
  </si>
  <si>
    <t>NN/1G</t>
  </si>
  <si>
    <t>NN/1H</t>
  </si>
  <si>
    <t>NN/1J</t>
  </si>
  <si>
    <t>NN/1K</t>
  </si>
  <si>
    <t>NN/1L</t>
  </si>
  <si>
    <t>NN/1M</t>
  </si>
  <si>
    <t>NN/1N</t>
  </si>
  <si>
    <t>Allow for giving notice and providing facilities for inspection</t>
  </si>
  <si>
    <t>NN/1P</t>
  </si>
  <si>
    <t>NN/2A</t>
  </si>
  <si>
    <t>NN/2B</t>
  </si>
  <si>
    <t>NN/2D</t>
  </si>
  <si>
    <t>NN/2E</t>
  </si>
  <si>
    <t>TT/2D</t>
  </si>
  <si>
    <t>NN/2F</t>
  </si>
  <si>
    <t xml:space="preserve">Allow for any shoring, planking and strutting deemed necessary to retain sides of excavations </t>
  </si>
  <si>
    <t>EXTERNAL SERVICES</t>
  </si>
  <si>
    <t>Timber/Wood</t>
  </si>
  <si>
    <t>Refer to following sections of Auburn Basketball Centre "Architectural Specification" Revision A dated 21 January 2025 by Facility Design Group Architecture &amp; Construction: 0655 - Timber Flooring - Sports, 0656 - Floor sanding and finishing</t>
  </si>
  <si>
    <t>There were no assumptions made. Documents were sufficient to cover the entire scope.</t>
  </si>
  <si>
    <t>*****</t>
  </si>
  <si>
    <t>TIMBER/WOOD</t>
  </si>
  <si>
    <t>I.TSF-01 - Canadian Maple Double Sprung; Supplier: Australasian Sports Floors Horner Pty Ltd</t>
  </si>
  <si>
    <t>Provisional Sums</t>
  </si>
  <si>
    <t>Removal of Contaminated Materials</t>
  </si>
  <si>
    <t>Retractable Seating to Court Hall</t>
  </si>
  <si>
    <t>Additional Auburn Basketball Centre Works to be instructed by client</t>
  </si>
  <si>
    <t>Subtotal</t>
  </si>
  <si>
    <t>Adjustment</t>
  </si>
  <si>
    <t>G.S.T</t>
  </si>
  <si>
    <t>Markup</t>
  </si>
  <si>
    <t>Job %</t>
  </si>
  <si>
    <t>Cost per Unit</t>
  </si>
</sst>
</file>

<file path=xl/styles.xml><?xml version="1.0" encoding="utf-8"?>
<styleSheet xmlns="http://schemas.openxmlformats.org/spreadsheetml/2006/main">
  <numFmts count="0"/>
  <fonts count="7">
    <font>
      <sz val="11"/>
      <name val="Calibri"/>
    </font>
    <font>
      <b/>
      <sz val="11"/>
      <name val="Calibri"/>
    </font>
    <font>
      <b/>
      <sz val="13"/>
      <color rgb="FF1F497D" tint="0"/>
      <name val="Calibri"/>
    </font>
    <font>
      <b/>
      <sz val="14"/>
      <name val="Calibri"/>
    </font>
    <font>
      <b/>
      <sz val="12"/>
      <name val="Calibri"/>
    </font>
    <font>
      <u/>
      <sz val="11"/>
      <name val="Calibri"/>
    </font>
    <font>
      <sz val="13"/>
      <name val="Calibri"/>
    </font>
  </fonts>
  <fills count="5">
    <fill>
      <patternFill patternType="none"/>
    </fill>
    <fill>
      <patternFill patternType="gray125"/>
    </fill>
    <fill>
      <patternFill patternType="solid">
        <fgColor rgb="FFB8CCE4" tint="0"/>
      </patternFill>
    </fill>
    <fill>
      <patternFill patternType="solid">
        <fgColor rgb="FFCAD9EA" tint="0"/>
      </patternFill>
    </fill>
    <fill>
      <patternFill patternType="solid">
        <fgColor rgb="FFA7C0DD" tint="0"/>
      </patternFill>
    </fill>
  </fills>
  <borders count="1">
    <border>
      <left/>
      <right/>
      <top/>
      <bottom/>
      <diagonal/>
    </border>
  </borders>
  <cellStyleXfs count="1">
    <xf numFmtId="0" fontId="0"/>
  </cellStyleXfs>
  <cellXfs count="26">
    <xf numFmtId="0" applyNumberFormat="1" fontId="0" applyFont="1" xfId="0"/>
    <xf numFmtId="4" applyNumberFormat="1" fontId="2" applyFont="1" xfId="0">
      <alignment horizontal="center" vertical="top" wrapText="1"/>
    </xf>
    <xf numFmtId="4" applyNumberFormat="1" fontId="3" applyFont="1" fillId="2" applyFill="1" xfId="0">
      <alignment horizontal="center" vertical="top" wrapText="1"/>
    </xf>
    <xf numFmtId="4" applyNumberFormat="1" fontId="4" applyFont="1" fillId="3" applyFill="1" xfId="0">
      <alignment horizontal="center" vertical="top" wrapText="1"/>
    </xf>
    <xf numFmtId="4" applyNumberFormat="1" fontId="0" applyFont="1" xfId="0">
      <alignment horizontal="center" vertical="top" wrapText="1"/>
    </xf>
    <xf numFmtId="4" applyNumberFormat="1" fontId="1" applyFont="1" xfId="0">
      <alignment horizontal="center" vertical="top" wrapText="1"/>
    </xf>
    <xf numFmtId="4" applyNumberFormat="1" fontId="5" applyFont="1" xfId="0">
      <alignment horizontal="center" vertical="top" wrapText="1"/>
    </xf>
    <xf numFmtId="4" applyNumberFormat="1" fontId="0" applyFont="1" xfId="0">
      <alignment vertical="top" wrapText="1"/>
    </xf>
    <xf numFmtId="4" applyNumberFormat="1" fontId="6" applyFont="1" fillId="2" applyFill="1" xfId="0">
      <alignment wrapText="1"/>
    </xf>
    <xf numFmtId="4" applyNumberFormat="1" fontId="3" applyFont="1" fillId="4" applyFill="1" xfId="0">
      <alignment wrapText="1"/>
    </xf>
    <xf numFmtId="4" applyNumberFormat="1" fontId="3" applyFont="1" fillId="2" applyFill="1" xfId="0">
      <alignment vertical="top" wrapText="1"/>
    </xf>
    <xf numFmtId="4" applyNumberFormat="1" fontId="4" applyFont="1" fillId="3" applyFill="1" xfId="0">
      <alignment vertical="top" wrapText="1"/>
    </xf>
    <xf numFmtId="4" applyNumberFormat="1" fontId="0" applyFont="1" xfId="0">
      <alignment vertical="top" wrapText="1" indent="1"/>
    </xf>
    <xf numFmtId="4" applyNumberFormat="1" fontId="1" applyFont="1" xfId="0">
      <alignment vertical="top" wrapText="1" indent="1"/>
    </xf>
    <xf numFmtId="4" applyNumberFormat="1" fontId="0" applyFont="1" xfId="0">
      <alignment vertical="top" wrapText="1" indent="2"/>
    </xf>
    <xf numFmtId="4" applyNumberFormat="1" fontId="5" applyFont="1" xfId="0">
      <alignment vertical="top" wrapText="1" indent="2"/>
    </xf>
    <xf numFmtId="4" applyNumberFormat="1" fontId="0" applyFont="1" xfId="0">
      <alignment vertical="top" wrapText="1" indent="3"/>
    </xf>
    <xf numFmtId="4" applyNumberFormat="1" fontId="0" applyFont="1" xfId="0">
      <alignment vertical="top" wrapText="1" indent="4"/>
    </xf>
    <xf numFmtId="4" applyNumberFormat="1" fontId="0" applyFont="1" xfId="0">
      <alignment vertical="top" wrapText="1" indent="5"/>
    </xf>
    <xf numFmtId="4" applyNumberFormat="1" fontId="3" applyFont="1" fillId="2" applyFill="1" xfId="0">
      <alignment horizontal="right" vertical="top" wrapText="1"/>
    </xf>
    <xf numFmtId="4" applyNumberFormat="1" fontId="4" applyFont="1" fillId="3" applyFill="1" xfId="0">
      <alignment horizontal="right" vertical="top" wrapText="1"/>
    </xf>
    <xf numFmtId="4" applyNumberFormat="1" fontId="0" applyFont="1" xfId="0">
      <alignment horizontal="right" vertical="top" wrapText="1"/>
    </xf>
    <xf numFmtId="4" applyNumberFormat="1" fontId="1" applyFont="1" xfId="0">
      <alignment horizontal="right" vertical="top" wrapText="1"/>
    </xf>
    <xf numFmtId="4" applyNumberFormat="1" fontId="5" applyFont="1" xfId="0">
      <alignment horizontal="right" vertical="top" wrapText="1"/>
    </xf>
    <xf numFmtId="4" applyNumberFormat="1" fontId="6" applyFont="1" fillId="2" applyFill="1" xfId="0">
      <alignment vertical="top" wrapText="1"/>
    </xf>
    <xf numFmtId="4" applyNumberFormat="1" fontId="6" applyFont="1" fillId="2" applyFill="1" xfId="0">
      <alignment horizontal="righ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F2599"/>
  <sheetViews>
    <sheetView workbookViewId="0">
      <pane xSplit="6" ySplit="1" topLeftCell="G2" state="frozen" activePane="bottomRight"/>
      <selection pane="topRight" activeCell="G1" sqref="G1"/>
      <selection pane="bottomLeft" activeCell="A2" sqref="A2"/>
      <selection pane="bottomRight" activeCell="A1" sqref="A1"/>
    </sheetView>
  </sheetViews>
  <sheetFormatPr defaultRowHeight="15"/>
  <cols>
    <col min="1" max="1" width="13.6594715118408" customWidth="1"/>
    <col min="2" max="2" width="30" customWidth="1"/>
    <col min="3" max="3" width="10.8870573043823" customWidth="1"/>
    <col min="4" max="4" width="11.8305721282959" customWidth="1"/>
    <col min="5" max="5" width="9.140625" customWidth="1"/>
    <col min="6" max="6" width="20" customWidth="1"/>
  </cols>
  <sheetData>
    <row r="1">
      <c r="A1" s="1" t="s">
        <v>0</v>
      </c>
      <c r="B1" s="1" t="s">
        <v>1</v>
      </c>
      <c r="C1" s="1" t="s">
        <v>2</v>
      </c>
      <c r="D1" s="1" t="s">
        <v>3</v>
      </c>
      <c r="E1" s="1" t="s">
        <v>4</v>
      </c>
      <c r="F1" s="1" t="s">
        <v>5</v>
      </c>
    </row>
    <row r="2">
      <c r="A2" s="2"/>
      <c r="B2" s="10" t="s">
        <v>6</v>
      </c>
      <c r="C2" s="19"/>
      <c r="D2" s="19"/>
      <c r="E2" s="19"/>
      <c r="F2" s="19"/>
    </row>
    <row r="3">
      <c r="A3" s="3"/>
      <c r="B3" s="11" t="s">
        <v>7</v>
      </c>
      <c r="C3" s="20"/>
      <c r="D3" s="20"/>
      <c r="E3" s="20"/>
      <c r="F3" s="20"/>
    </row>
    <row r="4">
      <c r="A4" s="4"/>
      <c r="B4" s="12" t="s">
        <v>8</v>
      </c>
      <c r="C4" s="21">
        <f>(2759)*(1)*(1)*(1)*(1 + (0))</f>
      </c>
      <c r="D4" s="21" t="s">
        <v>9</v>
      </c>
      <c r="E4" s="21"/>
      <c r="F4" s="21">
        <f>C4*E4</f>
      </c>
    </row>
    <row r="5">
      <c r="A5" s="4"/>
      <c r="B5" s="12" t="s">
        <v>10</v>
      </c>
      <c r="C5" s="21">
        <f>(974)*(1)*(1)*(1)*(1 + (0))</f>
      </c>
      <c r="D5" s="21" t="s">
        <v>9</v>
      </c>
      <c r="E5" s="21"/>
      <c r="F5" s="21">
        <f>C5*E5</f>
      </c>
    </row>
    <row r="6">
      <c r="A6" s="3"/>
      <c r="B6" s="11" t="s">
        <v>11</v>
      </c>
      <c r="C6" s="20"/>
      <c r="D6" s="20"/>
      <c r="E6" s="20"/>
      <c r="F6" s="20"/>
    </row>
    <row r="7">
      <c r="A7" s="4"/>
      <c r="B7" s="12" t="s">
        <v>8</v>
      </c>
      <c r="C7" s="21">
        <f>(219)*(1)*(1)*(1)*(1 + (0))</f>
      </c>
      <c r="D7" s="21" t="s">
        <v>9</v>
      </c>
      <c r="E7" s="21"/>
      <c r="F7" s="21">
        <f>C7*E7</f>
      </c>
    </row>
    <row r="8">
      <c r="A8" s="4"/>
      <c r="B8" s="12" t="s">
        <v>10</v>
      </c>
      <c r="C8" s="21">
        <f>(68)*(1)*(1)*(1)*(1 + (0))</f>
      </c>
      <c r="D8" s="21" t="s">
        <v>9</v>
      </c>
      <c r="E8" s="21"/>
      <c r="F8" s="21">
        <f>C8*E8</f>
      </c>
    </row>
    <row r="9">
      <c r="A9" s="3"/>
      <c r="B9" s="11" t="s">
        <v>12</v>
      </c>
      <c r="C9" s="20"/>
      <c r="D9" s="20"/>
      <c r="E9" s="20"/>
      <c r="F9" s="20"/>
    </row>
    <row r="10">
      <c r="A10" s="4"/>
      <c r="B10" s="12" t="s">
        <v>8</v>
      </c>
      <c r="C10" s="21">
        <f>(1896)*(1)*(1)*(1)*(1 + (0))</f>
      </c>
      <c r="D10" s="21" t="s">
        <v>9</v>
      </c>
      <c r="E10" s="21"/>
      <c r="F10" s="21">
        <f>C10*E10</f>
      </c>
    </row>
    <row r="11">
      <c r="A11" s="2"/>
      <c r="B11" s="10" t="s">
        <v>13</v>
      </c>
      <c r="C11" s="19"/>
      <c r="D11" s="19"/>
      <c r="E11" s="19"/>
      <c r="F11" s="19"/>
    </row>
    <row r="12">
      <c r="A12" s="3"/>
      <c r="B12" s="11" t="s">
        <v>14</v>
      </c>
      <c r="C12" s="20"/>
      <c r="D12" s="20"/>
      <c r="E12" s="20"/>
      <c r="F12" s="20"/>
    </row>
    <row r="13">
      <c r="A13" s="4" t="s">
        <v>15</v>
      </c>
      <c r="B13" s="12" t="s">
        <v>16</v>
      </c>
      <c r="C13" s="21"/>
      <c r="D13" s="21" t="s">
        <v>17</v>
      </c>
      <c r="E13" s="21"/>
      <c r="F13" s="21">
        <f>C13*E13</f>
      </c>
    </row>
    <row r="14">
      <c r="A14" s="4" t="s">
        <v>18</v>
      </c>
      <c r="B14" s="12" t="s">
        <v>19</v>
      </c>
      <c r="C14" s="21"/>
      <c r="D14" s="21" t="s">
        <v>17</v>
      </c>
      <c r="E14" s="21"/>
      <c r="F14" s="21">
        <f>C14*E14</f>
      </c>
    </row>
    <row r="15">
      <c r="A15" s="4" t="s">
        <v>20</v>
      </c>
      <c r="B15" s="12" t="s">
        <v>21</v>
      </c>
      <c r="C15" s="21"/>
      <c r="D15" s="21" t="s">
        <v>17</v>
      </c>
      <c r="E15" s="21"/>
      <c r="F15" s="21">
        <f>C15*E15</f>
      </c>
    </row>
    <row r="16">
      <c r="A16" s="3"/>
      <c r="B16" s="11" t="s">
        <v>22</v>
      </c>
      <c r="C16" s="20"/>
      <c r="D16" s="20"/>
      <c r="E16" s="20"/>
      <c r="F16" s="20"/>
    </row>
    <row r="17">
      <c r="A17" s="4"/>
      <c r="B17" s="12" t="s">
        <v>23</v>
      </c>
      <c r="C17" s="21"/>
      <c r="D17" s="21" t="s">
        <v>17</v>
      </c>
      <c r="E17" s="21"/>
      <c r="F17" s="21">
        <f>C17*E17</f>
      </c>
    </row>
    <row r="18">
      <c r="A18" s="3"/>
      <c r="B18" s="11" t="s">
        <v>24</v>
      </c>
      <c r="C18" s="20"/>
      <c r="D18" s="20"/>
      <c r="E18" s="20"/>
      <c r="F18" s="20"/>
    </row>
    <row r="19">
      <c r="A19" s="5"/>
      <c r="B19" s="13" t="s">
        <v>25</v>
      </c>
      <c r="C19" s="22"/>
      <c r="D19" s="22"/>
      <c r="E19" s="22"/>
      <c r="F19" s="22"/>
    </row>
    <row r="20">
      <c r="A20" s="4" t="s">
        <v>26</v>
      </c>
      <c r="B20" s="14" t="s">
        <v>27</v>
      </c>
      <c r="C20" s="21"/>
      <c r="D20" s="21" t="s">
        <v>17</v>
      </c>
      <c r="E20" s="21"/>
      <c r="F20" s="21">
        <f>C20*E20</f>
      </c>
    </row>
    <row r="21">
      <c r="A21" s="4" t="s">
        <v>28</v>
      </c>
      <c r="B21" s="14" t="s">
        <v>29</v>
      </c>
      <c r="C21" s="21"/>
      <c r="D21" s="21" t="s">
        <v>17</v>
      </c>
      <c r="E21" s="21"/>
      <c r="F21" s="21">
        <f>C21*E21</f>
      </c>
    </row>
    <row r="22">
      <c r="A22" s="4" t="s">
        <v>30</v>
      </c>
      <c r="B22" s="14" t="s">
        <v>31</v>
      </c>
      <c r="C22" s="21"/>
      <c r="D22" s="21" t="s">
        <v>17</v>
      </c>
      <c r="E22" s="21"/>
      <c r="F22" s="21">
        <f>C22*E22</f>
      </c>
    </row>
    <row r="23">
      <c r="A23" s="4" t="s">
        <v>32</v>
      </c>
      <c r="B23" s="14" t="s">
        <v>33</v>
      </c>
      <c r="C23" s="21"/>
      <c r="D23" s="21" t="s">
        <v>17</v>
      </c>
      <c r="E23" s="21"/>
      <c r="F23" s="21">
        <f>C23*E23</f>
      </c>
    </row>
    <row r="24">
      <c r="A24" s="4" t="s">
        <v>34</v>
      </c>
      <c r="B24" s="14" t="s">
        <v>35</v>
      </c>
      <c r="C24" s="21"/>
      <c r="D24" s="21" t="s">
        <v>17</v>
      </c>
      <c r="E24" s="21"/>
      <c r="F24" s="21">
        <f>C24*E24</f>
      </c>
    </row>
    <row r="25">
      <c r="A25" s="4" t="s">
        <v>36</v>
      </c>
      <c r="B25" s="14" t="s">
        <v>37</v>
      </c>
      <c r="C25" s="21"/>
      <c r="D25" s="21" t="s">
        <v>17</v>
      </c>
      <c r="E25" s="21"/>
      <c r="F25" s="21">
        <f>C25*E25</f>
      </c>
    </row>
    <row r="26">
      <c r="A26" s="4" t="s">
        <v>38</v>
      </c>
      <c r="B26" s="14" t="s">
        <v>39</v>
      </c>
      <c r="C26" s="21"/>
      <c r="D26" s="21" t="s">
        <v>17</v>
      </c>
      <c r="E26" s="21"/>
      <c r="F26" s="21">
        <f>C26*E26</f>
      </c>
    </row>
    <row r="27">
      <c r="A27" s="4" t="s">
        <v>40</v>
      </c>
      <c r="B27" s="14" t="s">
        <v>41</v>
      </c>
      <c r="C27" s="21"/>
      <c r="D27" s="21" t="s">
        <v>17</v>
      </c>
      <c r="E27" s="21"/>
      <c r="F27" s="21">
        <f>C27*E27</f>
      </c>
    </row>
    <row r="28">
      <c r="A28" s="3"/>
      <c r="B28" s="11" t="s">
        <v>42</v>
      </c>
      <c r="C28" s="20"/>
      <c r="D28" s="20"/>
      <c r="E28" s="20"/>
      <c r="F28" s="20"/>
    </row>
    <row r="29">
      <c r="A29" s="4" t="s">
        <v>43</v>
      </c>
      <c r="B29" s="12" t="s">
        <v>44</v>
      </c>
      <c r="C29" s="21">
        <f>(1)*(1)*(1)*(1)*(1 + (0))</f>
      </c>
      <c r="D29" s="21" t="s">
        <v>45</v>
      </c>
      <c r="E29" s="21"/>
      <c r="F29" s="21">
        <f>C29*E29</f>
      </c>
    </row>
    <row r="30">
      <c r="A30" s="4" t="s">
        <v>46</v>
      </c>
      <c r="B30" s="12" t="s">
        <v>47</v>
      </c>
      <c r="C30" s="21">
        <f>(1)*(1)*(1)*(1)*(1 + (0))</f>
      </c>
      <c r="D30" s="21" t="s">
        <v>45</v>
      </c>
      <c r="E30" s="21"/>
      <c r="F30" s="21">
        <f>C30*E30</f>
      </c>
    </row>
    <row r="31">
      <c r="A31" s="4" t="s">
        <v>48</v>
      </c>
      <c r="B31" s="12" t="s">
        <v>49</v>
      </c>
      <c r="C31" s="21">
        <f>(1)*(1)*(1)*(1)*(1 + (0))</f>
      </c>
      <c r="D31" s="21" t="s">
        <v>45</v>
      </c>
      <c r="E31" s="21"/>
      <c r="F31" s="21">
        <f>C31*E31</f>
      </c>
    </row>
    <row r="32">
      <c r="A32" s="4" t="s">
        <v>50</v>
      </c>
      <c r="B32" s="12" t="s">
        <v>51</v>
      </c>
      <c r="C32" s="21">
        <f>(1)*(1)*(1)*(1)*(1 + (0))</f>
      </c>
      <c r="D32" s="21" t="s">
        <v>45</v>
      </c>
      <c r="E32" s="21"/>
      <c r="F32" s="21">
        <f>C32*E32</f>
      </c>
    </row>
    <row r="33">
      <c r="A33" s="4" t="s">
        <v>52</v>
      </c>
      <c r="B33" s="12" t="s">
        <v>53</v>
      </c>
      <c r="C33" s="21">
        <f>(1)*(1)*(1)*(1)*(1 + (0))</f>
      </c>
      <c r="D33" s="21" t="s">
        <v>45</v>
      </c>
      <c r="E33" s="21"/>
      <c r="F33" s="21">
        <f>C33*E33</f>
      </c>
    </row>
    <row r="34">
      <c r="A34" s="4" t="s">
        <v>54</v>
      </c>
      <c r="B34" s="12" t="s">
        <v>55</v>
      </c>
      <c r="C34" s="21">
        <f>(1)*(1)*(1)*(1)*(1 + (0))</f>
      </c>
      <c r="D34" s="21" t="s">
        <v>45</v>
      </c>
      <c r="E34" s="21"/>
      <c r="F34" s="21">
        <f>C34*E34</f>
      </c>
    </row>
    <row r="35">
      <c r="A35" s="4" t="s">
        <v>56</v>
      </c>
      <c r="B35" s="12" t="s">
        <v>57</v>
      </c>
      <c r="C35" s="21">
        <f>(1)*(1)*(1)*(1)*(1 + (0))</f>
      </c>
      <c r="D35" s="21" t="s">
        <v>45</v>
      </c>
      <c r="E35" s="21"/>
      <c r="F35" s="21">
        <f>C35*E35</f>
      </c>
    </row>
    <row r="36">
      <c r="A36" s="4" t="s">
        <v>58</v>
      </c>
      <c r="B36" s="12" t="s">
        <v>59</v>
      </c>
      <c r="C36" s="21">
        <f>(1)*(1)*(1)*(1)*(1 + (0))</f>
      </c>
      <c r="D36" s="21" t="s">
        <v>45</v>
      </c>
      <c r="E36" s="21"/>
      <c r="F36" s="21">
        <f>C36*E36</f>
      </c>
    </row>
    <row r="37">
      <c r="A37" s="4" t="s">
        <v>60</v>
      </c>
      <c r="B37" s="12" t="s">
        <v>61</v>
      </c>
      <c r="C37" s="21">
        <f>(1)*(1)*(1)*(1)*(1 + (0))</f>
      </c>
      <c r="D37" s="21" t="s">
        <v>45</v>
      </c>
      <c r="E37" s="21"/>
      <c r="F37" s="21">
        <f>C37*E37</f>
      </c>
    </row>
    <row r="38">
      <c r="A38" s="4" t="s">
        <v>62</v>
      </c>
      <c r="B38" s="12" t="s">
        <v>63</v>
      </c>
      <c r="C38" s="21">
        <f>(1)*(1)*(1)*(1)*(1 + (0))</f>
      </c>
      <c r="D38" s="21" t="s">
        <v>45</v>
      </c>
      <c r="E38" s="21"/>
      <c r="F38" s="21">
        <f>C38*E38</f>
      </c>
    </row>
    <row r="39">
      <c r="A39" s="4" t="s">
        <v>64</v>
      </c>
      <c r="B39" s="12" t="s">
        <v>65</v>
      </c>
      <c r="C39" s="21">
        <f>(1)*(1)*(1)*(1)*(1 + (0))</f>
      </c>
      <c r="D39" s="21" t="s">
        <v>45</v>
      </c>
      <c r="E39" s="21"/>
      <c r="F39" s="21">
        <f>C39*E39</f>
      </c>
    </row>
    <row r="40">
      <c r="A40" s="4" t="s">
        <v>66</v>
      </c>
      <c r="B40" s="12" t="s">
        <v>67</v>
      </c>
      <c r="C40" s="21">
        <f>(1)*(1)*(1)*(1)*(1 + (0))</f>
      </c>
      <c r="D40" s="21" t="s">
        <v>45</v>
      </c>
      <c r="E40" s="21"/>
      <c r="F40" s="21">
        <f>C40*E40</f>
      </c>
    </row>
    <row r="41">
      <c r="A41" s="4" t="s">
        <v>68</v>
      </c>
      <c r="B41" s="12" t="s">
        <v>69</v>
      </c>
      <c r="C41" s="21">
        <f>(1)*(1)*(1)*(1)*(1 + (0))</f>
      </c>
      <c r="D41" s="21" t="s">
        <v>45</v>
      </c>
      <c r="E41" s="21"/>
      <c r="F41" s="21">
        <f>C41*E41</f>
      </c>
    </row>
    <row r="42">
      <c r="A42" s="4" t="s">
        <v>70</v>
      </c>
      <c r="B42" s="12" t="s">
        <v>71</v>
      </c>
      <c r="C42" s="21">
        <f>(1)*(1)*(1)*(1)*(1 + (0))</f>
      </c>
      <c r="D42" s="21" t="s">
        <v>45</v>
      </c>
      <c r="E42" s="21"/>
      <c r="F42" s="21">
        <f>C42*E42</f>
      </c>
    </row>
    <row r="43">
      <c r="A43" s="4" t="s">
        <v>72</v>
      </c>
      <c r="B43" s="12" t="s">
        <v>73</v>
      </c>
      <c r="C43" s="21">
        <f>(1)*(1)*(1)*(1)*(1 + (0))</f>
      </c>
      <c r="D43" s="21" t="s">
        <v>45</v>
      </c>
      <c r="E43" s="21"/>
      <c r="F43" s="21">
        <f>C43*E43</f>
      </c>
    </row>
    <row r="44">
      <c r="A44" s="4" t="s">
        <v>74</v>
      </c>
      <c r="B44" s="12" t="s">
        <v>75</v>
      </c>
      <c r="C44" s="21">
        <f>(1)*(1)*(1)*(1)*(1 + (0))</f>
      </c>
      <c r="D44" s="21" t="s">
        <v>45</v>
      </c>
      <c r="E44" s="21"/>
      <c r="F44" s="21">
        <f>C44*E44</f>
      </c>
    </row>
    <row r="45">
      <c r="A45" s="4" t="s">
        <v>76</v>
      </c>
      <c r="B45" s="12" t="s">
        <v>77</v>
      </c>
      <c r="C45" s="21">
        <f>(1)*(1)*(1)*(1)*(1 + (0))</f>
      </c>
      <c r="D45" s="21" t="s">
        <v>45</v>
      </c>
      <c r="E45" s="21"/>
      <c r="F45" s="21">
        <f>C45*E45</f>
      </c>
    </row>
    <row r="46">
      <c r="A46" s="4" t="s">
        <v>78</v>
      </c>
      <c r="B46" s="12" t="s">
        <v>79</v>
      </c>
      <c r="C46" s="21">
        <f>(1)*(1)*(1)*(1)*(1 + (0))</f>
      </c>
      <c r="D46" s="21" t="s">
        <v>45</v>
      </c>
      <c r="E46" s="21"/>
      <c r="F46" s="21">
        <f>C46*E46</f>
      </c>
    </row>
    <row r="47">
      <c r="A47" s="4" t="s">
        <v>80</v>
      </c>
      <c r="B47" s="12" t="s">
        <v>81</v>
      </c>
      <c r="C47" s="21">
        <f>(1)*(1)*(1)*(1)*(1 + (0))</f>
      </c>
      <c r="D47" s="21" t="s">
        <v>45</v>
      </c>
      <c r="E47" s="21"/>
      <c r="F47" s="21">
        <f>C47*E47</f>
      </c>
    </row>
    <row r="48">
      <c r="A48" s="3"/>
      <c r="B48" s="11" t="s">
        <v>82</v>
      </c>
      <c r="C48" s="20"/>
      <c r="D48" s="20"/>
      <c r="E48" s="20"/>
      <c r="F48" s="20"/>
    </row>
    <row r="49">
      <c r="A49" s="4" t="s">
        <v>83</v>
      </c>
      <c r="B49" s="12" t="s">
        <v>84</v>
      </c>
      <c r="C49" s="21"/>
      <c r="D49" s="21" t="s">
        <v>17</v>
      </c>
      <c r="E49" s="21"/>
      <c r="F49" s="21">
        <f>C49*E49</f>
      </c>
    </row>
    <row r="50">
      <c r="A50" s="3"/>
      <c r="B50" s="11" t="s">
        <v>85</v>
      </c>
      <c r="C50" s="20"/>
      <c r="D50" s="20"/>
      <c r="E50" s="20"/>
      <c r="F50" s="20"/>
    </row>
    <row r="51">
      <c r="A51" s="4"/>
      <c r="B51" s="12" t="s">
        <v>86</v>
      </c>
      <c r="C51" s="21">
        <f>(30)*(1)*(1)*(1)*(1 + (0))</f>
      </c>
      <c r="D51" s="21" t="s">
        <v>9</v>
      </c>
      <c r="E51" s="21"/>
      <c r="F51" s="21">
        <f>C51*E51</f>
      </c>
    </row>
    <row r="52">
      <c r="A52" s="4"/>
      <c r="B52" s="12" t="s">
        <v>87</v>
      </c>
      <c r="C52" s="21">
        <f>(30)*(1)*(1)*(1)*(1 + (0))</f>
      </c>
      <c r="D52" s="21" t="s">
        <v>9</v>
      </c>
      <c r="E52" s="21"/>
      <c r="F52" s="21">
        <f>C52*E52</f>
      </c>
    </row>
    <row r="53">
      <c r="A53" s="3"/>
      <c r="B53" s="11" t="s">
        <v>88</v>
      </c>
      <c r="C53" s="20"/>
      <c r="D53" s="20"/>
      <c r="E53" s="20"/>
      <c r="F53" s="20"/>
    </row>
    <row r="54">
      <c r="A54" s="4" t="s">
        <v>89</v>
      </c>
      <c r="B54" s="12" t="s">
        <v>90</v>
      </c>
      <c r="C54" s="21">
        <f>(1)*(1)*(1)*(1)*(1 + (0))</f>
      </c>
      <c r="D54" s="21" t="s">
        <v>45</v>
      </c>
      <c r="E54" s="21"/>
      <c r="F54" s="21">
        <f>C54*E54</f>
      </c>
    </row>
    <row r="55">
      <c r="A55" s="4" t="s">
        <v>91</v>
      </c>
      <c r="B55" s="12" t="s">
        <v>92</v>
      </c>
      <c r="C55" s="21">
        <f>(1)*(1)*(1)*(1)*(1 + (0))</f>
      </c>
      <c r="D55" s="21" t="s">
        <v>45</v>
      </c>
      <c r="E55" s="21"/>
      <c r="F55" s="21">
        <f>C55*E55</f>
      </c>
    </row>
    <row r="56">
      <c r="A56" s="4" t="s">
        <v>93</v>
      </c>
      <c r="B56" s="12" t="s">
        <v>94</v>
      </c>
      <c r="C56" s="21">
        <f>(1)*(1)*(1)*(1)*(1 + (0))</f>
      </c>
      <c r="D56" s="21" t="s">
        <v>45</v>
      </c>
      <c r="E56" s="21"/>
      <c r="F56" s="21">
        <f>C56*E56</f>
      </c>
    </row>
    <row r="57">
      <c r="A57" s="2"/>
      <c r="B57" s="10" t="s">
        <v>95</v>
      </c>
      <c r="C57" s="19"/>
      <c r="D57" s="19"/>
      <c r="E57" s="19"/>
      <c r="F57" s="19"/>
    </row>
    <row r="58">
      <c r="A58" s="3"/>
      <c r="B58" s="11" t="s">
        <v>14</v>
      </c>
      <c r="C58" s="20"/>
      <c r="D58" s="20"/>
      <c r="E58" s="20"/>
      <c r="F58" s="20"/>
    </row>
    <row r="59">
      <c r="A59" s="4" t="s">
        <v>96</v>
      </c>
      <c r="B59" s="12" t="s">
        <v>16</v>
      </c>
      <c r="C59" s="21"/>
      <c r="D59" s="21" t="s">
        <v>17</v>
      </c>
      <c r="E59" s="21"/>
      <c r="F59" s="21">
        <f>C59*E59</f>
      </c>
    </row>
    <row r="60">
      <c r="A60" s="4" t="s">
        <v>97</v>
      </c>
      <c r="B60" s="12" t="s">
        <v>19</v>
      </c>
      <c r="C60" s="21"/>
      <c r="D60" s="21" t="s">
        <v>17</v>
      </c>
      <c r="E60" s="21"/>
      <c r="F60" s="21">
        <f>C60*E60</f>
      </c>
    </row>
    <row r="61">
      <c r="A61" s="3"/>
      <c r="B61" s="11" t="s">
        <v>98</v>
      </c>
      <c r="C61" s="20"/>
      <c r="D61" s="20"/>
      <c r="E61" s="20"/>
      <c r="F61" s="20"/>
    </row>
    <row r="62">
      <c r="A62" s="4"/>
      <c r="B62" s="12" t="s">
        <v>99</v>
      </c>
      <c r="C62" s="21"/>
      <c r="D62" s="21" t="s">
        <v>17</v>
      </c>
      <c r="E62" s="21"/>
      <c r="F62" s="21">
        <f>C62*E62</f>
      </c>
    </row>
    <row r="63">
      <c r="A63" s="4"/>
      <c r="B63" s="12" t="s">
        <v>100</v>
      </c>
      <c r="C63" s="21"/>
      <c r="D63" s="21" t="s">
        <v>17</v>
      </c>
      <c r="E63" s="21"/>
      <c r="F63" s="21">
        <f>C63*E63</f>
      </c>
    </row>
    <row r="64">
      <c r="A64" s="4"/>
      <c r="B64" s="12" t="s">
        <v>101</v>
      </c>
      <c r="C64" s="21"/>
      <c r="D64" s="21" t="s">
        <v>17</v>
      </c>
      <c r="E64" s="21"/>
      <c r="F64" s="21">
        <f>C64*E64</f>
      </c>
    </row>
    <row r="65">
      <c r="A65" s="4"/>
      <c r="B65" s="12" t="s">
        <v>102</v>
      </c>
      <c r="C65" s="21"/>
      <c r="D65" s="21" t="s">
        <v>17</v>
      </c>
      <c r="E65" s="21"/>
      <c r="F65" s="21">
        <f>C65*E65</f>
      </c>
    </row>
    <row r="66">
      <c r="A66" s="4"/>
      <c r="B66" s="12" t="s">
        <v>103</v>
      </c>
      <c r="C66" s="21"/>
      <c r="D66" s="21" t="s">
        <v>17</v>
      </c>
      <c r="E66" s="21"/>
      <c r="F66" s="21">
        <f>C66*E66</f>
      </c>
    </row>
    <row r="67">
      <c r="A67" s="3"/>
      <c r="B67" s="11" t="s">
        <v>24</v>
      </c>
      <c r="C67" s="20"/>
      <c r="D67" s="20"/>
      <c r="E67" s="20"/>
      <c r="F67" s="20"/>
    </row>
    <row r="68">
      <c r="A68" s="5"/>
      <c r="B68" s="13" t="s">
        <v>25</v>
      </c>
      <c r="C68" s="22"/>
      <c r="D68" s="22"/>
      <c r="E68" s="22"/>
      <c r="F68" s="22"/>
    </row>
    <row r="69">
      <c r="A69" s="4" t="s">
        <v>104</v>
      </c>
      <c r="B69" s="14" t="s">
        <v>105</v>
      </c>
      <c r="C69" s="21"/>
      <c r="D69" s="21" t="s">
        <v>17</v>
      </c>
      <c r="E69" s="21"/>
      <c r="F69" s="21">
        <f>C69*E69</f>
      </c>
    </row>
    <row r="70">
      <c r="A70" s="4" t="s">
        <v>106</v>
      </c>
      <c r="B70" s="14" t="s">
        <v>107</v>
      </c>
      <c r="C70" s="21"/>
      <c r="D70" s="21" t="s">
        <v>17</v>
      </c>
      <c r="E70" s="21"/>
      <c r="F70" s="21">
        <f>C70*E70</f>
      </c>
    </row>
    <row r="71">
      <c r="A71" s="4" t="s">
        <v>108</v>
      </c>
      <c r="B71" s="14" t="s">
        <v>109</v>
      </c>
      <c r="C71" s="21"/>
      <c r="D71" s="21" t="s">
        <v>17</v>
      </c>
      <c r="E71" s="21"/>
      <c r="F71" s="21">
        <f>C71*E71</f>
      </c>
    </row>
    <row r="72">
      <c r="A72" s="4" t="s">
        <v>110</v>
      </c>
      <c r="B72" s="14" t="s">
        <v>111</v>
      </c>
      <c r="C72" s="21"/>
      <c r="D72" s="21" t="s">
        <v>17</v>
      </c>
      <c r="E72" s="21"/>
      <c r="F72" s="21">
        <f>C72*E72</f>
      </c>
    </row>
    <row r="73">
      <c r="A73" s="4" t="s">
        <v>112</v>
      </c>
      <c r="B73" s="14" t="s">
        <v>113</v>
      </c>
      <c r="C73" s="21"/>
      <c r="D73" s="21" t="s">
        <v>17</v>
      </c>
      <c r="E73" s="21"/>
      <c r="F73" s="21">
        <f>C73*E73</f>
      </c>
    </row>
    <row r="74">
      <c r="A74" s="4" t="s">
        <v>114</v>
      </c>
      <c r="B74" s="14" t="s">
        <v>115</v>
      </c>
      <c r="C74" s="21"/>
      <c r="D74" s="21" t="s">
        <v>17</v>
      </c>
      <c r="E74" s="21"/>
      <c r="F74" s="21">
        <f>C74*E74</f>
      </c>
    </row>
    <row r="75">
      <c r="A75" s="4" t="s">
        <v>116</v>
      </c>
      <c r="B75" s="14" t="s">
        <v>117</v>
      </c>
      <c r="C75" s="21"/>
      <c r="D75" s="21" t="s">
        <v>17</v>
      </c>
      <c r="E75" s="21"/>
      <c r="F75" s="21">
        <f>C75*E75</f>
      </c>
    </row>
    <row r="76">
      <c r="A76" s="4" t="s">
        <v>118</v>
      </c>
      <c r="B76" s="14" t="s">
        <v>119</v>
      </c>
      <c r="C76" s="21"/>
      <c r="D76" s="21" t="s">
        <v>17</v>
      </c>
      <c r="E76" s="21"/>
      <c r="F76" s="21">
        <f>C76*E76</f>
      </c>
    </row>
    <row r="77">
      <c r="A77" s="4" t="s">
        <v>120</v>
      </c>
      <c r="B77" s="14" t="s">
        <v>121</v>
      </c>
      <c r="C77" s="21"/>
      <c r="D77" s="21" t="s">
        <v>17</v>
      </c>
      <c r="E77" s="21"/>
      <c r="F77" s="21">
        <f>C77*E77</f>
      </c>
    </row>
    <row r="78">
      <c r="A78" s="4" t="s">
        <v>122</v>
      </c>
      <c r="B78" s="14" t="s">
        <v>39</v>
      </c>
      <c r="C78" s="21"/>
      <c r="D78" s="21" t="s">
        <v>17</v>
      </c>
      <c r="E78" s="21"/>
      <c r="F78" s="21">
        <f>C78*E78</f>
      </c>
    </row>
    <row r="79">
      <c r="A79" s="4" t="s">
        <v>123</v>
      </c>
      <c r="B79" s="14" t="s">
        <v>124</v>
      </c>
      <c r="C79" s="21"/>
      <c r="D79" s="21" t="s">
        <v>17</v>
      </c>
      <c r="E79" s="21"/>
      <c r="F79" s="21">
        <f>C79*E79</f>
      </c>
    </row>
    <row r="80">
      <c r="A80" s="3"/>
      <c r="B80" s="11" t="s">
        <v>42</v>
      </c>
      <c r="C80" s="20"/>
      <c r="D80" s="20"/>
      <c r="E80" s="20"/>
      <c r="F80" s="20"/>
    </row>
    <row r="81">
      <c r="A81" s="4" t="s">
        <v>125</v>
      </c>
      <c r="B81" s="12" t="s">
        <v>59</v>
      </c>
      <c r="C81" s="21">
        <f>(1)*(1)*(1)*(1)*(1 + (0))</f>
      </c>
      <c r="D81" s="21" t="s">
        <v>45</v>
      </c>
      <c r="E81" s="21"/>
      <c r="F81" s="21">
        <f>C81*E81</f>
      </c>
    </row>
    <row r="82">
      <c r="A82" s="4" t="s">
        <v>126</v>
      </c>
      <c r="B82" s="12" t="s">
        <v>61</v>
      </c>
      <c r="C82" s="21">
        <f>(1)*(1)*(1)*(1)*(1 + (0))</f>
      </c>
      <c r="D82" s="21" t="s">
        <v>45</v>
      </c>
      <c r="E82" s="21"/>
      <c r="F82" s="21">
        <f>C82*E82</f>
      </c>
    </row>
    <row r="83">
      <c r="A83" s="4" t="s">
        <v>127</v>
      </c>
      <c r="B83" s="12" t="s">
        <v>128</v>
      </c>
      <c r="C83" s="21">
        <f>(1)*(1)*(1)*(1)*(1 + (0))</f>
      </c>
      <c r="D83" s="21" t="s">
        <v>45</v>
      </c>
      <c r="E83" s="21"/>
      <c r="F83" s="21">
        <f>C83*E83</f>
      </c>
    </row>
    <row r="84">
      <c r="A84" s="4" t="s">
        <v>129</v>
      </c>
      <c r="B84" s="12" t="s">
        <v>130</v>
      </c>
      <c r="C84" s="21">
        <f>(1)*(1)*(1)*(1)*(1 + (0))</f>
      </c>
      <c r="D84" s="21" t="s">
        <v>45</v>
      </c>
      <c r="E84" s="21"/>
      <c r="F84" s="21">
        <f>C84*E84</f>
      </c>
    </row>
    <row r="85">
      <c r="A85" s="4" t="s">
        <v>131</v>
      </c>
      <c r="B85" s="12" t="s">
        <v>132</v>
      </c>
      <c r="C85" s="21">
        <f>(1)*(1)*(1)*(1)*(1 + (0))</f>
      </c>
      <c r="D85" s="21" t="s">
        <v>45</v>
      </c>
      <c r="E85" s="21"/>
      <c r="F85" s="21">
        <f>C85*E85</f>
      </c>
    </row>
    <row r="86">
      <c r="A86" s="4" t="s">
        <v>133</v>
      </c>
      <c r="B86" s="12" t="s">
        <v>134</v>
      </c>
      <c r="C86" s="21">
        <f>(1)*(1)*(1)*(1)*(1 + (0))</f>
      </c>
      <c r="D86" s="21" t="s">
        <v>45</v>
      </c>
      <c r="E86" s="21"/>
      <c r="F86" s="21">
        <f>C86*E86</f>
      </c>
    </row>
    <row r="87">
      <c r="A87" s="4" t="s">
        <v>135</v>
      </c>
      <c r="B87" s="12" t="s">
        <v>136</v>
      </c>
      <c r="C87" s="21">
        <f>(1)*(1)*(1)*(1)*(1 + (0))</f>
      </c>
      <c r="D87" s="21" t="s">
        <v>45</v>
      </c>
      <c r="E87" s="21"/>
      <c r="F87" s="21">
        <f>C87*E87</f>
      </c>
    </row>
    <row r="88">
      <c r="A88" s="4" t="s">
        <v>137</v>
      </c>
      <c r="B88" s="12" t="s">
        <v>67</v>
      </c>
      <c r="C88" s="21">
        <f>(1)*(1)*(1)*(1)*(1 + (0))</f>
      </c>
      <c r="D88" s="21" t="s">
        <v>45</v>
      </c>
      <c r="E88" s="21"/>
      <c r="F88" s="21">
        <f>C88*E88</f>
      </c>
    </row>
    <row r="89">
      <c r="A89" s="4" t="s">
        <v>138</v>
      </c>
      <c r="B89" s="12" t="s">
        <v>139</v>
      </c>
      <c r="C89" s="21">
        <f>(1)*(1)*(1)*(1)*(1 + (0))</f>
      </c>
      <c r="D89" s="21" t="s">
        <v>45</v>
      </c>
      <c r="E89" s="21"/>
      <c r="F89" s="21">
        <f>C89*E89</f>
      </c>
    </row>
    <row r="90">
      <c r="A90" s="4" t="s">
        <v>140</v>
      </c>
      <c r="B90" s="12" t="s">
        <v>141</v>
      </c>
      <c r="C90" s="21">
        <f>(1)*(1)*(1)*(1)*(1 + (0))</f>
      </c>
      <c r="D90" s="21" t="s">
        <v>45</v>
      </c>
      <c r="E90" s="21"/>
      <c r="F90" s="21">
        <f>C90*E90</f>
      </c>
    </row>
    <row r="91">
      <c r="A91" s="4" t="s">
        <v>142</v>
      </c>
      <c r="B91" s="12" t="s">
        <v>143</v>
      </c>
      <c r="C91" s="21">
        <f>(1)*(1)*(1)*(1)*(1 + (0))</f>
      </c>
      <c r="D91" s="21" t="s">
        <v>45</v>
      </c>
      <c r="E91" s="21"/>
      <c r="F91" s="21">
        <f>C91*E91</f>
      </c>
    </row>
    <row r="92">
      <c r="A92" s="4" t="s">
        <v>144</v>
      </c>
      <c r="B92" s="12" t="s">
        <v>145</v>
      </c>
      <c r="C92" s="21">
        <f>(1)*(1)*(1)*(1)*(1 + (0))</f>
      </c>
      <c r="D92" s="21" t="s">
        <v>45</v>
      </c>
      <c r="E92" s="21"/>
      <c r="F92" s="21">
        <f>C92*E92</f>
      </c>
    </row>
    <row r="93">
      <c r="A93" s="4" t="s">
        <v>146</v>
      </c>
      <c r="B93" s="12" t="s">
        <v>65</v>
      </c>
      <c r="C93" s="21">
        <f>(1)*(1)*(1)*(1)*(1 + (0))</f>
      </c>
      <c r="D93" s="21" t="s">
        <v>45</v>
      </c>
      <c r="E93" s="21"/>
      <c r="F93" s="21">
        <f>C93*E93</f>
      </c>
    </row>
    <row r="94">
      <c r="A94" s="4" t="s">
        <v>147</v>
      </c>
      <c r="B94" s="12" t="s">
        <v>148</v>
      </c>
      <c r="C94" s="21">
        <f>(1)*(1)*(1)*(1)*(1 + (0))</f>
      </c>
      <c r="D94" s="21" t="s">
        <v>45</v>
      </c>
      <c r="E94" s="21"/>
      <c r="F94" s="21">
        <f>C94*E94</f>
      </c>
    </row>
    <row r="95">
      <c r="A95" s="4" t="s">
        <v>149</v>
      </c>
      <c r="B95" s="12" t="s">
        <v>150</v>
      </c>
      <c r="C95" s="21">
        <f>(1)*(1)*(1)*(1)*(1 + (0))</f>
      </c>
      <c r="D95" s="21" t="s">
        <v>45</v>
      </c>
      <c r="E95" s="21"/>
      <c r="F95" s="21">
        <f>C95*E95</f>
      </c>
    </row>
    <row r="96">
      <c r="A96" s="4" t="s">
        <v>151</v>
      </c>
      <c r="B96" s="12" t="s">
        <v>152</v>
      </c>
      <c r="C96" s="21">
        <f>(1)*(1)*(1)*(1)*(1 + (0))</f>
      </c>
      <c r="D96" s="21" t="s">
        <v>45</v>
      </c>
      <c r="E96" s="21"/>
      <c r="F96" s="21">
        <f>C96*E96</f>
      </c>
    </row>
    <row r="97">
      <c r="A97" s="4" t="s">
        <v>153</v>
      </c>
      <c r="B97" s="12" t="s">
        <v>154</v>
      </c>
      <c r="C97" s="21">
        <f>(1)*(1)*(1)*(1)*(1 + (0))</f>
      </c>
      <c r="D97" s="21" t="s">
        <v>45</v>
      </c>
      <c r="E97" s="21"/>
      <c r="F97" s="21">
        <f>C97*E97</f>
      </c>
    </row>
    <row r="98">
      <c r="A98" s="4" t="s">
        <v>155</v>
      </c>
      <c r="B98" s="12" t="s">
        <v>156</v>
      </c>
      <c r="C98" s="21">
        <f>(1)*(1)*(1)*(1)*(1 + (0))</f>
      </c>
      <c r="D98" s="21" t="s">
        <v>45</v>
      </c>
      <c r="E98" s="21"/>
      <c r="F98" s="21">
        <f>C98*E98</f>
      </c>
    </row>
    <row r="99">
      <c r="A99" s="3"/>
      <c r="B99" s="11" t="s">
        <v>82</v>
      </c>
      <c r="C99" s="20"/>
      <c r="D99" s="20"/>
      <c r="E99" s="20"/>
      <c r="F99" s="20"/>
    </row>
    <row r="100">
      <c r="A100" s="4"/>
      <c r="B100" s="12" t="s">
        <v>157</v>
      </c>
      <c r="C100" s="21"/>
      <c r="D100" s="21" t="s">
        <v>17</v>
      </c>
      <c r="E100" s="21"/>
      <c r="F100" s="21">
        <f>C100*E100</f>
      </c>
    </row>
    <row r="101">
      <c r="A101" s="4"/>
      <c r="B101" s="12" t="s">
        <v>158</v>
      </c>
      <c r="C101" s="21"/>
      <c r="D101" s="21" t="s">
        <v>17</v>
      </c>
      <c r="E101" s="21"/>
      <c r="F101" s="21">
        <f>C101*E101</f>
      </c>
    </row>
    <row r="102">
      <c r="A102" s="4"/>
      <c r="B102" s="12" t="s">
        <v>159</v>
      </c>
      <c r="C102" s="21"/>
      <c r="D102" s="21" t="s">
        <v>17</v>
      </c>
      <c r="E102" s="21"/>
      <c r="F102" s="21">
        <f>C102*E102</f>
      </c>
    </row>
    <row r="103">
      <c r="A103" s="3"/>
      <c r="B103" s="11" t="s">
        <v>160</v>
      </c>
      <c r="C103" s="20"/>
      <c r="D103" s="20"/>
      <c r="E103" s="20"/>
      <c r="F103" s="20"/>
    </row>
    <row r="104">
      <c r="A104" s="4"/>
      <c r="B104" s="12" t="s">
        <v>161</v>
      </c>
      <c r="C104" s="21">
        <f>(1)*(1)*(1)*(1)*(1 + (0))</f>
      </c>
      <c r="D104" s="21" t="s">
        <v>45</v>
      </c>
      <c r="E104" s="21"/>
      <c r="F104" s="21">
        <f>C104*E104</f>
      </c>
    </row>
    <row r="105">
      <c r="A105" s="4"/>
      <c r="B105" s="12" t="s">
        <v>162</v>
      </c>
      <c r="C105" s="21">
        <f>(1)*(1)*(1)*(1)*(1 + (0))</f>
      </c>
      <c r="D105" s="21" t="s">
        <v>45</v>
      </c>
      <c r="E105" s="21"/>
      <c r="F105" s="21">
        <f>C105*E105</f>
      </c>
    </row>
    <row r="106">
      <c r="A106" s="4"/>
      <c r="B106" s="12" t="s">
        <v>163</v>
      </c>
      <c r="C106" s="21">
        <f>(558)*(1)*(1)*(1)*(1 + (0))</f>
      </c>
      <c r="D106" s="21" t="s">
        <v>164</v>
      </c>
      <c r="E106" s="21"/>
      <c r="F106" s="21">
        <f>C106*E106</f>
      </c>
    </row>
    <row r="107">
      <c r="A107" s="3"/>
      <c r="B107" s="11" t="s">
        <v>165</v>
      </c>
      <c r="C107" s="20"/>
      <c r="D107" s="20"/>
      <c r="E107" s="20"/>
      <c r="F107" s="20"/>
    </row>
    <row r="108">
      <c r="A108" s="4"/>
      <c r="B108" s="12" t="s">
        <v>166</v>
      </c>
      <c r="C108" s="21">
        <f>(257)*(1)*(1)*(1)*(1 + (0))</f>
      </c>
      <c r="D108" s="21" t="s">
        <v>167</v>
      </c>
      <c r="E108" s="21"/>
      <c r="F108" s="21">
        <f>C108*E108</f>
      </c>
    </row>
    <row r="109">
      <c r="A109" s="4"/>
      <c r="B109" s="12" t="s">
        <v>168</v>
      </c>
      <c r="C109" s="21">
        <f>(98)*(1)*(1)*(1)*(1 + (0))</f>
      </c>
      <c r="D109" s="21" t="s">
        <v>167</v>
      </c>
      <c r="E109" s="21"/>
      <c r="F109" s="21">
        <f>C109*E109</f>
      </c>
    </row>
    <row r="110">
      <c r="A110" s="4"/>
      <c r="B110" s="12" t="s">
        <v>169</v>
      </c>
      <c r="C110" s="21">
        <f>(7)*(1)*(1)*(1)*(1 + (0))</f>
      </c>
      <c r="D110" s="21" t="s">
        <v>170</v>
      </c>
      <c r="E110" s="21"/>
      <c r="F110" s="21">
        <f>C110*E110</f>
      </c>
    </row>
    <row r="111">
      <c r="A111" s="4"/>
      <c r="B111" s="12" t="s">
        <v>171</v>
      </c>
      <c r="C111" s="21">
        <f>(21)*(1)*(1)*(1)*(1 + (0))</f>
      </c>
      <c r="D111" s="21" t="s">
        <v>9</v>
      </c>
      <c r="E111" s="21"/>
      <c r="F111" s="21">
        <f>C111*E111</f>
      </c>
    </row>
    <row r="112">
      <c r="A112" s="3"/>
      <c r="B112" s="11" t="s">
        <v>172</v>
      </c>
      <c r="C112" s="20"/>
      <c r="D112" s="20"/>
      <c r="E112" s="20"/>
      <c r="F112" s="20"/>
    </row>
    <row r="113">
      <c r="A113" s="5"/>
      <c r="B113" s="13" t="s">
        <v>173</v>
      </c>
      <c r="C113" s="22"/>
      <c r="D113" s="22"/>
      <c r="E113" s="22"/>
      <c r="F113" s="22"/>
    </row>
    <row r="114">
      <c r="A114" s="4"/>
      <c r="B114" s="14" t="s">
        <v>174</v>
      </c>
      <c r="C114" s="21">
        <f>(4633)*(1)*(1)*(1)*(1 + (0))</f>
      </c>
      <c r="D114" s="21" t="s">
        <v>9</v>
      </c>
      <c r="E114" s="21"/>
      <c r="F114" s="21">
        <f>C114*E114</f>
      </c>
    </row>
    <row r="115">
      <c r="A115" s="3"/>
      <c r="B115" s="11" t="s">
        <v>175</v>
      </c>
      <c r="C115" s="20"/>
      <c r="D115" s="20"/>
      <c r="E115" s="20"/>
      <c r="F115" s="20"/>
    </row>
    <row r="116">
      <c r="A116" s="4"/>
      <c r="B116" s="12" t="s">
        <v>176</v>
      </c>
      <c r="C116" s="21">
        <f>(543)*(1)*(1)*(1)*(1 + (0))</f>
      </c>
      <c r="D116" s="21" t="s">
        <v>164</v>
      </c>
      <c r="E116" s="21"/>
      <c r="F116" s="21">
        <f>C116*E116</f>
      </c>
    </row>
    <row r="117">
      <c r="A117" s="4"/>
      <c r="B117" s="12" t="s">
        <v>177</v>
      </c>
      <c r="C117" s="21">
        <f>(543)*(1)*(1)*(1)*(1 + (0))</f>
      </c>
      <c r="D117" s="21" t="s">
        <v>164</v>
      </c>
      <c r="E117" s="21"/>
      <c r="F117" s="21">
        <f>C117*E117</f>
      </c>
    </row>
    <row r="118">
      <c r="A118" s="4"/>
      <c r="B118" s="12" t="s">
        <v>178</v>
      </c>
      <c r="C118" s="21">
        <f>(612)*(1)*(1)*(1)*(1 + (0))</f>
      </c>
      <c r="D118" s="21" t="s">
        <v>164</v>
      </c>
      <c r="E118" s="21"/>
      <c r="F118" s="21">
        <f>C118*E118</f>
      </c>
    </row>
    <row r="119">
      <c r="A119" s="3"/>
      <c r="B119" s="11" t="s">
        <v>179</v>
      </c>
      <c r="C119" s="20"/>
      <c r="D119" s="20"/>
      <c r="E119" s="20"/>
      <c r="F119" s="20"/>
    </row>
    <row r="120">
      <c r="A120" s="5"/>
      <c r="B120" s="13" t="s">
        <v>180</v>
      </c>
      <c r="C120" s="22"/>
      <c r="D120" s="22"/>
      <c r="E120" s="22"/>
      <c r="F120" s="22"/>
    </row>
    <row r="121">
      <c r="A121" s="4"/>
      <c r="B121" s="14" t="s">
        <v>181</v>
      </c>
      <c r="C121" s="21">
        <f>(44)*(1)*(1)*(1)*(1 + (0))</f>
      </c>
      <c r="D121" s="21" t="s">
        <v>164</v>
      </c>
      <c r="E121" s="21"/>
      <c r="F121" s="21">
        <f>C121*E121</f>
      </c>
    </row>
    <row r="122">
      <c r="A122" s="4"/>
      <c r="B122" s="14" t="s">
        <v>182</v>
      </c>
      <c r="C122" s="21">
        <f>(202)*(1)*(1)*(1)*(1 + (0))</f>
      </c>
      <c r="D122" s="21" t="s">
        <v>164</v>
      </c>
      <c r="E122" s="21"/>
      <c r="F122" s="21">
        <f>C122*E122</f>
      </c>
    </row>
    <row r="123">
      <c r="A123" s="4"/>
      <c r="B123" s="14" t="s">
        <v>183</v>
      </c>
      <c r="C123" s="21">
        <f>(818)*(1)*(1)*(1)*(1 + (0))</f>
      </c>
      <c r="D123" s="21" t="s">
        <v>164</v>
      </c>
      <c r="E123" s="21"/>
      <c r="F123" s="21">
        <f>C123*E123</f>
      </c>
    </row>
    <row r="124">
      <c r="A124" s="5"/>
      <c r="B124" s="13" t="s">
        <v>184</v>
      </c>
      <c r="C124" s="22"/>
      <c r="D124" s="22"/>
      <c r="E124" s="22"/>
      <c r="F124" s="22"/>
    </row>
    <row r="125">
      <c r="A125" s="4"/>
      <c r="B125" s="14" t="s">
        <v>185</v>
      </c>
      <c r="C125" s="21">
        <f>(12)*(1)*(1)*(1)*(1 + (0))</f>
      </c>
      <c r="D125" s="21" t="s">
        <v>164</v>
      </c>
      <c r="E125" s="21"/>
      <c r="F125" s="21">
        <f>C125*E125</f>
      </c>
    </row>
    <row r="126">
      <c r="A126" s="3"/>
      <c r="B126" s="11" t="s">
        <v>186</v>
      </c>
      <c r="C126" s="20"/>
      <c r="D126" s="20"/>
      <c r="E126" s="20"/>
      <c r="F126" s="20"/>
    </row>
    <row r="127">
      <c r="A127" s="4"/>
      <c r="B127" s="12" t="s">
        <v>187</v>
      </c>
      <c r="C127" s="21">
        <f>(558)*(1)*(1)*(1)*(1 + (0))</f>
      </c>
      <c r="D127" s="21" t="s">
        <v>164</v>
      </c>
      <c r="E127" s="21"/>
      <c r="F127" s="21">
        <f>C127*E127</f>
      </c>
    </row>
    <row r="128">
      <c r="A128" s="2"/>
      <c r="B128" s="10" t="s">
        <v>188</v>
      </c>
      <c r="C128" s="19"/>
      <c r="D128" s="19"/>
      <c r="E128" s="19"/>
      <c r="F128" s="19"/>
    </row>
    <row r="129">
      <c r="A129" s="3"/>
      <c r="B129" s="11" t="s">
        <v>14</v>
      </c>
      <c r="C129" s="20"/>
      <c r="D129" s="20"/>
      <c r="E129" s="20"/>
      <c r="F129" s="20"/>
    </row>
    <row r="130">
      <c r="A130" s="4" t="s">
        <v>189</v>
      </c>
      <c r="B130" s="12" t="s">
        <v>16</v>
      </c>
      <c r="C130" s="21"/>
      <c r="D130" s="21" t="s">
        <v>17</v>
      </c>
      <c r="E130" s="21"/>
      <c r="F130" s="21">
        <f>C130*E130</f>
      </c>
    </row>
    <row r="131">
      <c r="A131" s="4" t="s">
        <v>190</v>
      </c>
      <c r="B131" s="12" t="s">
        <v>19</v>
      </c>
      <c r="C131" s="21"/>
      <c r="D131" s="21" t="s">
        <v>17</v>
      </c>
      <c r="E131" s="21"/>
      <c r="F131" s="21">
        <f>C131*E131</f>
      </c>
    </row>
    <row r="132">
      <c r="A132" s="3"/>
      <c r="B132" s="11" t="s">
        <v>98</v>
      </c>
      <c r="C132" s="20"/>
      <c r="D132" s="20"/>
      <c r="E132" s="20"/>
      <c r="F132" s="20"/>
    </row>
    <row r="133">
      <c r="A133" s="4"/>
      <c r="B133" s="12" t="s">
        <v>103</v>
      </c>
      <c r="C133" s="21"/>
      <c r="D133" s="21" t="s">
        <v>17</v>
      </c>
      <c r="E133" s="21"/>
      <c r="F133" s="21">
        <f>C133*E133</f>
      </c>
    </row>
    <row r="134">
      <c r="A134" s="3"/>
      <c r="B134" s="11" t="s">
        <v>24</v>
      </c>
      <c r="C134" s="20"/>
      <c r="D134" s="20"/>
      <c r="E134" s="20"/>
      <c r="F134" s="20"/>
    </row>
    <row r="135">
      <c r="A135" s="5"/>
      <c r="B135" s="13" t="s">
        <v>25</v>
      </c>
      <c r="C135" s="22"/>
      <c r="D135" s="22"/>
      <c r="E135" s="22"/>
      <c r="F135" s="22"/>
    </row>
    <row r="136">
      <c r="A136" s="4" t="s">
        <v>191</v>
      </c>
      <c r="B136" s="14" t="s">
        <v>192</v>
      </c>
      <c r="C136" s="21"/>
      <c r="D136" s="21" t="s">
        <v>17</v>
      </c>
      <c r="E136" s="21"/>
      <c r="F136" s="21">
        <f>C136*E136</f>
      </c>
    </row>
    <row r="137">
      <c r="A137" s="4" t="s">
        <v>193</v>
      </c>
      <c r="B137" s="14" t="s">
        <v>194</v>
      </c>
      <c r="C137" s="21"/>
      <c r="D137" s="21" t="s">
        <v>17</v>
      </c>
      <c r="E137" s="21"/>
      <c r="F137" s="21">
        <f>C137*E137</f>
      </c>
    </row>
    <row r="138">
      <c r="A138" s="4" t="s">
        <v>195</v>
      </c>
      <c r="B138" s="14" t="s">
        <v>196</v>
      </c>
      <c r="C138" s="21"/>
      <c r="D138" s="21" t="s">
        <v>17</v>
      </c>
      <c r="E138" s="21"/>
      <c r="F138" s="21">
        <f>C138*E138</f>
      </c>
    </row>
    <row r="139">
      <c r="A139" s="4" t="s">
        <v>197</v>
      </c>
      <c r="B139" s="14" t="s">
        <v>198</v>
      </c>
      <c r="C139" s="21"/>
      <c r="D139" s="21" t="s">
        <v>17</v>
      </c>
      <c r="E139" s="21"/>
      <c r="F139" s="21">
        <f>C139*E139</f>
      </c>
    </row>
    <row r="140">
      <c r="A140" s="3"/>
      <c r="B140" s="11" t="s">
        <v>42</v>
      </c>
      <c r="C140" s="20"/>
      <c r="D140" s="20"/>
      <c r="E140" s="20"/>
      <c r="F140" s="20"/>
    </row>
    <row r="141">
      <c r="A141" s="4" t="s">
        <v>199</v>
      </c>
      <c r="B141" s="12" t="s">
        <v>200</v>
      </c>
      <c r="C141" s="21">
        <f>(1)*(1)*(1)*(1)*(1 + (0))</f>
      </c>
      <c r="D141" s="21" t="s">
        <v>45</v>
      </c>
      <c r="E141" s="21"/>
      <c r="F141" s="21">
        <f>C141*E141</f>
      </c>
    </row>
    <row r="142">
      <c r="A142" s="4" t="s">
        <v>201</v>
      </c>
      <c r="B142" s="12" t="s">
        <v>202</v>
      </c>
      <c r="C142" s="21">
        <f>(1)*(1)*(1)*(1)*(1 + (0))</f>
      </c>
      <c r="D142" s="21" t="s">
        <v>45</v>
      </c>
      <c r="E142" s="21"/>
      <c r="F142" s="21">
        <f>C142*E142</f>
      </c>
    </row>
    <row r="143">
      <c r="A143" s="4" t="s">
        <v>203</v>
      </c>
      <c r="B143" s="12" t="s">
        <v>61</v>
      </c>
      <c r="C143" s="21">
        <f>(1)*(1)*(1)*(1)*(1 + (0))</f>
      </c>
      <c r="D143" s="21" t="s">
        <v>45</v>
      </c>
      <c r="E143" s="21"/>
      <c r="F143" s="21">
        <f>C143*E143</f>
      </c>
    </row>
    <row r="144">
      <c r="A144" s="4" t="s">
        <v>204</v>
      </c>
      <c r="B144" s="12" t="s">
        <v>205</v>
      </c>
      <c r="C144" s="21">
        <f>(1)*(1)*(1)*(1)*(1 + (0))</f>
      </c>
      <c r="D144" s="21" t="s">
        <v>45</v>
      </c>
      <c r="E144" s="21"/>
      <c r="F144" s="21">
        <f>C144*E144</f>
      </c>
    </row>
    <row r="145">
      <c r="A145" s="4" t="s">
        <v>206</v>
      </c>
      <c r="B145" s="12" t="s">
        <v>207</v>
      </c>
      <c r="C145" s="21">
        <f>(1)*(1)*(1)*(1)*(1 + (0))</f>
      </c>
      <c r="D145" s="21" t="s">
        <v>45</v>
      </c>
      <c r="E145" s="21"/>
      <c r="F145" s="21">
        <f>C145*E145</f>
      </c>
    </row>
    <row r="146">
      <c r="A146" s="4" t="s">
        <v>208</v>
      </c>
      <c r="B146" s="12" t="s">
        <v>209</v>
      </c>
      <c r="C146" s="21">
        <f>(1)*(1)*(1)*(1)*(1 + (0))</f>
      </c>
      <c r="D146" s="21" t="s">
        <v>45</v>
      </c>
      <c r="E146" s="21"/>
      <c r="F146" s="21">
        <f>C146*E146</f>
      </c>
    </row>
    <row r="147">
      <c r="A147" s="4" t="s">
        <v>210</v>
      </c>
      <c r="B147" s="12" t="s">
        <v>211</v>
      </c>
      <c r="C147" s="21">
        <f>(1)*(1)*(1)*(1)*(1 + (0))</f>
      </c>
      <c r="D147" s="21" t="s">
        <v>45</v>
      </c>
      <c r="E147" s="21"/>
      <c r="F147" s="21">
        <f>C147*E147</f>
      </c>
    </row>
    <row r="148">
      <c r="A148" s="4" t="s">
        <v>212</v>
      </c>
      <c r="B148" s="12" t="s">
        <v>213</v>
      </c>
      <c r="C148" s="21">
        <f>(1)*(1)*(1)*(1)*(1 + (0))</f>
      </c>
      <c r="D148" s="21" t="s">
        <v>45</v>
      </c>
      <c r="E148" s="21"/>
      <c r="F148" s="21">
        <f>C148*E148</f>
      </c>
    </row>
    <row r="149">
      <c r="A149" s="4" t="s">
        <v>214</v>
      </c>
      <c r="B149" s="12" t="s">
        <v>215</v>
      </c>
      <c r="C149" s="21">
        <f>(1)*(1)*(1)*(1)*(1 + (0))</f>
      </c>
      <c r="D149" s="21" t="s">
        <v>45</v>
      </c>
      <c r="E149" s="21"/>
      <c r="F149" s="21">
        <f>C149*E149</f>
      </c>
    </row>
    <row r="150">
      <c r="A150" s="4" t="s">
        <v>216</v>
      </c>
      <c r="B150" s="12" t="s">
        <v>217</v>
      </c>
      <c r="C150" s="21">
        <f>(1)*(1)*(1)*(1)*(1 + (0))</f>
      </c>
      <c r="D150" s="21" t="s">
        <v>45</v>
      </c>
      <c r="E150" s="21"/>
      <c r="F150" s="21">
        <f>C150*E150</f>
      </c>
    </row>
    <row r="151">
      <c r="A151" s="4" t="s">
        <v>218</v>
      </c>
      <c r="B151" s="12" t="s">
        <v>219</v>
      </c>
      <c r="C151" s="21">
        <f>(1)*(1)*(1)*(1)*(1 + (0))</f>
      </c>
      <c r="D151" s="21" t="s">
        <v>45</v>
      </c>
      <c r="E151" s="21"/>
      <c r="F151" s="21">
        <f>C151*E151</f>
      </c>
    </row>
    <row r="152">
      <c r="A152" s="4"/>
      <c r="B152" s="12" t="s">
        <v>220</v>
      </c>
      <c r="C152" s="21">
        <f>(1)*(1)*(1)*(1)*(1 + (0))</f>
      </c>
      <c r="D152" s="21" t="s">
        <v>45</v>
      </c>
      <c r="E152" s="21"/>
      <c r="F152" s="21">
        <f>C152*E152</f>
      </c>
    </row>
    <row r="153">
      <c r="A153" s="3"/>
      <c r="B153" s="11" t="s">
        <v>221</v>
      </c>
      <c r="C153" s="20"/>
      <c r="D153" s="20"/>
      <c r="E153" s="20"/>
      <c r="F153" s="20"/>
    </row>
    <row r="154">
      <c r="A154" s="4"/>
      <c r="B154" s="12" t="s">
        <v>222</v>
      </c>
      <c r="C154" s="21">
        <f>(44)*(1)*(1)*(1)*(1 + (0))</f>
      </c>
      <c r="D154" s="21" t="s">
        <v>170</v>
      </c>
      <c r="E154" s="21"/>
      <c r="F154" s="21">
        <f>C154*E154</f>
      </c>
    </row>
    <row r="155">
      <c r="A155" s="4"/>
      <c r="B155" s="12" t="s">
        <v>223</v>
      </c>
      <c r="C155" s="21">
        <f>(63)*(1)*(1)*(1)*(1 + (0))</f>
      </c>
      <c r="D155" s="21" t="s">
        <v>170</v>
      </c>
      <c r="E155" s="21"/>
      <c r="F155" s="21">
        <f>C155*E155</f>
      </c>
    </row>
    <row r="156">
      <c r="A156" s="4"/>
      <c r="B156" s="12" t="s">
        <v>224</v>
      </c>
      <c r="C156" s="21">
        <f>(169)*(1)*(1)*(1)*(1 + (0))</f>
      </c>
      <c r="D156" s="21" t="s">
        <v>170</v>
      </c>
      <c r="E156" s="21"/>
      <c r="F156" s="21">
        <f>C156*E156</f>
      </c>
    </row>
    <row r="157">
      <c r="A157" s="4"/>
      <c r="B157" s="12" t="s">
        <v>225</v>
      </c>
      <c r="C157" s="21">
        <f>(47)*(1)*(1)*(1)*(1 + (0))</f>
      </c>
      <c r="D157" s="21" t="s">
        <v>170</v>
      </c>
      <c r="E157" s="21"/>
      <c r="F157" s="21">
        <f>C157*E157</f>
      </c>
    </row>
    <row r="158">
      <c r="A158" s="2"/>
      <c r="B158" s="10" t="s">
        <v>226</v>
      </c>
      <c r="C158" s="19"/>
      <c r="D158" s="19"/>
      <c r="E158" s="19"/>
      <c r="F158" s="19"/>
    </row>
    <row r="159">
      <c r="A159" s="3"/>
      <c r="B159" s="11" t="s">
        <v>14</v>
      </c>
      <c r="C159" s="20"/>
      <c r="D159" s="20"/>
      <c r="E159" s="20"/>
      <c r="F159" s="20"/>
    </row>
    <row r="160">
      <c r="A160" s="4" t="s">
        <v>227</v>
      </c>
      <c r="B160" s="12" t="s">
        <v>16</v>
      </c>
      <c r="C160" s="21"/>
      <c r="D160" s="21" t="s">
        <v>17</v>
      </c>
      <c r="E160" s="21"/>
      <c r="F160" s="21">
        <f>C160*E160</f>
      </c>
    </row>
    <row r="161">
      <c r="A161" s="4" t="s">
        <v>228</v>
      </c>
      <c r="B161" s="12" t="s">
        <v>19</v>
      </c>
      <c r="C161" s="21"/>
      <c r="D161" s="21" t="s">
        <v>17</v>
      </c>
      <c r="E161" s="21"/>
      <c r="F161" s="21">
        <f>C161*E161</f>
      </c>
    </row>
    <row r="162">
      <c r="A162" s="3"/>
      <c r="B162" s="11" t="s">
        <v>98</v>
      </c>
      <c r="C162" s="20"/>
      <c r="D162" s="20"/>
      <c r="E162" s="20"/>
      <c r="F162" s="20"/>
    </row>
    <row r="163">
      <c r="A163" s="4"/>
      <c r="B163" s="12" t="s">
        <v>229</v>
      </c>
      <c r="C163" s="21"/>
      <c r="D163" s="21" t="s">
        <v>17</v>
      </c>
      <c r="E163" s="21"/>
      <c r="F163" s="21">
        <f>C163*E163</f>
      </c>
    </row>
    <row r="164">
      <c r="A164" s="4"/>
      <c r="B164" s="12" t="s">
        <v>230</v>
      </c>
      <c r="C164" s="21"/>
      <c r="D164" s="21" t="s">
        <v>17</v>
      </c>
      <c r="E164" s="21"/>
      <c r="F164" s="21">
        <f>C164*E164</f>
      </c>
    </row>
    <row r="165">
      <c r="A165" s="4"/>
      <c r="B165" s="12" t="s">
        <v>231</v>
      </c>
      <c r="C165" s="21"/>
      <c r="D165" s="21" t="s">
        <v>17</v>
      </c>
      <c r="E165" s="21"/>
      <c r="F165" s="21">
        <f>C165*E165</f>
      </c>
    </row>
    <row r="166">
      <c r="A166" s="3"/>
      <c r="B166" s="11" t="s">
        <v>24</v>
      </c>
      <c r="C166" s="20"/>
      <c r="D166" s="20"/>
      <c r="E166" s="20"/>
      <c r="F166" s="20"/>
    </row>
    <row r="167">
      <c r="A167" s="5"/>
      <c r="B167" s="13" t="s">
        <v>25</v>
      </c>
      <c r="C167" s="22"/>
      <c r="D167" s="22"/>
      <c r="E167" s="22"/>
      <c r="F167" s="22"/>
    </row>
    <row r="168">
      <c r="A168" s="4" t="s">
        <v>232</v>
      </c>
      <c r="B168" s="14" t="s">
        <v>233</v>
      </c>
      <c r="C168" s="21"/>
      <c r="D168" s="21" t="s">
        <v>17</v>
      </c>
      <c r="E168" s="21"/>
      <c r="F168" s="21">
        <f>C168*E168</f>
      </c>
    </row>
    <row r="169">
      <c r="A169" s="4" t="s">
        <v>234</v>
      </c>
      <c r="B169" s="14" t="s">
        <v>235</v>
      </c>
      <c r="C169" s="21"/>
      <c r="D169" s="21" t="s">
        <v>17</v>
      </c>
      <c r="E169" s="21"/>
      <c r="F169" s="21">
        <f>C169*E169</f>
      </c>
    </row>
    <row r="170">
      <c r="A170" s="4" t="s">
        <v>236</v>
      </c>
      <c r="B170" s="14" t="s">
        <v>237</v>
      </c>
      <c r="C170" s="21"/>
      <c r="D170" s="21" t="s">
        <v>17</v>
      </c>
      <c r="E170" s="21"/>
      <c r="F170" s="21">
        <f>C170*E170</f>
      </c>
    </row>
    <row r="171">
      <c r="A171" s="4" t="s">
        <v>238</v>
      </c>
      <c r="B171" s="14" t="s">
        <v>239</v>
      </c>
      <c r="C171" s="21"/>
      <c r="D171" s="21" t="s">
        <v>17</v>
      </c>
      <c r="E171" s="21"/>
      <c r="F171" s="21">
        <f>C171*E171</f>
      </c>
    </row>
    <row r="172">
      <c r="A172" s="4" t="s">
        <v>240</v>
      </c>
      <c r="B172" s="14" t="s">
        <v>241</v>
      </c>
      <c r="C172" s="21"/>
      <c r="D172" s="21" t="s">
        <v>17</v>
      </c>
      <c r="E172" s="21"/>
      <c r="F172" s="21">
        <f>C172*E172</f>
      </c>
    </row>
    <row r="173">
      <c r="A173" s="4" t="s">
        <v>242</v>
      </c>
      <c r="B173" s="14" t="s">
        <v>194</v>
      </c>
      <c r="C173" s="21"/>
      <c r="D173" s="21" t="s">
        <v>17</v>
      </c>
      <c r="E173" s="21"/>
      <c r="F173" s="21">
        <f>C173*E173</f>
      </c>
    </row>
    <row r="174">
      <c r="A174" s="3"/>
      <c r="B174" s="11" t="s">
        <v>42</v>
      </c>
      <c r="C174" s="20"/>
      <c r="D174" s="20"/>
      <c r="E174" s="20"/>
      <c r="F174" s="20"/>
    </row>
    <row r="175">
      <c r="A175" s="4" t="s">
        <v>243</v>
      </c>
      <c r="B175" s="12" t="s">
        <v>244</v>
      </c>
      <c r="C175" s="21">
        <f>(1)*(1)*(1)*(1)*(1 + (0))</f>
      </c>
      <c r="D175" s="21" t="s">
        <v>45</v>
      </c>
      <c r="E175" s="21"/>
      <c r="F175" s="21">
        <f>C175*E175</f>
      </c>
    </row>
    <row r="176">
      <c r="A176" s="4" t="s">
        <v>245</v>
      </c>
      <c r="B176" s="12" t="s">
        <v>59</v>
      </c>
      <c r="C176" s="21">
        <f>(1)*(1)*(1)*(1)*(1 + (0))</f>
      </c>
      <c r="D176" s="21" t="s">
        <v>45</v>
      </c>
      <c r="E176" s="21"/>
      <c r="F176" s="21">
        <f>C176*E176</f>
      </c>
    </row>
    <row r="177">
      <c r="A177" s="4" t="s">
        <v>246</v>
      </c>
      <c r="B177" s="12" t="s">
        <v>61</v>
      </c>
      <c r="C177" s="21">
        <f>(1)*(1)*(1)*(1)*(1 + (0))</f>
      </c>
      <c r="D177" s="21" t="s">
        <v>45</v>
      </c>
      <c r="E177" s="21"/>
      <c r="F177" s="21">
        <f>C177*E177</f>
      </c>
    </row>
    <row r="178">
      <c r="A178" s="4" t="s">
        <v>247</v>
      </c>
      <c r="B178" s="12" t="s">
        <v>205</v>
      </c>
      <c r="C178" s="21">
        <f>(1)*(1)*(1)*(1)*(1 + (0))</f>
      </c>
      <c r="D178" s="21" t="s">
        <v>45</v>
      </c>
      <c r="E178" s="21"/>
      <c r="F178" s="21">
        <f>C178*E178</f>
      </c>
    </row>
    <row r="179">
      <c r="A179" s="4" t="s">
        <v>248</v>
      </c>
      <c r="B179" s="12" t="s">
        <v>249</v>
      </c>
      <c r="C179" s="21">
        <f>(1)*(1)*(1)*(1)*(1 + (0))</f>
      </c>
      <c r="D179" s="21" t="s">
        <v>45</v>
      </c>
      <c r="E179" s="21"/>
      <c r="F179" s="21">
        <f>C179*E179</f>
      </c>
    </row>
    <row r="180">
      <c r="A180" s="4" t="s">
        <v>250</v>
      </c>
      <c r="B180" s="12" t="s">
        <v>251</v>
      </c>
      <c r="C180" s="21">
        <f>(1)*(1)*(1)*(1)*(1 + (0))</f>
      </c>
      <c r="D180" s="21" t="s">
        <v>45</v>
      </c>
      <c r="E180" s="21"/>
      <c r="F180" s="21">
        <f>C180*E180</f>
      </c>
    </row>
    <row r="181">
      <c r="A181" s="4" t="s">
        <v>252</v>
      </c>
      <c r="B181" s="12" t="s">
        <v>253</v>
      </c>
      <c r="C181" s="21">
        <f>(1)*(1)*(1)*(1)*(1 + (0))</f>
      </c>
      <c r="D181" s="21" t="s">
        <v>45</v>
      </c>
      <c r="E181" s="21"/>
      <c r="F181" s="21">
        <f>C181*E181</f>
      </c>
    </row>
    <row r="182">
      <c r="A182" s="4" t="s">
        <v>254</v>
      </c>
      <c r="B182" s="12" t="s">
        <v>255</v>
      </c>
      <c r="C182" s="21">
        <f>(1)*(1)*(1)*(1)*(1 + (0))</f>
      </c>
      <c r="D182" s="21" t="s">
        <v>45</v>
      </c>
      <c r="E182" s="21"/>
      <c r="F182" s="21">
        <f>C182*E182</f>
      </c>
    </row>
    <row r="183">
      <c r="A183" s="4" t="s">
        <v>256</v>
      </c>
      <c r="B183" s="12" t="s">
        <v>257</v>
      </c>
      <c r="C183" s="21">
        <f>(1)*(1)*(1)*(1)*(1 + (0))</f>
      </c>
      <c r="D183" s="21" t="s">
        <v>45</v>
      </c>
      <c r="E183" s="21"/>
      <c r="F183" s="21">
        <f>C183*E183</f>
      </c>
    </row>
    <row r="184">
      <c r="A184" s="4" t="s">
        <v>258</v>
      </c>
      <c r="B184" s="12" t="s">
        <v>259</v>
      </c>
      <c r="C184" s="21">
        <f>(1)*(1)*(1)*(1)*(1 + (0))</f>
      </c>
      <c r="D184" s="21" t="s">
        <v>45</v>
      </c>
      <c r="E184" s="21"/>
      <c r="F184" s="21">
        <f>C184*E184</f>
      </c>
    </row>
    <row r="185">
      <c r="A185" s="4" t="s">
        <v>260</v>
      </c>
      <c r="B185" s="12" t="s">
        <v>261</v>
      </c>
      <c r="C185" s="21">
        <f>(1)*(1)*(1)*(1)*(1 + (0))</f>
      </c>
      <c r="D185" s="21" t="s">
        <v>45</v>
      </c>
      <c r="E185" s="21"/>
      <c r="F185" s="21">
        <f>C185*E185</f>
      </c>
    </row>
    <row r="186">
      <c r="A186" s="3"/>
      <c r="B186" s="11" t="s">
        <v>82</v>
      </c>
      <c r="C186" s="20"/>
      <c r="D186" s="20"/>
      <c r="E186" s="20"/>
      <c r="F186" s="20"/>
    </row>
    <row r="187">
      <c r="A187" s="4"/>
      <c r="B187" s="12" t="s">
        <v>262</v>
      </c>
      <c r="C187" s="21"/>
      <c r="D187" s="21" t="s">
        <v>17</v>
      </c>
      <c r="E187" s="21"/>
      <c r="F187" s="21">
        <f>C187*E187</f>
      </c>
    </row>
    <row r="188">
      <c r="A188" s="4"/>
      <c r="B188" s="12" t="s">
        <v>263</v>
      </c>
      <c r="C188" s="21"/>
      <c r="D188" s="21" t="s">
        <v>264</v>
      </c>
      <c r="E188" s="21"/>
      <c r="F188" s="21">
        <f>C188*E188</f>
      </c>
    </row>
    <row r="189">
      <c r="A189" s="3"/>
      <c r="B189" s="11" t="s">
        <v>265</v>
      </c>
      <c r="C189" s="20"/>
      <c r="D189" s="20"/>
      <c r="E189" s="20"/>
      <c r="F189" s="20"/>
    </row>
    <row r="190">
      <c r="A190" s="4"/>
      <c r="B190" s="12" t="s">
        <v>266</v>
      </c>
      <c r="C190" s="21">
        <f>(1287)*(1)*(1)*(1)*(1 + (0))</f>
      </c>
      <c r="D190" s="21" t="s">
        <v>164</v>
      </c>
      <c r="E190" s="21"/>
      <c r="F190" s="21">
        <f>C190*E190</f>
      </c>
    </row>
    <row r="191">
      <c r="A191" s="4"/>
      <c r="B191" s="12" t="s">
        <v>267</v>
      </c>
      <c r="C191" s="21">
        <f>(246)*(1)*(1)*(1)*(1 + (0))</f>
      </c>
      <c r="D191" s="21" t="s">
        <v>164</v>
      </c>
      <c r="E191" s="21"/>
      <c r="F191" s="21">
        <f>C191*E191</f>
      </c>
    </row>
    <row r="192">
      <c r="A192" s="3"/>
      <c r="B192" s="11" t="s">
        <v>268</v>
      </c>
      <c r="C192" s="20"/>
      <c r="D192" s="20"/>
      <c r="E192" s="20"/>
      <c r="F192" s="20"/>
    </row>
    <row r="193">
      <c r="A193" s="5"/>
      <c r="B193" s="13" t="s">
        <v>269</v>
      </c>
      <c r="C193" s="22"/>
      <c r="D193" s="22"/>
      <c r="E193" s="22"/>
      <c r="F193" s="22"/>
    </row>
    <row r="194">
      <c r="A194" s="6"/>
      <c r="B194" s="15" t="s">
        <v>270</v>
      </c>
      <c r="C194" s="23"/>
      <c r="D194" s="23"/>
      <c r="E194" s="23"/>
      <c r="F194" s="23"/>
    </row>
    <row r="195">
      <c r="A195" s="4"/>
      <c r="B195" s="16" t="s">
        <v>271</v>
      </c>
      <c r="C195" s="21">
        <f>(9)*(1)*(1)*(1)*(1 + (0))</f>
      </c>
      <c r="D195" s="21" t="s">
        <v>164</v>
      </c>
      <c r="E195" s="21"/>
      <c r="F195" s="21">
        <f>C195*E195</f>
      </c>
    </row>
    <row r="196">
      <c r="A196" s="4"/>
      <c r="B196" s="16" t="s">
        <v>272</v>
      </c>
      <c r="C196" s="21">
        <f>(9)*(1)*(1)*(1)*(1 + (0))</f>
      </c>
      <c r="D196" s="21" t="s">
        <v>164</v>
      </c>
      <c r="E196" s="21"/>
      <c r="F196" s="21">
        <f>C196*E196</f>
      </c>
    </row>
    <row r="197">
      <c r="A197" s="4"/>
      <c r="B197" s="16" t="s">
        <v>273</v>
      </c>
      <c r="C197" s="21">
        <f>(26)*(1)*(1)*(1)*(1 + (0))</f>
      </c>
      <c r="D197" s="21" t="s">
        <v>164</v>
      </c>
      <c r="E197" s="21"/>
      <c r="F197" s="21">
        <f>C197*E197</f>
      </c>
    </row>
    <row r="198">
      <c r="A198" s="5"/>
      <c r="B198" s="13" t="s">
        <v>274</v>
      </c>
      <c r="C198" s="22"/>
      <c r="D198" s="22"/>
      <c r="E198" s="22"/>
      <c r="F198" s="22"/>
    </row>
    <row r="199">
      <c r="A199" s="6"/>
      <c r="B199" s="15" t="s">
        <v>270</v>
      </c>
      <c r="C199" s="23"/>
      <c r="D199" s="23"/>
      <c r="E199" s="23"/>
      <c r="F199" s="23"/>
    </row>
    <row r="200">
      <c r="A200" s="4"/>
      <c r="B200" s="16" t="s">
        <v>275</v>
      </c>
      <c r="C200" s="21">
        <f>(54)*(1)*(1)*(1)*(1 + (0))</f>
      </c>
      <c r="D200" s="21" t="s">
        <v>164</v>
      </c>
      <c r="E200" s="21"/>
      <c r="F200" s="21">
        <f>C200*E200</f>
      </c>
    </row>
    <row r="201">
      <c r="A201" s="4"/>
      <c r="B201" s="16" t="s">
        <v>276</v>
      </c>
      <c r="C201" s="21">
        <f>(51)*(1)*(1)*(1)*(1 + (0))</f>
      </c>
      <c r="D201" s="21" t="s">
        <v>164</v>
      </c>
      <c r="E201" s="21"/>
      <c r="F201" s="21">
        <f>C201*E201</f>
      </c>
    </row>
    <row r="202">
      <c r="A202" s="4"/>
      <c r="B202" s="16" t="s">
        <v>277</v>
      </c>
      <c r="C202" s="21">
        <f>(85)*(1)*(1)*(1)*(1 + (0))</f>
      </c>
      <c r="D202" s="21" t="s">
        <v>164</v>
      </c>
      <c r="E202" s="21"/>
      <c r="F202" s="21">
        <f>C202*E202</f>
      </c>
    </row>
    <row r="203">
      <c r="A203" s="4"/>
      <c r="B203" s="16" t="s">
        <v>278</v>
      </c>
      <c r="C203" s="21">
        <f>(10)*(1)*(1)*(1)*(1 + (0))</f>
      </c>
      <c r="D203" s="21" t="s">
        <v>164</v>
      </c>
      <c r="E203" s="21"/>
      <c r="F203" s="21">
        <f>C203*E203</f>
      </c>
    </row>
    <row r="204">
      <c r="A204" s="4"/>
      <c r="B204" s="16" t="s">
        <v>279</v>
      </c>
      <c r="C204" s="21">
        <f>(4)*(1)*(1)*(1)*(1 + (0))</f>
      </c>
      <c r="D204" s="21" t="s">
        <v>164</v>
      </c>
      <c r="E204" s="21"/>
      <c r="F204" s="21">
        <f>C204*E204</f>
      </c>
    </row>
    <row r="205">
      <c r="A205" s="5"/>
      <c r="B205" s="13" t="s">
        <v>280</v>
      </c>
      <c r="C205" s="22"/>
      <c r="D205" s="22"/>
      <c r="E205" s="22"/>
      <c r="F205" s="22"/>
    </row>
    <row r="206">
      <c r="A206" s="6"/>
      <c r="B206" s="15" t="s">
        <v>270</v>
      </c>
      <c r="C206" s="23"/>
      <c r="D206" s="23"/>
      <c r="E206" s="23"/>
      <c r="F206" s="23"/>
    </row>
    <row r="207">
      <c r="A207" s="4"/>
      <c r="B207" s="16" t="s">
        <v>281</v>
      </c>
      <c r="C207" s="21">
        <f>(16)*(1)*(1)*(1)*(1 + (0))</f>
      </c>
      <c r="D207" s="21" t="s">
        <v>164</v>
      </c>
      <c r="E207" s="21"/>
      <c r="F207" s="21">
        <f>C207*E207</f>
      </c>
    </row>
    <row r="208">
      <c r="A208" s="4"/>
      <c r="B208" s="16" t="s">
        <v>282</v>
      </c>
      <c r="C208" s="21">
        <f>(8)*(1)*(1)*(1)*(1 + (0))</f>
      </c>
      <c r="D208" s="21" t="s">
        <v>164</v>
      </c>
      <c r="E208" s="21"/>
      <c r="F208" s="21">
        <f>C208*E208</f>
      </c>
    </row>
    <row r="209">
      <c r="A209" s="4"/>
      <c r="B209" s="16" t="s">
        <v>283</v>
      </c>
      <c r="C209" s="21">
        <f>(7)*(1)*(1)*(1)*(1 + (0))</f>
      </c>
      <c r="D209" s="21" t="s">
        <v>164</v>
      </c>
      <c r="E209" s="21"/>
      <c r="F209" s="21">
        <f>C209*E209</f>
      </c>
    </row>
    <row r="210">
      <c r="A210" s="4"/>
      <c r="B210" s="16" t="s">
        <v>284</v>
      </c>
      <c r="C210" s="21">
        <f>(10)*(1)*(1)*(1)*(1 + (0))</f>
      </c>
      <c r="D210" s="21" t="s">
        <v>164</v>
      </c>
      <c r="E210" s="21"/>
      <c r="F210" s="21">
        <f>C210*E210</f>
      </c>
    </row>
    <row r="211">
      <c r="A211" s="4"/>
      <c r="B211" s="16" t="s">
        <v>285</v>
      </c>
      <c r="C211" s="21">
        <f>(5)*(1)*(1)*(1)*(1 + (0))</f>
      </c>
      <c r="D211" s="21" t="s">
        <v>164</v>
      </c>
      <c r="E211" s="21"/>
      <c r="F211" s="21">
        <f>C211*E211</f>
      </c>
    </row>
    <row r="212">
      <c r="A212" s="4"/>
      <c r="B212" s="16" t="s">
        <v>286</v>
      </c>
      <c r="C212" s="21">
        <f>(22)*(1)*(1)*(1)*(1 + (0))</f>
      </c>
      <c r="D212" s="21" t="s">
        <v>164</v>
      </c>
      <c r="E212" s="21"/>
      <c r="F212" s="21">
        <f>C212*E212</f>
      </c>
    </row>
    <row r="213">
      <c r="A213" s="4"/>
      <c r="B213" s="16" t="s">
        <v>287</v>
      </c>
      <c r="C213" s="21">
        <f>(29)*(1)*(1)*(1)*(1 + (0))</f>
      </c>
      <c r="D213" s="21" t="s">
        <v>164</v>
      </c>
      <c r="E213" s="21"/>
      <c r="F213" s="21">
        <f>C213*E213</f>
      </c>
    </row>
    <row r="214">
      <c r="A214" s="4"/>
      <c r="B214" s="16" t="s">
        <v>288</v>
      </c>
      <c r="C214" s="21">
        <f>(37)*(1)*(1)*(1)*(1 + (0))</f>
      </c>
      <c r="D214" s="21" t="s">
        <v>164</v>
      </c>
      <c r="E214" s="21"/>
      <c r="F214" s="21">
        <f>C214*E214</f>
      </c>
    </row>
    <row r="215">
      <c r="A215" s="4"/>
      <c r="B215" s="16" t="s">
        <v>289</v>
      </c>
      <c r="C215" s="21">
        <f>(3)*(1)*(1)*(1)*(1 + (0))</f>
      </c>
      <c r="D215" s="21" t="s">
        <v>164</v>
      </c>
      <c r="E215" s="21"/>
      <c r="F215" s="21">
        <f>C215*E215</f>
      </c>
    </row>
    <row r="216">
      <c r="A216" s="4"/>
      <c r="B216" s="16" t="s">
        <v>290</v>
      </c>
      <c r="C216" s="21">
        <f>(4)*(1)*(1)*(1)*(1 + (0))</f>
      </c>
      <c r="D216" s="21" t="s">
        <v>164</v>
      </c>
      <c r="E216" s="21"/>
      <c r="F216" s="21">
        <f>C216*E216</f>
      </c>
    </row>
    <row r="217">
      <c r="A217" s="4"/>
      <c r="B217" s="16" t="s">
        <v>291</v>
      </c>
      <c r="C217" s="21">
        <f>(4)*(1)*(1)*(1)*(1 + (0))</f>
      </c>
      <c r="D217" s="21" t="s">
        <v>164</v>
      </c>
      <c r="E217" s="21"/>
      <c r="F217" s="21">
        <f>C217*E217</f>
      </c>
    </row>
    <row r="218">
      <c r="A218" s="4"/>
      <c r="B218" s="16" t="s">
        <v>292</v>
      </c>
      <c r="C218" s="21">
        <f>(6)*(1)*(1)*(1)*(1 + (0))</f>
      </c>
      <c r="D218" s="21" t="s">
        <v>164</v>
      </c>
      <c r="E218" s="21"/>
      <c r="F218" s="21">
        <f>C218*E218</f>
      </c>
    </row>
    <row r="219">
      <c r="A219" s="5"/>
      <c r="B219" s="13" t="s">
        <v>293</v>
      </c>
      <c r="C219" s="22"/>
      <c r="D219" s="22"/>
      <c r="E219" s="22"/>
      <c r="F219" s="22"/>
    </row>
    <row r="220">
      <c r="A220" s="6"/>
      <c r="B220" s="15" t="s">
        <v>270</v>
      </c>
      <c r="C220" s="23"/>
      <c r="D220" s="23"/>
      <c r="E220" s="23"/>
      <c r="F220" s="23"/>
    </row>
    <row r="221">
      <c r="A221" s="4"/>
      <c r="B221" s="16" t="s">
        <v>294</v>
      </c>
      <c r="C221" s="21">
        <f>(4)*(1)*(1)*(1)*(1 + (0))</f>
      </c>
      <c r="D221" s="21" t="s">
        <v>164</v>
      </c>
      <c r="E221" s="21"/>
      <c r="F221" s="21">
        <f>C221*E221</f>
      </c>
    </row>
    <row r="222">
      <c r="A222" s="4"/>
      <c r="B222" s="16" t="s">
        <v>295</v>
      </c>
      <c r="C222" s="21">
        <f>(1)*(1)*(1)*(1)*(1 + (0))</f>
      </c>
      <c r="D222" s="21" t="s">
        <v>170</v>
      </c>
      <c r="E222" s="21"/>
      <c r="F222" s="21">
        <f>C222*E222</f>
      </c>
    </row>
    <row r="223">
      <c r="A223" s="5"/>
      <c r="B223" s="13" t="s">
        <v>296</v>
      </c>
      <c r="C223" s="22"/>
      <c r="D223" s="22"/>
      <c r="E223" s="22"/>
      <c r="F223" s="22"/>
    </row>
    <row r="224">
      <c r="A224" s="6"/>
      <c r="B224" s="15" t="s">
        <v>297</v>
      </c>
      <c r="C224" s="23"/>
      <c r="D224" s="23"/>
      <c r="E224" s="23"/>
      <c r="F224" s="23"/>
    </row>
    <row r="225">
      <c r="A225" s="4"/>
      <c r="B225" s="16" t="s">
        <v>298</v>
      </c>
      <c r="C225" s="21">
        <f>(32)*(1)*(1)*(1)*(1 + (0))</f>
      </c>
      <c r="D225" s="21" t="s">
        <v>164</v>
      </c>
      <c r="E225" s="21"/>
      <c r="F225" s="21">
        <f>C225*E225</f>
      </c>
    </row>
    <row r="226">
      <c r="A226" s="4"/>
      <c r="B226" s="16" t="s">
        <v>299</v>
      </c>
      <c r="C226" s="21">
        <f>(588)*(1)*(1)*(1)*(1 + (0))</f>
      </c>
      <c r="D226" s="21" t="s">
        <v>164</v>
      </c>
      <c r="E226" s="21"/>
      <c r="F226" s="21">
        <f>C226*E226</f>
      </c>
    </row>
    <row r="227">
      <c r="A227" s="4"/>
      <c r="B227" s="16" t="s">
        <v>300</v>
      </c>
      <c r="C227" s="21">
        <f>(3)*(1)*(1)*(1)*(1 + (0))</f>
      </c>
      <c r="D227" s="21" t="s">
        <v>164</v>
      </c>
      <c r="E227" s="21"/>
      <c r="F227" s="21">
        <f>C227*E227</f>
      </c>
    </row>
    <row r="228">
      <c r="A228" s="4"/>
      <c r="B228" s="16" t="s">
        <v>301</v>
      </c>
      <c r="C228" s="21">
        <f>(88)*(1)*(1)*(1)*(1 + (0))</f>
      </c>
      <c r="D228" s="21" t="s">
        <v>164</v>
      </c>
      <c r="E228" s="21"/>
      <c r="F228" s="21">
        <f>C228*E228</f>
      </c>
    </row>
    <row r="229">
      <c r="A229" s="4"/>
      <c r="B229" s="16" t="s">
        <v>302</v>
      </c>
      <c r="C229" s="21">
        <f>(32)*(1)*(1)*(1)*(1 + (0))</f>
      </c>
      <c r="D229" s="21" t="s">
        <v>164</v>
      </c>
      <c r="E229" s="21"/>
      <c r="F229" s="21">
        <f>C229*E229</f>
      </c>
    </row>
    <row r="230">
      <c r="A230" s="4"/>
      <c r="B230" s="16" t="s">
        <v>303</v>
      </c>
      <c r="C230" s="21">
        <f>(75)*(1)*(1)*(1)*(1 + (0))</f>
      </c>
      <c r="D230" s="21" t="s">
        <v>164</v>
      </c>
      <c r="E230" s="21"/>
      <c r="F230" s="21">
        <f>C230*E230</f>
      </c>
    </row>
    <row r="231">
      <c r="A231" s="4"/>
      <c r="B231" s="16" t="s">
        <v>304</v>
      </c>
      <c r="C231" s="21">
        <f>(7)*(1)*(1)*(1)*(1 + (0))</f>
      </c>
      <c r="D231" s="21" t="s">
        <v>164</v>
      </c>
      <c r="E231" s="21"/>
      <c r="F231" s="21">
        <f>C231*E231</f>
      </c>
    </row>
    <row r="232">
      <c r="A232" s="4"/>
      <c r="B232" s="16" t="s">
        <v>305</v>
      </c>
      <c r="C232" s="21">
        <f>(6)*(1)*(1)*(1)*(1 + (0))</f>
      </c>
      <c r="D232" s="21" t="s">
        <v>164</v>
      </c>
      <c r="E232" s="21"/>
      <c r="F232" s="21">
        <f>C232*E232</f>
      </c>
    </row>
    <row r="233">
      <c r="A233" s="4"/>
      <c r="B233" s="16" t="s">
        <v>306</v>
      </c>
      <c r="C233" s="21">
        <f>(2)*(1)*(1)*(1)*(1 + (0))</f>
      </c>
      <c r="D233" s="21" t="s">
        <v>164</v>
      </c>
      <c r="E233" s="21"/>
      <c r="F233" s="21">
        <f>C233*E233</f>
      </c>
    </row>
    <row r="234">
      <c r="A234" s="4"/>
      <c r="B234" s="16" t="s">
        <v>307</v>
      </c>
      <c r="C234" s="21">
        <f>(27)*(1)*(1)*(1)*(1 + (0))</f>
      </c>
      <c r="D234" s="21" t="s">
        <v>164</v>
      </c>
      <c r="E234" s="21"/>
      <c r="F234" s="21">
        <f>C234*E234</f>
      </c>
    </row>
    <row r="235">
      <c r="A235" s="4"/>
      <c r="B235" s="16" t="s">
        <v>308</v>
      </c>
      <c r="C235" s="21">
        <f>(2)*(1)*(1)*(1)*(1 + (0))</f>
      </c>
      <c r="D235" s="21" t="s">
        <v>164</v>
      </c>
      <c r="E235" s="21"/>
      <c r="F235" s="21">
        <f>C235*E235</f>
      </c>
    </row>
    <row r="236">
      <c r="A236" s="4"/>
      <c r="B236" s="16" t="s">
        <v>309</v>
      </c>
      <c r="C236" s="21">
        <f>(2)*(1)*(1)*(1)*(1 + (0))</f>
      </c>
      <c r="D236" s="21" t="s">
        <v>164</v>
      </c>
      <c r="E236" s="21"/>
      <c r="F236" s="21">
        <f>C236*E236</f>
      </c>
    </row>
    <row r="237">
      <c r="A237" s="4"/>
      <c r="B237" s="16" t="s">
        <v>310</v>
      </c>
      <c r="C237" s="21">
        <f>(11)*(1)*(1)*(1)*(1 + (0))</f>
      </c>
      <c r="D237" s="21" t="s">
        <v>164</v>
      </c>
      <c r="E237" s="21"/>
      <c r="F237" s="21">
        <f>C237*E237</f>
      </c>
    </row>
    <row r="238">
      <c r="A238" s="4"/>
      <c r="B238" s="16" t="s">
        <v>311</v>
      </c>
      <c r="C238" s="21">
        <f>(277)*(1)*(1)*(1)*(1 + (0))</f>
      </c>
      <c r="D238" s="21" t="s">
        <v>9</v>
      </c>
      <c r="E238" s="21"/>
      <c r="F238" s="21">
        <f>C238*E238</f>
      </c>
    </row>
    <row r="239">
      <c r="A239" s="4"/>
      <c r="B239" s="16" t="s">
        <v>312</v>
      </c>
      <c r="C239" s="21">
        <f>(242)*(1)*(1)*(1)*(1 + (0))</f>
      </c>
      <c r="D239" s="21" t="s">
        <v>167</v>
      </c>
      <c r="E239" s="21"/>
      <c r="F239" s="21">
        <f>C239*E239</f>
      </c>
    </row>
    <row r="240">
      <c r="A240" s="5"/>
      <c r="B240" s="13" t="s">
        <v>313</v>
      </c>
      <c r="C240" s="22"/>
      <c r="D240" s="22"/>
      <c r="E240" s="22"/>
      <c r="F240" s="22"/>
    </row>
    <row r="241">
      <c r="A241" s="6"/>
      <c r="B241" s="15" t="s">
        <v>297</v>
      </c>
      <c r="C241" s="23"/>
      <c r="D241" s="23"/>
      <c r="E241" s="23"/>
      <c r="F241" s="23"/>
    </row>
    <row r="242">
      <c r="A242" s="4"/>
      <c r="B242" s="16" t="s">
        <v>314</v>
      </c>
      <c r="C242" s="21">
        <f>(3)*(1)*(1)*(1)*(1 + (0))</f>
      </c>
      <c r="D242" s="21" t="s">
        <v>164</v>
      </c>
      <c r="E242" s="21"/>
      <c r="F242" s="21">
        <f>C242*E242</f>
      </c>
    </row>
    <row r="243">
      <c r="A243" s="4"/>
      <c r="B243" s="16" t="s">
        <v>315</v>
      </c>
      <c r="C243" s="21">
        <f>(12)*(1)*(1)*(1)*(1 + (0))</f>
      </c>
      <c r="D243" s="21" t="s">
        <v>164</v>
      </c>
      <c r="E243" s="21"/>
      <c r="F243" s="21">
        <f>C243*E243</f>
      </c>
    </row>
    <row r="244">
      <c r="A244" s="5"/>
      <c r="B244" s="13" t="s">
        <v>316</v>
      </c>
      <c r="C244" s="22"/>
      <c r="D244" s="22"/>
      <c r="E244" s="22"/>
      <c r="F244" s="22"/>
    </row>
    <row r="245">
      <c r="A245" s="6"/>
      <c r="B245" s="15" t="s">
        <v>297</v>
      </c>
      <c r="C245" s="23"/>
      <c r="D245" s="23"/>
      <c r="E245" s="23"/>
      <c r="F245" s="23"/>
    </row>
    <row r="246">
      <c r="A246" s="4"/>
      <c r="B246" s="16" t="s">
        <v>317</v>
      </c>
      <c r="C246" s="21">
        <f>(4)*(1)*(1)*(1)*(1 + (0))</f>
      </c>
      <c r="D246" s="21" t="s">
        <v>164</v>
      </c>
      <c r="E246" s="21"/>
      <c r="F246" s="21">
        <f>C246*E246</f>
      </c>
    </row>
    <row r="247">
      <c r="A247" s="6"/>
      <c r="B247" s="15" t="s">
        <v>318</v>
      </c>
      <c r="C247" s="23"/>
      <c r="D247" s="23"/>
      <c r="E247" s="23"/>
      <c r="F247" s="23"/>
    </row>
    <row r="248">
      <c r="A248" s="4"/>
      <c r="B248" s="16" t="s">
        <v>319</v>
      </c>
      <c r="C248" s="21">
        <f>(54)*(1)*(1)*(1)*(1 + (0))</f>
      </c>
      <c r="D248" s="21" t="s">
        <v>164</v>
      </c>
      <c r="E248" s="21"/>
      <c r="F248" s="21">
        <f>C248*E248</f>
      </c>
    </row>
    <row r="249">
      <c r="A249" s="4"/>
      <c r="B249" s="16" t="s">
        <v>320</v>
      </c>
      <c r="C249" s="21">
        <f>(134)*(1)*(1)*(1)*(1 + (0))</f>
      </c>
      <c r="D249" s="21" t="s">
        <v>164</v>
      </c>
      <c r="E249" s="21"/>
      <c r="F249" s="21">
        <f>C249*E249</f>
      </c>
    </row>
    <row r="250">
      <c r="A250" s="4"/>
      <c r="B250" s="16" t="s">
        <v>321</v>
      </c>
      <c r="C250" s="21">
        <f>(2)*(1)*(1)*(1)*(1 + (0))</f>
      </c>
      <c r="D250" s="21" t="s">
        <v>164</v>
      </c>
      <c r="E250" s="21"/>
      <c r="F250" s="21">
        <f>C250*E250</f>
      </c>
    </row>
    <row r="251">
      <c r="A251" s="4"/>
      <c r="B251" s="16" t="s">
        <v>322</v>
      </c>
      <c r="C251" s="21">
        <f>(2)*(1)*(1)*(1)*(1 + (0))</f>
      </c>
      <c r="D251" s="21" t="s">
        <v>164</v>
      </c>
      <c r="E251" s="21"/>
      <c r="F251" s="21">
        <f>C251*E251</f>
      </c>
    </row>
    <row r="252">
      <c r="A252" s="4"/>
      <c r="B252" s="16" t="s">
        <v>323</v>
      </c>
      <c r="C252" s="21">
        <f>(6)*(1)*(1)*(1)*(1 + (0))</f>
      </c>
      <c r="D252" s="21" t="s">
        <v>164</v>
      </c>
      <c r="E252" s="21"/>
      <c r="F252" s="21">
        <f>C252*E252</f>
      </c>
    </row>
    <row r="253">
      <c r="A253" s="4"/>
      <c r="B253" s="16" t="s">
        <v>311</v>
      </c>
      <c r="C253" s="21">
        <f>(42)*(1)*(1)*(1)*(1 + (0))</f>
      </c>
      <c r="D253" s="21" t="s">
        <v>9</v>
      </c>
      <c r="E253" s="21"/>
      <c r="F253" s="21">
        <f>C253*E253</f>
      </c>
    </row>
    <row r="254">
      <c r="A254" s="4"/>
      <c r="B254" s="16" t="s">
        <v>312</v>
      </c>
      <c r="C254" s="21">
        <f>(53)*(1)*(1)*(1)*(1 + (0))</f>
      </c>
      <c r="D254" s="21" t="s">
        <v>167</v>
      </c>
      <c r="E254" s="21"/>
      <c r="F254" s="21">
        <f>C254*E254</f>
      </c>
    </row>
    <row r="255">
      <c r="A255" s="5"/>
      <c r="B255" s="13" t="s">
        <v>324</v>
      </c>
      <c r="C255" s="22"/>
      <c r="D255" s="22"/>
      <c r="E255" s="22"/>
      <c r="F255" s="22"/>
    </row>
    <row r="256">
      <c r="A256" s="6"/>
      <c r="B256" s="15" t="s">
        <v>325</v>
      </c>
      <c r="C256" s="23"/>
      <c r="D256" s="23"/>
      <c r="E256" s="23"/>
      <c r="F256" s="23"/>
    </row>
    <row r="257">
      <c r="A257" s="4"/>
      <c r="B257" s="16" t="s">
        <v>326</v>
      </c>
      <c r="C257" s="21">
        <f>(1)*(1)*(1)*(1)*(1 + (0))</f>
      </c>
      <c r="D257" s="21" t="s">
        <v>164</v>
      </c>
      <c r="E257" s="21"/>
      <c r="F257" s="21">
        <f>C257*E257</f>
      </c>
    </row>
    <row r="258">
      <c r="A258" s="5"/>
      <c r="B258" s="13" t="s">
        <v>327</v>
      </c>
      <c r="C258" s="22"/>
      <c r="D258" s="22"/>
      <c r="E258" s="22"/>
      <c r="F258" s="22"/>
    </row>
    <row r="259">
      <c r="A259" s="6"/>
      <c r="B259" s="15" t="s">
        <v>297</v>
      </c>
      <c r="C259" s="23"/>
      <c r="D259" s="23"/>
      <c r="E259" s="23"/>
      <c r="F259" s="23"/>
    </row>
    <row r="260">
      <c r="A260" s="4"/>
      <c r="B260" s="16" t="s">
        <v>328</v>
      </c>
      <c r="C260" s="21">
        <f>(3)*(1)*(1)*(1)*(1 + (0))</f>
      </c>
      <c r="D260" s="21" t="s">
        <v>164</v>
      </c>
      <c r="E260" s="21"/>
      <c r="F260" s="21">
        <f>C260*E260</f>
      </c>
    </row>
    <row r="261">
      <c r="A261" s="4"/>
      <c r="B261" s="16" t="s">
        <v>329</v>
      </c>
      <c r="C261" s="21">
        <f>(2)*(1)*(1)*(1)*(1 + (0))</f>
      </c>
      <c r="D261" s="21" t="s">
        <v>164</v>
      </c>
      <c r="E261" s="21"/>
      <c r="F261" s="21">
        <f>C261*E261</f>
      </c>
    </row>
    <row r="262">
      <c r="A262" s="4"/>
      <c r="B262" s="16" t="s">
        <v>330</v>
      </c>
      <c r="C262" s="21">
        <f>(4)*(1)*(1)*(1)*(1 + (0))</f>
      </c>
      <c r="D262" s="21" t="s">
        <v>164</v>
      </c>
      <c r="E262" s="21"/>
      <c r="F262" s="21">
        <f>C262*E262</f>
      </c>
    </row>
    <row r="263">
      <c r="A263" s="5"/>
      <c r="B263" s="13" t="s">
        <v>331</v>
      </c>
      <c r="C263" s="22"/>
      <c r="D263" s="22"/>
      <c r="E263" s="22"/>
      <c r="F263" s="22"/>
    </row>
    <row r="264">
      <c r="A264" s="6"/>
      <c r="B264" s="15" t="s">
        <v>318</v>
      </c>
      <c r="C264" s="23"/>
      <c r="D264" s="23"/>
      <c r="E264" s="23"/>
      <c r="F264" s="23"/>
    </row>
    <row r="265">
      <c r="A265" s="4"/>
      <c r="B265" s="16" t="s">
        <v>332</v>
      </c>
      <c r="C265" s="21">
        <f>(1)*(1)*(1)*(1)*(1 + (0))</f>
      </c>
      <c r="D265" s="21" t="s">
        <v>164</v>
      </c>
      <c r="E265" s="21"/>
      <c r="F265" s="21">
        <f>C265*E265</f>
      </c>
    </row>
    <row r="266">
      <c r="A266" s="4"/>
      <c r="B266" s="16" t="s">
        <v>333</v>
      </c>
      <c r="C266" s="21">
        <f>(2)*(1)*(1)*(1)*(1 + (0))</f>
      </c>
      <c r="D266" s="21" t="s">
        <v>164</v>
      </c>
      <c r="E266" s="21"/>
      <c r="F266" s="21">
        <f>C266*E266</f>
      </c>
    </row>
    <row r="267">
      <c r="A267" s="5"/>
      <c r="B267" s="13" t="s">
        <v>334</v>
      </c>
      <c r="C267" s="22"/>
      <c r="D267" s="22"/>
      <c r="E267" s="22"/>
      <c r="F267" s="22"/>
    </row>
    <row r="268">
      <c r="A268" s="4"/>
      <c r="B268" s="14" t="s">
        <v>335</v>
      </c>
      <c r="C268" s="21">
        <f>(6)*(1)*(1)*(1)*(1 + (0))</f>
      </c>
      <c r="D268" s="21" t="s">
        <v>164</v>
      </c>
      <c r="E268" s="21"/>
      <c r="F268" s="21">
        <f>C268*E268</f>
      </c>
    </row>
    <row r="269">
      <c r="A269" s="4"/>
      <c r="B269" s="14" t="s">
        <v>336</v>
      </c>
      <c r="C269" s="21">
        <f>(4)*(1)*(1)*(1)*(1 + (0))</f>
      </c>
      <c r="D269" s="21" t="s">
        <v>164</v>
      </c>
      <c r="E269" s="21"/>
      <c r="F269" s="21">
        <f>C269*E269</f>
      </c>
    </row>
    <row r="270">
      <c r="A270" s="4"/>
      <c r="B270" s="14" t="s">
        <v>337</v>
      </c>
      <c r="C270" s="21">
        <f>(3)*(1)*(1)*(1)*(1 + (0))</f>
      </c>
      <c r="D270" s="21" t="s">
        <v>164</v>
      </c>
      <c r="E270" s="21"/>
      <c r="F270" s="21">
        <f>C270*E270</f>
      </c>
    </row>
    <row r="271">
      <c r="A271" s="4"/>
      <c r="B271" s="14" t="s">
        <v>338</v>
      </c>
      <c r="C271" s="21">
        <f>(6)*(1)*(1)*(1)*(1 + (0))</f>
      </c>
      <c r="D271" s="21" t="s">
        <v>164</v>
      </c>
      <c r="E271" s="21"/>
      <c r="F271" s="21">
        <f>C271*E271</f>
      </c>
    </row>
    <row r="272">
      <c r="A272" s="4"/>
      <c r="B272" s="14" t="s">
        <v>339</v>
      </c>
      <c r="C272" s="21">
        <f>(3)*(1)*(1)*(1)*(1 + (0))</f>
      </c>
      <c r="D272" s="21" t="s">
        <v>164</v>
      </c>
      <c r="E272" s="21"/>
      <c r="F272" s="21">
        <f>C272*E272</f>
      </c>
    </row>
    <row r="273">
      <c r="A273" s="4"/>
      <c r="B273" s="14" t="s">
        <v>340</v>
      </c>
      <c r="C273" s="21">
        <f>(3)*(1)*(1)*(1)*(1 + (0))</f>
      </c>
      <c r="D273" s="21" t="s">
        <v>164</v>
      </c>
      <c r="E273" s="21"/>
      <c r="F273" s="21">
        <f>C273*E273</f>
      </c>
    </row>
    <row r="274">
      <c r="A274" s="3"/>
      <c r="B274" s="11" t="s">
        <v>341</v>
      </c>
      <c r="C274" s="20"/>
      <c r="D274" s="20"/>
      <c r="E274" s="20"/>
      <c r="F274" s="20"/>
    </row>
    <row r="275">
      <c r="A275" s="5"/>
      <c r="B275" s="13" t="s">
        <v>342</v>
      </c>
      <c r="C275" s="22"/>
      <c r="D275" s="22"/>
      <c r="E275" s="22"/>
      <c r="F275" s="22"/>
    </row>
    <row r="276">
      <c r="A276" s="4"/>
      <c r="B276" s="14" t="s">
        <v>343</v>
      </c>
      <c r="C276" s="21">
        <f>(4633)*(1)*(1)*(1)*(1 + (0))</f>
      </c>
      <c r="D276" s="21" t="s">
        <v>9</v>
      </c>
      <c r="E276" s="21"/>
      <c r="F276" s="21">
        <f>C276*E276</f>
      </c>
    </row>
    <row r="277">
      <c r="A277" s="4"/>
      <c r="B277" s="14" t="s">
        <v>344</v>
      </c>
      <c r="C277" s="21">
        <f>(821)*(1)*(1)*(1)*(1 + (0))</f>
      </c>
      <c r="D277" s="21" t="s">
        <v>9</v>
      </c>
      <c r="E277" s="21"/>
      <c r="F277" s="21">
        <f>C277*E277</f>
      </c>
    </row>
    <row r="278">
      <c r="A278" s="4"/>
      <c r="B278" s="14" t="s">
        <v>345</v>
      </c>
      <c r="C278" s="21">
        <f>(92)*(1)*(1)*(1)*(1 + (0))</f>
      </c>
      <c r="D278" s="21" t="s">
        <v>9</v>
      </c>
      <c r="E278" s="21"/>
      <c r="F278" s="21">
        <f>C278*E278</f>
      </c>
    </row>
    <row r="279">
      <c r="A279" s="5"/>
      <c r="B279" s="13" t="s">
        <v>346</v>
      </c>
      <c r="C279" s="22"/>
      <c r="D279" s="22"/>
      <c r="E279" s="22"/>
      <c r="F279" s="22"/>
    </row>
    <row r="280">
      <c r="A280" s="4"/>
      <c r="B280" s="14" t="s">
        <v>347</v>
      </c>
      <c r="C280" s="21">
        <f>(3349)*(1)*(1)*(1)*(1 + (0))</f>
      </c>
      <c r="D280" s="21" t="s">
        <v>9</v>
      </c>
      <c r="E280" s="21"/>
      <c r="F280" s="21">
        <f>C280*E280</f>
      </c>
    </row>
    <row r="281">
      <c r="A281" s="4"/>
      <c r="B281" s="14" t="s">
        <v>348</v>
      </c>
      <c r="C281" s="21">
        <f>(271)*(1)*(1)*(1)*(1 + (0))</f>
      </c>
      <c r="D281" s="21" t="s">
        <v>9</v>
      </c>
      <c r="E281" s="21"/>
      <c r="F281" s="21">
        <f>C281*E281</f>
      </c>
    </row>
    <row r="282">
      <c r="A282" s="4"/>
      <c r="B282" s="14" t="s">
        <v>349</v>
      </c>
      <c r="C282" s="21">
        <f>(1707)*(1)*(1)*(1)*(1 + (0))</f>
      </c>
      <c r="D282" s="21" t="s">
        <v>9</v>
      </c>
      <c r="E282" s="21"/>
      <c r="F282" s="21">
        <f>C282*E282</f>
      </c>
    </row>
    <row r="283">
      <c r="A283" s="4"/>
      <c r="B283" s="14" t="s">
        <v>350</v>
      </c>
      <c r="C283" s="21">
        <f>(128)*(1)*(1)*(1)*(1 + (0))</f>
      </c>
      <c r="D283" s="21" t="s">
        <v>9</v>
      </c>
      <c r="E283" s="21"/>
      <c r="F283" s="21">
        <f>C283*E283</f>
      </c>
    </row>
    <row r="284">
      <c r="A284" s="6"/>
      <c r="B284" s="15" t="s">
        <v>351</v>
      </c>
      <c r="C284" s="23"/>
      <c r="D284" s="23"/>
      <c r="E284" s="23"/>
      <c r="F284" s="23"/>
    </row>
    <row r="285">
      <c r="A285" s="4"/>
      <c r="B285" s="16" t="s">
        <v>352</v>
      </c>
      <c r="C285" s="21">
        <f>(18)*(1)*(1)*(1)*(1 + (0))</f>
      </c>
      <c r="D285" s="21" t="s">
        <v>167</v>
      </c>
      <c r="E285" s="21"/>
      <c r="F285" s="21">
        <f>C285*E285</f>
      </c>
    </row>
    <row r="286">
      <c r="A286" s="4"/>
      <c r="B286" s="16" t="s">
        <v>353</v>
      </c>
      <c r="C286" s="21">
        <f>(13)*(1)*(1)*(1)*(1 + (0))</f>
      </c>
      <c r="D286" s="21" t="s">
        <v>9</v>
      </c>
      <c r="E286" s="21"/>
      <c r="F286" s="21">
        <f>C286*E286</f>
      </c>
    </row>
    <row r="287">
      <c r="A287" s="5"/>
      <c r="B287" s="13" t="s">
        <v>354</v>
      </c>
      <c r="C287" s="22"/>
      <c r="D287" s="22"/>
      <c r="E287" s="22"/>
      <c r="F287" s="22"/>
    </row>
    <row r="288">
      <c r="A288" s="4"/>
      <c r="B288" s="14" t="s">
        <v>355</v>
      </c>
      <c r="C288" s="21">
        <f>(11)*(1)*(1)*(1)*(1 + (0))</f>
      </c>
      <c r="D288" s="21" t="s">
        <v>167</v>
      </c>
      <c r="E288" s="21"/>
      <c r="F288" s="21">
        <f>C288*E288</f>
      </c>
    </row>
    <row r="289">
      <c r="A289" s="4"/>
      <c r="B289" s="14" t="s">
        <v>356</v>
      </c>
      <c r="C289" s="21">
        <f>(11)*(1)*(1)*(1)*(1 + (0))</f>
      </c>
      <c r="D289" s="21" t="s">
        <v>167</v>
      </c>
      <c r="E289" s="21"/>
      <c r="F289" s="21">
        <f>C289*E289</f>
      </c>
    </row>
    <row r="290">
      <c r="A290" s="4"/>
      <c r="B290" s="14" t="s">
        <v>357</v>
      </c>
      <c r="C290" s="21">
        <f>(1)*(1)*(1)*(1)*(1 + (0))</f>
      </c>
      <c r="D290" s="21" t="s">
        <v>170</v>
      </c>
      <c r="E290" s="21"/>
      <c r="F290" s="21">
        <f>C290*E290</f>
      </c>
    </row>
    <row r="291">
      <c r="A291" s="4"/>
      <c r="B291" s="14" t="s">
        <v>358</v>
      </c>
      <c r="C291" s="21">
        <f>(40)*(1)*(1)*(1)*(1 + (0))</f>
      </c>
      <c r="D291" s="21" t="s">
        <v>170</v>
      </c>
      <c r="E291" s="21"/>
      <c r="F291" s="21">
        <f>C291*E291</f>
      </c>
    </row>
    <row r="292">
      <c r="A292" s="3"/>
      <c r="B292" s="11" t="s">
        <v>359</v>
      </c>
      <c r="C292" s="20"/>
      <c r="D292" s="20"/>
      <c r="E292" s="20"/>
      <c r="F292" s="20"/>
    </row>
    <row r="293">
      <c r="A293" s="4"/>
      <c r="B293" s="12" t="s">
        <v>360</v>
      </c>
      <c r="C293" s="21">
        <f>(892)*(1)*(1)*(1)*(1 + (0))</f>
      </c>
      <c r="D293" s="21" t="s">
        <v>167</v>
      </c>
      <c r="E293" s="21"/>
      <c r="F293" s="21">
        <f>C293*E293</f>
      </c>
    </row>
    <row r="294">
      <c r="A294" s="4"/>
      <c r="B294" s="12" t="s">
        <v>361</v>
      </c>
      <c r="C294" s="21">
        <f>(776)*(1)*(1)*(1)*(1 + (0))</f>
      </c>
      <c r="D294" s="21" t="s">
        <v>167</v>
      </c>
      <c r="E294" s="21"/>
      <c r="F294" s="21">
        <f>C294*E294</f>
      </c>
    </row>
    <row r="295">
      <c r="A295" s="4"/>
      <c r="B295" s="12" t="s">
        <v>362</v>
      </c>
      <c r="C295" s="21">
        <f>(161)*(1)*(1)*(1)*(1 + (0))</f>
      </c>
      <c r="D295" s="21" t="s">
        <v>167</v>
      </c>
      <c r="E295" s="21"/>
      <c r="F295" s="21">
        <f>C295*E295</f>
      </c>
    </row>
    <row r="296">
      <c r="A296" s="4"/>
      <c r="B296" s="12" t="s">
        <v>363</v>
      </c>
      <c r="C296" s="21">
        <f>(416)*(1)*(1)*(1)*(1 + (0))</f>
      </c>
      <c r="D296" s="21" t="s">
        <v>167</v>
      </c>
      <c r="E296" s="21"/>
      <c r="F296" s="21">
        <f>C296*E296</f>
      </c>
    </row>
    <row r="297">
      <c r="A297" s="4"/>
      <c r="B297" s="12" t="s">
        <v>364</v>
      </c>
      <c r="C297" s="21">
        <f>(50)*(1)*(1)*(1)*(1 + (0))</f>
      </c>
      <c r="D297" s="21" t="s">
        <v>167</v>
      </c>
      <c r="E297" s="21"/>
      <c r="F297" s="21">
        <f>C297*E297</f>
      </c>
    </row>
    <row r="298">
      <c r="A298" s="4"/>
      <c r="B298" s="12" t="s">
        <v>365</v>
      </c>
      <c r="C298" s="21">
        <f>(9)*(1)*(1)*(1)*(1 + (0))</f>
      </c>
      <c r="D298" s="21" t="s">
        <v>167</v>
      </c>
      <c r="E298" s="21"/>
      <c r="F298" s="21">
        <f>C298*E298</f>
      </c>
    </row>
    <row r="299">
      <c r="A299" s="3"/>
      <c r="B299" s="11" t="s">
        <v>366</v>
      </c>
      <c r="C299" s="20"/>
      <c r="D299" s="20"/>
      <c r="E299" s="20"/>
      <c r="F299" s="20"/>
    </row>
    <row r="300">
      <c r="A300" s="4"/>
      <c r="B300" s="12" t="s">
        <v>367</v>
      </c>
      <c r="C300" s="21">
        <f>(708)*(1)*(1)*(1)*(1 + (0))</f>
      </c>
      <c r="D300" s="21" t="s">
        <v>9</v>
      </c>
      <c r="E300" s="21"/>
      <c r="F300" s="21">
        <f>C300*E300</f>
      </c>
    </row>
    <row r="301">
      <c r="A301" s="4"/>
      <c r="B301" s="12" t="s">
        <v>368</v>
      </c>
      <c r="C301" s="21">
        <f>(3280)*(1)*(1)*(1)*(1 + (0))</f>
      </c>
      <c r="D301" s="21" t="s">
        <v>9</v>
      </c>
      <c r="E301" s="21"/>
      <c r="F301" s="21">
        <f>C301*E301</f>
      </c>
    </row>
    <row r="302">
      <c r="A302" s="4"/>
      <c r="B302" s="12" t="s">
        <v>369</v>
      </c>
      <c r="C302" s="21">
        <f>(538)*(1)*(1)*(1)*(1 + (0))</f>
      </c>
      <c r="D302" s="21" t="s">
        <v>9</v>
      </c>
      <c r="E302" s="21"/>
      <c r="F302" s="21">
        <f>C302*E302</f>
      </c>
    </row>
    <row r="303">
      <c r="A303" s="4"/>
      <c r="B303" s="12" t="s">
        <v>370</v>
      </c>
      <c r="C303" s="21">
        <f>(815)*(1)*(1)*(1)*(1 + (0))</f>
      </c>
      <c r="D303" s="21" t="s">
        <v>9</v>
      </c>
      <c r="E303" s="21"/>
      <c r="F303" s="21">
        <f>C303*E303</f>
      </c>
    </row>
    <row r="304">
      <c r="A304" s="4"/>
      <c r="B304" s="12" t="s">
        <v>371</v>
      </c>
      <c r="C304" s="21">
        <f>(4669)*(1)*(1)*(1)*(1 + (0))</f>
      </c>
      <c r="D304" s="21" t="s">
        <v>9</v>
      </c>
      <c r="E304" s="21"/>
      <c r="F304" s="21">
        <f>C304*E304</f>
      </c>
    </row>
    <row r="305">
      <c r="A305" s="2"/>
      <c r="B305" s="10" t="s">
        <v>372</v>
      </c>
      <c r="C305" s="19"/>
      <c r="D305" s="19"/>
      <c r="E305" s="19"/>
      <c r="F305" s="19"/>
    </row>
    <row r="306">
      <c r="A306" s="3"/>
      <c r="B306" s="11" t="s">
        <v>14</v>
      </c>
      <c r="C306" s="20"/>
      <c r="D306" s="20"/>
      <c r="E306" s="20"/>
      <c r="F306" s="20"/>
    </row>
    <row r="307">
      <c r="A307" s="4" t="s">
        <v>373</v>
      </c>
      <c r="B307" s="12" t="s">
        <v>16</v>
      </c>
      <c r="C307" s="21"/>
      <c r="D307" s="21" t="s">
        <v>17</v>
      </c>
      <c r="E307" s="21"/>
      <c r="F307" s="21">
        <f>C307*E307</f>
      </c>
    </row>
    <row r="308">
      <c r="A308" s="4" t="s">
        <v>374</v>
      </c>
      <c r="B308" s="12" t="s">
        <v>19</v>
      </c>
      <c r="C308" s="21"/>
      <c r="D308" s="21" t="s">
        <v>17</v>
      </c>
      <c r="E308" s="21"/>
      <c r="F308" s="21">
        <f>C308*E308</f>
      </c>
    </row>
    <row r="309">
      <c r="A309" s="3"/>
      <c r="B309" s="11" t="s">
        <v>98</v>
      </c>
      <c r="C309" s="20"/>
      <c r="D309" s="20"/>
      <c r="E309" s="20"/>
      <c r="F309" s="20"/>
    </row>
    <row r="310">
      <c r="A310" s="4"/>
      <c r="B310" s="12" t="s">
        <v>375</v>
      </c>
      <c r="C310" s="21"/>
      <c r="D310" s="21" t="s">
        <v>17</v>
      </c>
      <c r="E310" s="21"/>
      <c r="F310" s="21">
        <f>C310*E310</f>
      </c>
    </row>
    <row r="311">
      <c r="A311" s="4"/>
      <c r="B311" s="12" t="s">
        <v>230</v>
      </c>
      <c r="C311" s="21"/>
      <c r="D311" s="21" t="s">
        <v>17</v>
      </c>
      <c r="E311" s="21"/>
      <c r="F311" s="21">
        <f>C311*E311</f>
      </c>
    </row>
    <row r="312">
      <c r="A312" s="3"/>
      <c r="B312" s="11" t="s">
        <v>24</v>
      </c>
      <c r="C312" s="20"/>
      <c r="D312" s="20"/>
      <c r="E312" s="20"/>
      <c r="F312" s="20"/>
    </row>
    <row r="313">
      <c r="A313" s="5"/>
      <c r="B313" s="13" t="s">
        <v>25</v>
      </c>
      <c r="C313" s="22"/>
      <c r="D313" s="22"/>
      <c r="E313" s="22"/>
      <c r="F313" s="22"/>
    </row>
    <row r="314">
      <c r="A314" s="4" t="s">
        <v>376</v>
      </c>
      <c r="B314" s="14" t="s">
        <v>377</v>
      </c>
      <c r="C314" s="21"/>
      <c r="D314" s="21" t="s">
        <v>17</v>
      </c>
      <c r="E314" s="21"/>
      <c r="F314" s="21">
        <f>C314*E314</f>
      </c>
    </row>
    <row r="315">
      <c r="A315" s="4" t="s">
        <v>378</v>
      </c>
      <c r="B315" s="14" t="s">
        <v>379</v>
      </c>
      <c r="C315" s="21"/>
      <c r="D315" s="21" t="s">
        <v>17</v>
      </c>
      <c r="E315" s="21"/>
      <c r="F315" s="21">
        <f>C315*E315</f>
      </c>
    </row>
    <row r="316">
      <c r="A316" s="4" t="s">
        <v>380</v>
      </c>
      <c r="B316" s="14" t="s">
        <v>381</v>
      </c>
      <c r="C316" s="21"/>
      <c r="D316" s="21" t="s">
        <v>17</v>
      </c>
      <c r="E316" s="21"/>
      <c r="F316" s="21">
        <f>C316*E316</f>
      </c>
    </row>
    <row r="317">
      <c r="A317" s="4" t="s">
        <v>382</v>
      </c>
      <c r="B317" s="14" t="s">
        <v>383</v>
      </c>
      <c r="C317" s="21"/>
      <c r="D317" s="21" t="s">
        <v>17</v>
      </c>
      <c r="E317" s="21"/>
      <c r="F317" s="21">
        <f>C317*E317</f>
      </c>
    </row>
    <row r="318">
      <c r="A318" s="4" t="s">
        <v>384</v>
      </c>
      <c r="B318" s="14" t="s">
        <v>385</v>
      </c>
      <c r="C318" s="21"/>
      <c r="D318" s="21" t="s">
        <v>17</v>
      </c>
      <c r="E318" s="21"/>
      <c r="F318" s="21">
        <f>C318*E318</f>
      </c>
    </row>
    <row r="319">
      <c r="A319" s="4" t="s">
        <v>386</v>
      </c>
      <c r="B319" s="14" t="s">
        <v>387</v>
      </c>
      <c r="C319" s="21"/>
      <c r="D319" s="21" t="s">
        <v>17</v>
      </c>
      <c r="E319" s="21"/>
      <c r="F319" s="21">
        <f>C319*E319</f>
      </c>
    </row>
    <row r="320">
      <c r="A320" s="4" t="s">
        <v>388</v>
      </c>
      <c r="B320" s="14" t="s">
        <v>389</v>
      </c>
      <c r="C320" s="21"/>
      <c r="D320" s="21" t="s">
        <v>17</v>
      </c>
      <c r="E320" s="21"/>
      <c r="F320" s="21">
        <f>C320*E320</f>
      </c>
    </row>
    <row r="321">
      <c r="A321" s="4" t="s">
        <v>390</v>
      </c>
      <c r="B321" s="14" t="s">
        <v>391</v>
      </c>
      <c r="C321" s="21"/>
      <c r="D321" s="21" t="s">
        <v>17</v>
      </c>
      <c r="E321" s="21"/>
      <c r="F321" s="21">
        <f>C321*E321</f>
      </c>
    </row>
    <row r="322">
      <c r="A322" s="4" t="s">
        <v>392</v>
      </c>
      <c r="B322" s="14" t="s">
        <v>393</v>
      </c>
      <c r="C322" s="21"/>
      <c r="D322" s="21" t="s">
        <v>17</v>
      </c>
      <c r="E322" s="21"/>
      <c r="F322" s="21">
        <f>C322*E322</f>
      </c>
    </row>
    <row r="323">
      <c r="A323" s="4" t="s">
        <v>394</v>
      </c>
      <c r="B323" s="14" t="s">
        <v>194</v>
      </c>
      <c r="C323" s="21"/>
      <c r="D323" s="21" t="s">
        <v>17</v>
      </c>
      <c r="E323" s="21"/>
      <c r="F323" s="21">
        <f>C323*E323</f>
      </c>
    </row>
    <row r="324">
      <c r="A324" s="3"/>
      <c r="B324" s="11" t="s">
        <v>42</v>
      </c>
      <c r="C324" s="20"/>
      <c r="D324" s="20"/>
      <c r="E324" s="20"/>
      <c r="F324" s="20"/>
    </row>
    <row r="325">
      <c r="A325" s="4" t="s">
        <v>395</v>
      </c>
      <c r="B325" s="12" t="s">
        <v>59</v>
      </c>
      <c r="C325" s="21">
        <f>(1)*(1)*(1)*(1)*(1 + (0))</f>
      </c>
      <c r="D325" s="21" t="s">
        <v>45</v>
      </c>
      <c r="E325" s="21"/>
      <c r="F325" s="21">
        <f>C325*E325</f>
      </c>
    </row>
    <row r="326">
      <c r="A326" s="4" t="s">
        <v>396</v>
      </c>
      <c r="B326" s="12" t="s">
        <v>61</v>
      </c>
      <c r="C326" s="21">
        <f>(1)*(1)*(1)*(1)*(1 + (0))</f>
      </c>
      <c r="D326" s="21" t="s">
        <v>45</v>
      </c>
      <c r="E326" s="21"/>
      <c r="F326" s="21">
        <f>C326*E326</f>
      </c>
    </row>
    <row r="327">
      <c r="A327" s="4" t="s">
        <v>397</v>
      </c>
      <c r="B327" s="12" t="s">
        <v>132</v>
      </c>
      <c r="C327" s="21">
        <f>(1)*(1)*(1)*(1)*(1 + (0))</f>
      </c>
      <c r="D327" s="21" t="s">
        <v>45</v>
      </c>
      <c r="E327" s="21"/>
      <c r="F327" s="21">
        <f>C327*E327</f>
      </c>
    </row>
    <row r="328">
      <c r="A328" s="4" t="s">
        <v>398</v>
      </c>
      <c r="B328" s="12" t="s">
        <v>399</v>
      </c>
      <c r="C328" s="21">
        <f>(1)*(1)*(1)*(1)*(1 + (0))</f>
      </c>
      <c r="D328" s="21" t="s">
        <v>45</v>
      </c>
      <c r="E328" s="21"/>
      <c r="F328" s="21">
        <f>C328*E328</f>
      </c>
    </row>
    <row r="329">
      <c r="A329" s="4" t="s">
        <v>400</v>
      </c>
      <c r="B329" s="12" t="s">
        <v>401</v>
      </c>
      <c r="C329" s="21">
        <f>(1)*(1)*(1)*(1)*(1 + (0))</f>
      </c>
      <c r="D329" s="21" t="s">
        <v>45</v>
      </c>
      <c r="E329" s="21"/>
      <c r="F329" s="21">
        <f>C329*E329</f>
      </c>
    </row>
    <row r="330">
      <c r="A330" s="3"/>
      <c r="B330" s="11" t="s">
        <v>82</v>
      </c>
      <c r="C330" s="20"/>
      <c r="D330" s="20"/>
      <c r="E330" s="20"/>
      <c r="F330" s="20"/>
    </row>
    <row r="331">
      <c r="A331" s="4"/>
      <c r="B331" s="12" t="s">
        <v>402</v>
      </c>
      <c r="C331" s="21"/>
      <c r="D331" s="21" t="s">
        <v>17</v>
      </c>
      <c r="E331" s="21"/>
      <c r="F331" s="21">
        <f>C331*E331</f>
      </c>
    </row>
    <row r="332">
      <c r="A332" s="4"/>
      <c r="B332" s="12" t="s">
        <v>403</v>
      </c>
      <c r="C332" s="21"/>
      <c r="D332" s="21" t="s">
        <v>17</v>
      </c>
      <c r="E332" s="21"/>
      <c r="F332" s="21">
        <f>C332*E332</f>
      </c>
    </row>
    <row r="333">
      <c r="A333" s="4"/>
      <c r="B333" s="12" t="s">
        <v>404</v>
      </c>
      <c r="C333" s="21"/>
      <c r="D333" s="21" t="s">
        <v>264</v>
      </c>
      <c r="E333" s="21"/>
      <c r="F333" s="21">
        <f>C333*E333</f>
      </c>
    </row>
    <row r="334">
      <c r="A334" s="3"/>
      <c r="B334" s="11" t="s">
        <v>405</v>
      </c>
      <c r="C334" s="20"/>
      <c r="D334" s="20"/>
      <c r="E334" s="20"/>
      <c r="F334" s="20"/>
    </row>
    <row r="335">
      <c r="A335" s="5"/>
      <c r="B335" s="13" t="s">
        <v>406</v>
      </c>
      <c r="C335" s="22"/>
      <c r="D335" s="22"/>
      <c r="E335" s="22"/>
      <c r="F335" s="22"/>
    </row>
    <row r="336">
      <c r="A336" s="6"/>
      <c r="B336" s="15" t="s">
        <v>318</v>
      </c>
      <c r="C336" s="23"/>
      <c r="D336" s="23"/>
      <c r="E336" s="23"/>
      <c r="F336" s="23"/>
    </row>
    <row r="337">
      <c r="A337" s="4"/>
      <c r="B337" s="16" t="s">
        <v>407</v>
      </c>
      <c r="C337" s="21">
        <f>(8)*(1)*(1)*(1)*(1 + (0))</f>
      </c>
      <c r="D337" s="21" t="s">
        <v>9</v>
      </c>
      <c r="E337" s="21"/>
      <c r="F337" s="21">
        <f>C337*E337</f>
      </c>
    </row>
    <row r="338">
      <c r="A338" s="3"/>
      <c r="B338" s="11" t="s">
        <v>408</v>
      </c>
      <c r="C338" s="20"/>
      <c r="D338" s="20"/>
      <c r="E338" s="20"/>
      <c r="F338" s="20"/>
    </row>
    <row r="339">
      <c r="A339" s="5"/>
      <c r="B339" s="13" t="s">
        <v>409</v>
      </c>
      <c r="C339" s="22"/>
      <c r="D339" s="22"/>
      <c r="E339" s="22"/>
      <c r="F339" s="22"/>
    </row>
    <row r="340">
      <c r="A340" s="6"/>
      <c r="B340" s="15" t="s">
        <v>297</v>
      </c>
      <c r="C340" s="23"/>
      <c r="D340" s="23"/>
      <c r="E340" s="23"/>
      <c r="F340" s="23"/>
    </row>
    <row r="341">
      <c r="A341" s="4"/>
      <c r="B341" s="16" t="s">
        <v>410</v>
      </c>
      <c r="C341" s="21">
        <f>(21)*(1)*(1)*(1)*(1 + (0))</f>
      </c>
      <c r="D341" s="21" t="s">
        <v>9</v>
      </c>
      <c r="E341" s="21"/>
      <c r="F341" s="21">
        <f>C341*E341</f>
      </c>
    </row>
    <row r="342">
      <c r="A342" s="4"/>
      <c r="B342" s="16" t="s">
        <v>411</v>
      </c>
      <c r="C342" s="21">
        <f>(127)*(1)*(1)*(1)*(1 + (0))</f>
      </c>
      <c r="D342" s="21" t="s">
        <v>9</v>
      </c>
      <c r="E342" s="21"/>
      <c r="F342" s="21">
        <f>C342*E342</f>
      </c>
    </row>
    <row r="343">
      <c r="A343" s="5"/>
      <c r="B343" s="13" t="s">
        <v>406</v>
      </c>
      <c r="C343" s="22"/>
      <c r="D343" s="22"/>
      <c r="E343" s="22"/>
      <c r="F343" s="22"/>
    </row>
    <row r="344">
      <c r="A344" s="6"/>
      <c r="B344" s="15" t="s">
        <v>297</v>
      </c>
      <c r="C344" s="23"/>
      <c r="D344" s="23"/>
      <c r="E344" s="23"/>
      <c r="F344" s="23"/>
    </row>
    <row r="345">
      <c r="A345" s="4"/>
      <c r="B345" s="16" t="s">
        <v>412</v>
      </c>
      <c r="C345" s="21">
        <f>(17)*(1)*(1)*(1)*(1 + (0))</f>
      </c>
      <c r="D345" s="21" t="s">
        <v>9</v>
      </c>
      <c r="E345" s="21"/>
      <c r="F345" s="21">
        <f>C345*E345</f>
      </c>
    </row>
    <row r="346">
      <c r="A346" s="4"/>
      <c r="B346" s="16" t="s">
        <v>413</v>
      </c>
      <c r="C346" s="21">
        <f>(17)*(1)*(1)*(1)*(1 + (0))</f>
      </c>
      <c r="D346" s="21" t="s">
        <v>167</v>
      </c>
      <c r="E346" s="21"/>
      <c r="F346" s="21">
        <f>C346*E346</f>
      </c>
    </row>
    <row r="347">
      <c r="A347" s="6"/>
      <c r="B347" s="15" t="s">
        <v>318</v>
      </c>
      <c r="C347" s="23"/>
      <c r="D347" s="23"/>
      <c r="E347" s="23"/>
      <c r="F347" s="23"/>
    </row>
    <row r="348">
      <c r="A348" s="4"/>
      <c r="B348" s="16" t="s">
        <v>414</v>
      </c>
      <c r="C348" s="21">
        <f>(797)*(1)*(1)*(1)*(1 + (0))</f>
      </c>
      <c r="D348" s="21" t="s">
        <v>9</v>
      </c>
      <c r="E348" s="21"/>
      <c r="F348" s="21">
        <f>C348*E348</f>
      </c>
    </row>
    <row r="349">
      <c r="A349" s="4"/>
      <c r="B349" s="16" t="s">
        <v>413</v>
      </c>
      <c r="C349" s="21">
        <f>(175)*(1)*(1)*(1)*(1 + (0))</f>
      </c>
      <c r="D349" s="21" t="s">
        <v>167</v>
      </c>
      <c r="E349" s="21"/>
      <c r="F349" s="21">
        <f>C349*E349</f>
      </c>
    </row>
    <row r="350">
      <c r="A350" s="4"/>
      <c r="B350" s="16" t="s">
        <v>415</v>
      </c>
      <c r="C350" s="21">
        <f>(93)*(1)*(1)*(1)*(1 + (0))</f>
      </c>
      <c r="D350" s="21" t="s">
        <v>167</v>
      </c>
      <c r="E350" s="21"/>
      <c r="F350" s="21">
        <f>C350*E350</f>
      </c>
    </row>
    <row r="351">
      <c r="A351" s="4"/>
      <c r="B351" s="16" t="s">
        <v>416</v>
      </c>
      <c r="C351" s="21">
        <f>(45)*(1)*(1)*(1)*(1 + (0))</f>
      </c>
      <c r="D351" s="21" t="s">
        <v>167</v>
      </c>
      <c r="E351" s="21"/>
      <c r="F351" s="21">
        <f>C351*E351</f>
      </c>
    </row>
    <row r="352">
      <c r="A352" s="5"/>
      <c r="B352" s="13" t="s">
        <v>417</v>
      </c>
      <c r="C352" s="22"/>
      <c r="D352" s="22"/>
      <c r="E352" s="22"/>
      <c r="F352" s="22"/>
    </row>
    <row r="353">
      <c r="A353" s="6"/>
      <c r="B353" s="15" t="s">
        <v>325</v>
      </c>
      <c r="C353" s="23"/>
      <c r="D353" s="23"/>
      <c r="E353" s="23"/>
      <c r="F353" s="23"/>
    </row>
    <row r="354">
      <c r="A354" s="4"/>
      <c r="B354" s="16" t="s">
        <v>418</v>
      </c>
      <c r="C354" s="21">
        <f>(5)*(1)*(1)*(1)*(1 + (0))</f>
      </c>
      <c r="D354" s="21" t="s">
        <v>9</v>
      </c>
      <c r="E354" s="21"/>
      <c r="F354" s="21">
        <f>C354*E354</f>
      </c>
    </row>
    <row r="355">
      <c r="A355" s="4"/>
      <c r="B355" s="16" t="s">
        <v>419</v>
      </c>
      <c r="C355" s="21">
        <f>(9)*(1)*(1)*(1)*(1 + (0))</f>
      </c>
      <c r="D355" s="21" t="s">
        <v>167</v>
      </c>
      <c r="E355" s="21"/>
      <c r="F355" s="21">
        <f>C355*E355</f>
      </c>
    </row>
    <row r="356">
      <c r="A356" s="5"/>
      <c r="B356" s="13" t="s">
        <v>420</v>
      </c>
      <c r="C356" s="22"/>
      <c r="D356" s="22"/>
      <c r="E356" s="22"/>
      <c r="F356" s="22"/>
    </row>
    <row r="357">
      <c r="A357" s="6"/>
      <c r="B357" s="15" t="s">
        <v>297</v>
      </c>
      <c r="C357" s="23"/>
      <c r="D357" s="23"/>
      <c r="E357" s="23"/>
      <c r="F357" s="23"/>
    </row>
    <row r="358">
      <c r="A358" s="4"/>
      <c r="B358" s="16" t="s">
        <v>421</v>
      </c>
      <c r="C358" s="21">
        <f>(22)*(1)*(1)*(1)*(1 + (0))</f>
      </c>
      <c r="D358" s="21" t="s">
        <v>9</v>
      </c>
      <c r="E358" s="21"/>
      <c r="F358" s="21">
        <f>C358*E358</f>
      </c>
    </row>
    <row r="359">
      <c r="A359" s="4"/>
      <c r="B359" s="16" t="s">
        <v>422</v>
      </c>
      <c r="C359" s="21">
        <f>(164)*(1)*(1)*(1)*(1 + (0))</f>
      </c>
      <c r="D359" s="21" t="s">
        <v>167</v>
      </c>
      <c r="E359" s="21"/>
      <c r="F359" s="21">
        <f>C359*E359</f>
      </c>
    </row>
    <row r="360">
      <c r="A360" s="4"/>
      <c r="B360" s="16" t="s">
        <v>423</v>
      </c>
      <c r="C360" s="21">
        <f>(142)*(1)*(1)*(1)*(1 + (0))</f>
      </c>
      <c r="D360" s="21" t="s">
        <v>167</v>
      </c>
      <c r="E360" s="21"/>
      <c r="F360" s="21">
        <f>C360*E360</f>
      </c>
    </row>
    <row r="361">
      <c r="A361" s="6"/>
      <c r="B361" s="15" t="s">
        <v>318</v>
      </c>
      <c r="C361" s="23"/>
      <c r="D361" s="23"/>
      <c r="E361" s="23"/>
      <c r="F361" s="23"/>
    </row>
    <row r="362">
      <c r="A362" s="4"/>
      <c r="B362" s="16" t="s">
        <v>424</v>
      </c>
      <c r="C362" s="21">
        <f>(28)*(1)*(1)*(1)*(1 + (0))</f>
      </c>
      <c r="D362" s="21" t="s">
        <v>167</v>
      </c>
      <c r="E362" s="21"/>
      <c r="F362" s="21">
        <f>C362*E362</f>
      </c>
    </row>
    <row r="363">
      <c r="A363" s="4"/>
      <c r="B363" s="16" t="s">
        <v>425</v>
      </c>
      <c r="C363" s="21">
        <f>(17)*(1)*(1)*(1)*(1 + (0))</f>
      </c>
      <c r="D363" s="21" t="s">
        <v>9</v>
      </c>
      <c r="E363" s="21"/>
      <c r="F363" s="21">
        <f>C363*E363</f>
      </c>
    </row>
    <row r="364">
      <c r="A364" s="5"/>
      <c r="B364" s="13" t="s">
        <v>426</v>
      </c>
      <c r="C364" s="22"/>
      <c r="D364" s="22"/>
      <c r="E364" s="22"/>
      <c r="F364" s="22"/>
    </row>
    <row r="365">
      <c r="A365" s="6"/>
      <c r="B365" s="15" t="s">
        <v>335</v>
      </c>
      <c r="C365" s="23"/>
      <c r="D365" s="23"/>
      <c r="E365" s="23"/>
      <c r="F365" s="23"/>
    </row>
    <row r="366">
      <c r="A366" s="4"/>
      <c r="B366" s="16" t="s">
        <v>427</v>
      </c>
      <c r="C366" s="21">
        <f>(14)*(1)*(1)*(1)*(1 + (0))</f>
      </c>
      <c r="D366" s="21" t="s">
        <v>9</v>
      </c>
      <c r="E366" s="21"/>
      <c r="F366" s="21">
        <f>C366*E366</f>
      </c>
    </row>
    <row r="367">
      <c r="A367" s="4"/>
      <c r="B367" s="16" t="s">
        <v>428</v>
      </c>
      <c r="C367" s="21">
        <f>(14)*(1)*(1)*(1)*(1 + (0))</f>
      </c>
      <c r="D367" s="21" t="s">
        <v>167</v>
      </c>
      <c r="E367" s="21"/>
      <c r="F367" s="21">
        <f>C367*E367</f>
      </c>
    </row>
    <row r="368">
      <c r="A368" s="4"/>
      <c r="B368" s="16" t="s">
        <v>429</v>
      </c>
      <c r="C368" s="21">
        <f>(38)*(1)*(1)*(1)*(1 + (0))</f>
      </c>
      <c r="D368" s="21" t="s">
        <v>167</v>
      </c>
      <c r="E368" s="21"/>
      <c r="F368" s="21">
        <f>C368*E368</f>
      </c>
    </row>
    <row r="369">
      <c r="A369" s="4"/>
      <c r="B369" s="16" t="s">
        <v>430</v>
      </c>
      <c r="C369" s="21">
        <f>(10)*(1)*(1)*(1)*(1 + (0))</f>
      </c>
      <c r="D369" s="21" t="s">
        <v>9</v>
      </c>
      <c r="E369" s="21"/>
      <c r="F369" s="21">
        <f>C369*E369</f>
      </c>
    </row>
    <row r="370">
      <c r="A370" s="4"/>
      <c r="B370" s="16" t="s">
        <v>431</v>
      </c>
      <c r="C370" s="21">
        <f>(18)*(1)*(1)*(1)*(1 + (0))</f>
      </c>
      <c r="D370" s="21" t="s">
        <v>167</v>
      </c>
      <c r="E370" s="21"/>
      <c r="F370" s="21">
        <f>C370*E370</f>
      </c>
    </row>
    <row r="371">
      <c r="A371" s="6"/>
      <c r="B371" s="15" t="s">
        <v>336</v>
      </c>
      <c r="C371" s="23"/>
      <c r="D371" s="23"/>
      <c r="E371" s="23"/>
      <c r="F371" s="23"/>
    </row>
    <row r="372">
      <c r="A372" s="4"/>
      <c r="B372" s="16" t="s">
        <v>427</v>
      </c>
      <c r="C372" s="21">
        <f>(9)*(1)*(1)*(1)*(1 + (0))</f>
      </c>
      <c r="D372" s="21" t="s">
        <v>9</v>
      </c>
      <c r="E372" s="21"/>
      <c r="F372" s="21">
        <f>C372*E372</f>
      </c>
    </row>
    <row r="373">
      <c r="A373" s="4"/>
      <c r="B373" s="16" t="s">
        <v>428</v>
      </c>
      <c r="C373" s="21">
        <f>(15)*(1)*(1)*(1)*(1 + (0))</f>
      </c>
      <c r="D373" s="21" t="s">
        <v>167</v>
      </c>
      <c r="E373" s="21"/>
      <c r="F373" s="21">
        <f>C373*E373</f>
      </c>
    </row>
    <row r="374">
      <c r="A374" s="4"/>
      <c r="B374" s="16" t="s">
        <v>429</v>
      </c>
      <c r="C374" s="21">
        <f>(24)*(1)*(1)*(1)*(1 + (0))</f>
      </c>
      <c r="D374" s="21" t="s">
        <v>167</v>
      </c>
      <c r="E374" s="21"/>
      <c r="F374" s="21">
        <f>C374*E374</f>
      </c>
    </row>
    <row r="375">
      <c r="A375" s="4"/>
      <c r="B375" s="16" t="s">
        <v>430</v>
      </c>
      <c r="C375" s="21">
        <f>(4)*(1)*(1)*(1)*(1 + (0))</f>
      </c>
      <c r="D375" s="21" t="s">
        <v>9</v>
      </c>
      <c r="E375" s="21"/>
      <c r="F375" s="21">
        <f>C375*E375</f>
      </c>
    </row>
    <row r="376">
      <c r="A376" s="4"/>
      <c r="B376" s="16" t="s">
        <v>431</v>
      </c>
      <c r="C376" s="21">
        <f>(9)*(1)*(1)*(1)*(1 + (0))</f>
      </c>
      <c r="D376" s="21" t="s">
        <v>167</v>
      </c>
      <c r="E376" s="21"/>
      <c r="F376" s="21">
        <f>C376*E376</f>
      </c>
    </row>
    <row r="377">
      <c r="A377" s="6"/>
      <c r="B377" s="15" t="s">
        <v>337</v>
      </c>
      <c r="C377" s="23"/>
      <c r="D377" s="23"/>
      <c r="E377" s="23"/>
      <c r="F377" s="23"/>
    </row>
    <row r="378">
      <c r="A378" s="4"/>
      <c r="B378" s="16" t="s">
        <v>428</v>
      </c>
      <c r="C378" s="21">
        <f>(8)*(1)*(1)*(1)*(1 + (0))</f>
      </c>
      <c r="D378" s="21" t="s">
        <v>167</v>
      </c>
      <c r="E378" s="21"/>
      <c r="F378" s="21">
        <f>C378*E378</f>
      </c>
    </row>
    <row r="379">
      <c r="A379" s="4"/>
      <c r="B379" s="16" t="s">
        <v>429</v>
      </c>
      <c r="C379" s="21">
        <f>(20)*(1)*(1)*(1)*(1 + (0))</f>
      </c>
      <c r="D379" s="21" t="s">
        <v>167</v>
      </c>
      <c r="E379" s="21"/>
      <c r="F379" s="21">
        <f>C379*E379</f>
      </c>
    </row>
    <row r="380">
      <c r="A380" s="6"/>
      <c r="B380" s="15" t="s">
        <v>338</v>
      </c>
      <c r="C380" s="23"/>
      <c r="D380" s="23"/>
      <c r="E380" s="23"/>
      <c r="F380" s="23"/>
    </row>
    <row r="381">
      <c r="A381" s="4"/>
      <c r="B381" s="16" t="s">
        <v>428</v>
      </c>
      <c r="C381" s="21">
        <f>(8)*(1)*(1)*(1)*(1 + (0))</f>
      </c>
      <c r="D381" s="21" t="s">
        <v>167</v>
      </c>
      <c r="E381" s="21"/>
      <c r="F381" s="21">
        <f>C381*E381</f>
      </c>
    </row>
    <row r="382">
      <c r="A382" s="4"/>
      <c r="B382" s="16" t="s">
        <v>429</v>
      </c>
      <c r="C382" s="21">
        <f>(22)*(1)*(1)*(1)*(1 + (0))</f>
      </c>
      <c r="D382" s="21" t="s">
        <v>167</v>
      </c>
      <c r="E382" s="21"/>
      <c r="F382" s="21">
        <f>C382*E382</f>
      </c>
    </row>
    <row r="383">
      <c r="A383" s="6"/>
      <c r="B383" s="15" t="s">
        <v>339</v>
      </c>
      <c r="C383" s="23"/>
      <c r="D383" s="23"/>
      <c r="E383" s="23"/>
      <c r="F383" s="23"/>
    </row>
    <row r="384">
      <c r="A384" s="4"/>
      <c r="B384" s="16" t="s">
        <v>428</v>
      </c>
      <c r="C384" s="21">
        <f>(7)*(1)*(1)*(1)*(1 + (0))</f>
      </c>
      <c r="D384" s="21" t="s">
        <v>167</v>
      </c>
      <c r="E384" s="21"/>
      <c r="F384" s="21">
        <f>C384*E384</f>
      </c>
    </row>
    <row r="385">
      <c r="A385" s="4"/>
      <c r="B385" s="16" t="s">
        <v>429</v>
      </c>
      <c r="C385" s="21">
        <f>(18)*(1)*(1)*(1)*(1 + (0))</f>
      </c>
      <c r="D385" s="21" t="s">
        <v>167</v>
      </c>
      <c r="E385" s="21"/>
      <c r="F385" s="21">
        <f>C385*E385</f>
      </c>
    </row>
    <row r="386">
      <c r="A386" s="6"/>
      <c r="B386" s="15" t="s">
        <v>340</v>
      </c>
      <c r="C386" s="23"/>
      <c r="D386" s="23"/>
      <c r="E386" s="23"/>
      <c r="F386" s="23"/>
    </row>
    <row r="387">
      <c r="A387" s="4"/>
      <c r="B387" s="16" t="s">
        <v>428</v>
      </c>
      <c r="C387" s="21">
        <f>(6)*(1)*(1)*(1)*(1 + (0))</f>
      </c>
      <c r="D387" s="21" t="s">
        <v>167</v>
      </c>
      <c r="E387" s="21"/>
      <c r="F387" s="21">
        <f>C387*E387</f>
      </c>
    </row>
    <row r="388">
      <c r="A388" s="4"/>
      <c r="B388" s="16" t="s">
        <v>429</v>
      </c>
      <c r="C388" s="21">
        <f>(16)*(1)*(1)*(1)*(1 + (0))</f>
      </c>
      <c r="D388" s="21" t="s">
        <v>167</v>
      </c>
      <c r="E388" s="21"/>
      <c r="F388" s="21">
        <f>C388*E388</f>
      </c>
    </row>
    <row r="389">
      <c r="A389" s="3"/>
      <c r="B389" s="11" t="s">
        <v>432</v>
      </c>
      <c r="C389" s="20"/>
      <c r="D389" s="20"/>
      <c r="E389" s="20"/>
      <c r="F389" s="20"/>
    </row>
    <row r="390">
      <c r="A390" s="5"/>
      <c r="B390" s="13" t="s">
        <v>433</v>
      </c>
      <c r="C390" s="22"/>
      <c r="D390" s="22"/>
      <c r="E390" s="22"/>
      <c r="F390" s="22"/>
    </row>
    <row r="391">
      <c r="A391" s="6"/>
      <c r="B391" s="15" t="s">
        <v>270</v>
      </c>
      <c r="C391" s="23"/>
      <c r="D391" s="23"/>
      <c r="E391" s="23"/>
      <c r="F391" s="23"/>
    </row>
    <row r="392">
      <c r="A392" s="4"/>
      <c r="B392" s="16" t="s">
        <v>434</v>
      </c>
      <c r="C392" s="21">
        <f>(19)*(1)*(1)*(1)*(1 + (0))</f>
      </c>
      <c r="D392" s="21" t="s">
        <v>9</v>
      </c>
      <c r="E392" s="21"/>
      <c r="F392" s="21">
        <f>C392*E392</f>
      </c>
    </row>
    <row r="393">
      <c r="A393" s="4"/>
      <c r="B393" s="16" t="s">
        <v>435</v>
      </c>
      <c r="C393" s="21">
        <f>(19)*(1)*(1)*(1)*(1 + (0))</f>
      </c>
      <c r="D393" s="21" t="s">
        <v>9</v>
      </c>
      <c r="E393" s="21"/>
      <c r="F393" s="21">
        <f>C393*E393</f>
      </c>
    </row>
    <row r="394">
      <c r="A394" s="4"/>
      <c r="B394" s="16" t="s">
        <v>436</v>
      </c>
      <c r="C394" s="21">
        <f>(55)*(1)*(1)*(1)*(1 + (0))</f>
      </c>
      <c r="D394" s="21" t="s">
        <v>9</v>
      </c>
      <c r="E394" s="21"/>
      <c r="F394" s="21">
        <f>C394*E394</f>
      </c>
    </row>
    <row r="395">
      <c r="A395" s="5"/>
      <c r="B395" s="13" t="s">
        <v>437</v>
      </c>
      <c r="C395" s="22"/>
      <c r="D395" s="22"/>
      <c r="E395" s="22"/>
      <c r="F395" s="22"/>
    </row>
    <row r="396">
      <c r="A396" s="6"/>
      <c r="B396" s="15" t="s">
        <v>270</v>
      </c>
      <c r="C396" s="23"/>
      <c r="D396" s="23"/>
      <c r="E396" s="23"/>
      <c r="F396" s="23"/>
    </row>
    <row r="397">
      <c r="A397" s="4"/>
      <c r="B397" s="16" t="s">
        <v>438</v>
      </c>
      <c r="C397" s="21">
        <f>(214)*(1)*(1)*(1)*(1 + (0))</f>
      </c>
      <c r="D397" s="21" t="s">
        <v>9</v>
      </c>
      <c r="E397" s="21"/>
      <c r="F397" s="21">
        <f>C397*E397</f>
      </c>
    </row>
    <row r="398">
      <c r="A398" s="4"/>
      <c r="B398" s="16" t="s">
        <v>439</v>
      </c>
      <c r="C398" s="21">
        <f>(227)*(1)*(1)*(1)*(1 + (0))</f>
      </c>
      <c r="D398" s="21" t="s">
        <v>9</v>
      </c>
      <c r="E398" s="21"/>
      <c r="F398" s="21">
        <f>C398*E398</f>
      </c>
    </row>
    <row r="399">
      <c r="A399" s="4"/>
      <c r="B399" s="16" t="s">
        <v>440</v>
      </c>
      <c r="C399" s="21">
        <f>(374)*(1)*(1)*(1)*(1 + (0))</f>
      </c>
      <c r="D399" s="21" t="s">
        <v>9</v>
      </c>
      <c r="E399" s="21"/>
      <c r="F399" s="21">
        <f>C399*E399</f>
      </c>
    </row>
    <row r="400">
      <c r="A400" s="4"/>
      <c r="B400" s="16" t="s">
        <v>441</v>
      </c>
      <c r="C400" s="21">
        <f>(42)*(1)*(1)*(1)*(1 + (0))</f>
      </c>
      <c r="D400" s="21" t="s">
        <v>9</v>
      </c>
      <c r="E400" s="21"/>
      <c r="F400" s="21">
        <f>C400*E400</f>
      </c>
    </row>
    <row r="401">
      <c r="A401" s="4"/>
      <c r="B401" s="16" t="s">
        <v>442</v>
      </c>
      <c r="C401" s="21">
        <f>(14)*(1)*(1)*(1)*(1 + (0))</f>
      </c>
      <c r="D401" s="21" t="s">
        <v>9</v>
      </c>
      <c r="E401" s="21"/>
      <c r="F401" s="21">
        <f>C401*E401</f>
      </c>
    </row>
    <row r="402">
      <c r="A402" s="5"/>
      <c r="B402" s="13" t="s">
        <v>443</v>
      </c>
      <c r="C402" s="22"/>
      <c r="D402" s="22"/>
      <c r="E402" s="22"/>
      <c r="F402" s="22"/>
    </row>
    <row r="403">
      <c r="A403" s="6"/>
      <c r="B403" s="15" t="s">
        <v>270</v>
      </c>
      <c r="C403" s="23"/>
      <c r="D403" s="23"/>
      <c r="E403" s="23"/>
      <c r="F403" s="23"/>
    </row>
    <row r="404">
      <c r="A404" s="4"/>
      <c r="B404" s="16" t="s">
        <v>444</v>
      </c>
      <c r="C404" s="21">
        <f>(38)*(1)*(1)*(1)*(1 + (0))</f>
      </c>
      <c r="D404" s="21" t="s">
        <v>9</v>
      </c>
      <c r="E404" s="21"/>
      <c r="F404" s="21">
        <f>C404*E404</f>
      </c>
    </row>
    <row r="405">
      <c r="A405" s="4"/>
      <c r="B405" s="16" t="s">
        <v>445</v>
      </c>
      <c r="C405" s="21">
        <f>(16)*(1)*(1)*(1)*(1 + (0))</f>
      </c>
      <c r="D405" s="21" t="s">
        <v>9</v>
      </c>
      <c r="E405" s="21"/>
      <c r="F405" s="21">
        <f>C405*E405</f>
      </c>
    </row>
    <row r="406">
      <c r="A406" s="4"/>
      <c r="B406" s="16" t="s">
        <v>446</v>
      </c>
      <c r="C406" s="21">
        <f>(14)*(1)*(1)*(1)*(1 + (0))</f>
      </c>
      <c r="D406" s="21" t="s">
        <v>9</v>
      </c>
      <c r="E406" s="21"/>
      <c r="F406" s="21">
        <f>C406*E406</f>
      </c>
    </row>
    <row r="407">
      <c r="A407" s="4"/>
      <c r="B407" s="16" t="s">
        <v>447</v>
      </c>
      <c r="C407" s="21">
        <f>(14)*(1)*(1)*(1)*(1 + (0))</f>
      </c>
      <c r="D407" s="21" t="s">
        <v>9</v>
      </c>
      <c r="E407" s="21"/>
      <c r="F407" s="21">
        <f>C407*E407</f>
      </c>
    </row>
    <row r="408">
      <c r="A408" s="4"/>
      <c r="B408" s="16" t="s">
        <v>448</v>
      </c>
      <c r="C408" s="21">
        <f>(7)*(1)*(1)*(1)*(1 + (0))</f>
      </c>
      <c r="D408" s="21" t="s">
        <v>9</v>
      </c>
      <c r="E408" s="21"/>
      <c r="F408" s="21">
        <f>C408*E408</f>
      </c>
    </row>
    <row r="409">
      <c r="A409" s="4"/>
      <c r="B409" s="16" t="s">
        <v>449</v>
      </c>
      <c r="C409" s="21">
        <f>(31)*(1)*(1)*(1)*(1 + (0))</f>
      </c>
      <c r="D409" s="21" t="s">
        <v>9</v>
      </c>
      <c r="E409" s="21"/>
      <c r="F409" s="21">
        <f>C409*E409</f>
      </c>
    </row>
    <row r="410">
      <c r="A410" s="4"/>
      <c r="B410" s="16" t="s">
        <v>450</v>
      </c>
      <c r="C410" s="21">
        <f>(38)*(1)*(1)*(1)*(1 + (0))</f>
      </c>
      <c r="D410" s="21" t="s">
        <v>9</v>
      </c>
      <c r="E410" s="21"/>
      <c r="F410" s="21">
        <f>C410*E410</f>
      </c>
    </row>
    <row r="411">
      <c r="A411" s="4"/>
      <c r="B411" s="16" t="s">
        <v>451</v>
      </c>
      <c r="C411" s="21">
        <f>(41)*(1)*(1)*(1)*(1 + (0))</f>
      </c>
      <c r="D411" s="21" t="s">
        <v>9</v>
      </c>
      <c r="E411" s="21"/>
      <c r="F411" s="21">
        <f>C411*E411</f>
      </c>
    </row>
    <row r="412">
      <c r="A412" s="4"/>
      <c r="B412" s="16" t="s">
        <v>452</v>
      </c>
      <c r="C412" s="21">
        <f>(13)*(1)*(1)*(1)*(1 + (0))</f>
      </c>
      <c r="D412" s="21" t="s">
        <v>9</v>
      </c>
      <c r="E412" s="21"/>
      <c r="F412" s="21">
        <f>C412*E412</f>
      </c>
    </row>
    <row r="413">
      <c r="A413" s="4"/>
      <c r="B413" s="16" t="s">
        <v>453</v>
      </c>
      <c r="C413" s="21">
        <f>(17)*(1)*(1)*(1)*(1 + (0))</f>
      </c>
      <c r="D413" s="21" t="s">
        <v>9</v>
      </c>
      <c r="E413" s="21"/>
      <c r="F413" s="21">
        <f>C413*E413</f>
      </c>
    </row>
    <row r="414">
      <c r="A414" s="4"/>
      <c r="B414" s="16" t="s">
        <v>454</v>
      </c>
      <c r="C414" s="21">
        <f>(31)*(1)*(1)*(1)*(1 + (0))</f>
      </c>
      <c r="D414" s="21" t="s">
        <v>167</v>
      </c>
      <c r="E414" s="21"/>
      <c r="F414" s="21">
        <f>C414*E414</f>
      </c>
    </row>
    <row r="415">
      <c r="A415" s="4"/>
      <c r="B415" s="16" t="s">
        <v>455</v>
      </c>
      <c r="C415" s="21">
        <f>(2)*(1)*(1)*(1)*(1 + (0))</f>
      </c>
      <c r="D415" s="21" t="s">
        <v>9</v>
      </c>
      <c r="E415" s="21"/>
      <c r="F415" s="21">
        <f>C415*E415</f>
      </c>
    </row>
    <row r="416">
      <c r="A416" s="4"/>
      <c r="B416" s="16" t="s">
        <v>456</v>
      </c>
      <c r="C416" s="21">
        <f>(27)*(1)*(1)*(1)*(1 + (0))</f>
      </c>
      <c r="D416" s="21" t="s">
        <v>167</v>
      </c>
      <c r="E416" s="21"/>
      <c r="F416" s="21">
        <f>C416*E416</f>
      </c>
    </row>
    <row r="417">
      <c r="A417" s="5"/>
      <c r="B417" s="13" t="s">
        <v>457</v>
      </c>
      <c r="C417" s="22"/>
      <c r="D417" s="22"/>
      <c r="E417" s="22"/>
      <c r="F417" s="22"/>
    </row>
    <row r="418">
      <c r="A418" s="6"/>
      <c r="B418" s="15" t="s">
        <v>270</v>
      </c>
      <c r="C418" s="23"/>
      <c r="D418" s="23"/>
      <c r="E418" s="23"/>
      <c r="F418" s="23"/>
    </row>
    <row r="419">
      <c r="A419" s="4"/>
      <c r="B419" s="16" t="s">
        <v>458</v>
      </c>
      <c r="C419" s="21">
        <f>(6)*(1)*(1)*(1)*(1 + (0))</f>
      </c>
      <c r="D419" s="21" t="s">
        <v>9</v>
      </c>
      <c r="E419" s="21"/>
      <c r="F419" s="21">
        <f>C419*E419</f>
      </c>
    </row>
    <row r="420">
      <c r="A420" s="4"/>
      <c r="B420" s="16" t="s">
        <v>459</v>
      </c>
      <c r="C420" s="21">
        <f>(2)*(1)*(1)*(1)*(1 + (0))</f>
      </c>
      <c r="D420" s="21" t="s">
        <v>9</v>
      </c>
      <c r="E420" s="21"/>
      <c r="F420" s="21">
        <f>C420*E420</f>
      </c>
    </row>
    <row r="421">
      <c r="A421" s="5"/>
      <c r="B421" s="13" t="s">
        <v>460</v>
      </c>
      <c r="C421" s="22"/>
      <c r="D421" s="22"/>
      <c r="E421" s="22"/>
      <c r="F421" s="22"/>
    </row>
    <row r="422">
      <c r="A422" s="6"/>
      <c r="B422" s="15" t="s">
        <v>297</v>
      </c>
      <c r="C422" s="23"/>
      <c r="D422" s="23"/>
      <c r="E422" s="23"/>
      <c r="F422" s="23"/>
    </row>
    <row r="423">
      <c r="A423" s="4"/>
      <c r="B423" s="16" t="s">
        <v>461</v>
      </c>
      <c r="C423" s="21">
        <f>(651)*(1)*(1)*(1)*(1 + (0))</f>
      </c>
      <c r="D423" s="21" t="s">
        <v>167</v>
      </c>
      <c r="E423" s="21"/>
      <c r="F423" s="21">
        <f>C423*E423</f>
      </c>
    </row>
    <row r="424">
      <c r="A424" s="4"/>
      <c r="B424" s="16" t="s">
        <v>462</v>
      </c>
      <c r="C424" s="21">
        <f>(125)*(1)*(1)*(1)*(1 + (0))</f>
      </c>
      <c r="D424" s="21" t="s">
        <v>167</v>
      </c>
      <c r="E424" s="21"/>
      <c r="F424" s="21">
        <f>C424*E424</f>
      </c>
    </row>
    <row r="425">
      <c r="A425" s="4"/>
      <c r="B425" s="16" t="s">
        <v>463</v>
      </c>
      <c r="C425" s="21">
        <f>(36)*(1)*(1)*(1)*(1 + (0))</f>
      </c>
      <c r="D425" s="21" t="s">
        <v>9</v>
      </c>
      <c r="E425" s="21"/>
      <c r="F425" s="21">
        <f>C425*E425</f>
      </c>
    </row>
    <row r="426">
      <c r="A426" s="4"/>
      <c r="B426" s="16" t="s">
        <v>464</v>
      </c>
      <c r="C426" s="21">
        <f>(37)*(1)*(1)*(1)*(1 + (0))</f>
      </c>
      <c r="D426" s="21" t="s">
        <v>167</v>
      </c>
      <c r="E426" s="21"/>
      <c r="F426" s="21">
        <f>C426*E426</f>
      </c>
    </row>
    <row r="427">
      <c r="A427" s="4"/>
      <c r="B427" s="16" t="s">
        <v>465</v>
      </c>
      <c r="C427" s="21">
        <f>(1965)*(1)*(1)*(1)*(1 + (0))</f>
      </c>
      <c r="D427" s="21" t="s">
        <v>167</v>
      </c>
      <c r="E427" s="21"/>
      <c r="F427" s="21">
        <f>C427*E427</f>
      </c>
    </row>
    <row r="428">
      <c r="A428" s="4"/>
      <c r="B428" s="16" t="s">
        <v>466</v>
      </c>
      <c r="C428" s="21">
        <f>(241)*(1)*(1)*(1)*(1 + (0))</f>
      </c>
      <c r="D428" s="21" t="s">
        <v>167</v>
      </c>
      <c r="E428" s="21"/>
      <c r="F428" s="21">
        <f>C428*E428</f>
      </c>
    </row>
    <row r="429">
      <c r="A429" s="4"/>
      <c r="B429" s="16" t="s">
        <v>467</v>
      </c>
      <c r="C429" s="21">
        <f>(18)*(1)*(1)*(1)*(1 + (0))</f>
      </c>
      <c r="D429" s="21" t="s">
        <v>167</v>
      </c>
      <c r="E429" s="21"/>
      <c r="F429" s="21">
        <f>C429*E429</f>
      </c>
    </row>
    <row r="430">
      <c r="A430" s="2"/>
      <c r="B430" s="10" t="s">
        <v>468</v>
      </c>
      <c r="C430" s="19"/>
      <c r="D430" s="19"/>
      <c r="E430" s="19"/>
      <c r="F430" s="19"/>
    </row>
    <row r="431">
      <c r="A431" s="3"/>
      <c r="B431" s="11" t="s">
        <v>14</v>
      </c>
      <c r="C431" s="20"/>
      <c r="D431" s="20"/>
      <c r="E431" s="20"/>
      <c r="F431" s="20"/>
    </row>
    <row r="432">
      <c r="A432" s="4" t="s">
        <v>469</v>
      </c>
      <c r="B432" s="12" t="s">
        <v>16</v>
      </c>
      <c r="C432" s="21"/>
      <c r="D432" s="21" t="s">
        <v>17</v>
      </c>
      <c r="E432" s="21"/>
      <c r="F432" s="21">
        <f>C432*E432</f>
      </c>
    </row>
    <row r="433">
      <c r="A433" s="4" t="s">
        <v>470</v>
      </c>
      <c r="B433" s="12" t="s">
        <v>19</v>
      </c>
      <c r="C433" s="21"/>
      <c r="D433" s="21" t="s">
        <v>17</v>
      </c>
      <c r="E433" s="21"/>
      <c r="F433" s="21">
        <f>C433*E433</f>
      </c>
    </row>
    <row r="434">
      <c r="A434" s="3"/>
      <c r="B434" s="11" t="s">
        <v>98</v>
      </c>
      <c r="C434" s="20"/>
      <c r="D434" s="20"/>
      <c r="E434" s="20"/>
      <c r="F434" s="20"/>
    </row>
    <row r="435">
      <c r="A435" s="4"/>
      <c r="B435" s="12" t="s">
        <v>471</v>
      </c>
      <c r="C435" s="21"/>
      <c r="D435" s="21" t="s">
        <v>17</v>
      </c>
      <c r="E435" s="21"/>
      <c r="F435" s="21">
        <f>C435*E435</f>
      </c>
    </row>
    <row r="436">
      <c r="A436" s="4"/>
      <c r="B436" s="12" t="s">
        <v>230</v>
      </c>
      <c r="C436" s="21"/>
      <c r="D436" s="21" t="s">
        <v>17</v>
      </c>
      <c r="E436" s="21"/>
      <c r="F436" s="21">
        <f>C436*E436</f>
      </c>
    </row>
    <row r="437">
      <c r="A437" s="3"/>
      <c r="B437" s="11" t="s">
        <v>24</v>
      </c>
      <c r="C437" s="20"/>
      <c r="D437" s="20"/>
      <c r="E437" s="20"/>
      <c r="F437" s="20"/>
    </row>
    <row r="438">
      <c r="A438" s="5"/>
      <c r="B438" s="13" t="s">
        <v>25</v>
      </c>
      <c r="C438" s="22"/>
      <c r="D438" s="22"/>
      <c r="E438" s="22"/>
      <c r="F438" s="22"/>
    </row>
    <row r="439">
      <c r="A439" s="4" t="s">
        <v>472</v>
      </c>
      <c r="B439" s="14" t="s">
        <v>473</v>
      </c>
      <c r="C439" s="21"/>
      <c r="D439" s="21" t="s">
        <v>17</v>
      </c>
      <c r="E439" s="21"/>
      <c r="F439" s="21">
        <f>C439*E439</f>
      </c>
    </row>
    <row r="440">
      <c r="A440" s="4" t="s">
        <v>474</v>
      </c>
      <c r="B440" s="14" t="s">
        <v>475</v>
      </c>
      <c r="C440" s="21"/>
      <c r="D440" s="21" t="s">
        <v>17</v>
      </c>
      <c r="E440" s="21"/>
      <c r="F440" s="21">
        <f>C440*E440</f>
      </c>
    </row>
    <row r="441">
      <c r="A441" s="4" t="s">
        <v>476</v>
      </c>
      <c r="B441" s="14" t="s">
        <v>477</v>
      </c>
      <c r="C441" s="21"/>
      <c r="D441" s="21" t="s">
        <v>17</v>
      </c>
      <c r="E441" s="21"/>
      <c r="F441" s="21">
        <f>C441*E441</f>
      </c>
    </row>
    <row r="442">
      <c r="A442" s="4" t="s">
        <v>478</v>
      </c>
      <c r="B442" s="14" t="s">
        <v>479</v>
      </c>
      <c r="C442" s="21"/>
      <c r="D442" s="21" t="s">
        <v>17</v>
      </c>
      <c r="E442" s="21"/>
      <c r="F442" s="21">
        <f>C442*E442</f>
      </c>
    </row>
    <row r="443">
      <c r="A443" s="4" t="s">
        <v>480</v>
      </c>
      <c r="B443" s="14" t="s">
        <v>194</v>
      </c>
      <c r="C443" s="21"/>
      <c r="D443" s="21" t="s">
        <v>17</v>
      </c>
      <c r="E443" s="21"/>
      <c r="F443" s="21">
        <f>C443*E443</f>
      </c>
    </row>
    <row r="444">
      <c r="A444" s="3"/>
      <c r="B444" s="11" t="s">
        <v>42</v>
      </c>
      <c r="C444" s="20"/>
      <c r="D444" s="20"/>
      <c r="E444" s="20"/>
      <c r="F444" s="20"/>
    </row>
    <row r="445">
      <c r="A445" s="4" t="s">
        <v>481</v>
      </c>
      <c r="B445" s="12" t="s">
        <v>59</v>
      </c>
      <c r="C445" s="21">
        <f>(1)*(1)*(1)*(1)*(1 + (0))</f>
      </c>
      <c r="D445" s="21" t="s">
        <v>45</v>
      </c>
      <c r="E445" s="21"/>
      <c r="F445" s="21">
        <f>C445*E445</f>
      </c>
    </row>
    <row r="446">
      <c r="A446" s="4" t="s">
        <v>482</v>
      </c>
      <c r="B446" s="12" t="s">
        <v>61</v>
      </c>
      <c r="C446" s="21">
        <f>(1)*(1)*(1)*(1)*(1 + (0))</f>
      </c>
      <c r="D446" s="21" t="s">
        <v>45</v>
      </c>
      <c r="E446" s="21"/>
      <c r="F446" s="21">
        <f>C446*E446</f>
      </c>
    </row>
    <row r="447">
      <c r="A447" s="4" t="s">
        <v>483</v>
      </c>
      <c r="B447" s="12" t="s">
        <v>484</v>
      </c>
      <c r="C447" s="21">
        <f>(1)*(1)*(1)*(1)*(1 + (0))</f>
      </c>
      <c r="D447" s="21" t="s">
        <v>45</v>
      </c>
      <c r="E447" s="21"/>
      <c r="F447" s="21">
        <f>C447*E447</f>
      </c>
    </row>
    <row r="448">
      <c r="A448" s="4" t="s">
        <v>485</v>
      </c>
      <c r="B448" s="12" t="s">
        <v>486</v>
      </c>
      <c r="C448" s="21">
        <f>(1)*(1)*(1)*(1)*(1 + (0))</f>
      </c>
      <c r="D448" s="21" t="s">
        <v>45</v>
      </c>
      <c r="E448" s="21"/>
      <c r="F448" s="21">
        <f>C448*E448</f>
      </c>
    </row>
    <row r="449">
      <c r="A449" s="4" t="s">
        <v>487</v>
      </c>
      <c r="B449" s="12" t="s">
        <v>488</v>
      </c>
      <c r="C449" s="21">
        <f>(1)*(1)*(1)*(1)*(1 + (0))</f>
      </c>
      <c r="D449" s="21" t="s">
        <v>45</v>
      </c>
      <c r="E449" s="21"/>
      <c r="F449" s="21">
        <f>C449*E449</f>
      </c>
    </row>
    <row r="450">
      <c r="A450" s="4" t="s">
        <v>489</v>
      </c>
      <c r="B450" s="12" t="s">
        <v>490</v>
      </c>
      <c r="C450" s="21">
        <f>(1)*(1)*(1)*(1)*(1 + (0))</f>
      </c>
      <c r="D450" s="21" t="s">
        <v>45</v>
      </c>
      <c r="E450" s="21"/>
      <c r="F450" s="21">
        <f>C450*E450</f>
      </c>
    </row>
    <row r="451">
      <c r="A451" s="3"/>
      <c r="B451" s="11" t="s">
        <v>82</v>
      </c>
      <c r="C451" s="20"/>
      <c r="D451" s="20"/>
      <c r="E451" s="20"/>
      <c r="F451" s="20"/>
    </row>
    <row r="452">
      <c r="A452" s="4"/>
      <c r="B452" s="12" t="s">
        <v>491</v>
      </c>
      <c r="C452" s="21"/>
      <c r="D452" s="21" t="s">
        <v>264</v>
      </c>
      <c r="E452" s="21"/>
      <c r="F452" s="21">
        <f>C452*E452</f>
      </c>
    </row>
    <row r="453">
      <c r="A453" s="4"/>
      <c r="B453" s="12" t="s">
        <v>492</v>
      </c>
      <c r="C453" s="21"/>
      <c r="D453" s="21" t="s">
        <v>17</v>
      </c>
      <c r="E453" s="21"/>
      <c r="F453" s="21">
        <f>C453*E453</f>
      </c>
    </row>
    <row r="454">
      <c r="A454" s="3"/>
      <c r="B454" s="11" t="s">
        <v>493</v>
      </c>
      <c r="C454" s="20"/>
      <c r="D454" s="20"/>
      <c r="E454" s="20"/>
      <c r="F454" s="20"/>
    </row>
    <row r="455">
      <c r="A455" s="4"/>
      <c r="B455" s="12" t="s">
        <v>494</v>
      </c>
      <c r="C455" s="21">
        <f>(159.29)*(1)*(1)*(1)*(1 + (0))</f>
      </c>
      <c r="D455" s="21" t="s">
        <v>495</v>
      </c>
      <c r="E455" s="21"/>
      <c r="F455" s="21">
        <f>C455*E455</f>
      </c>
    </row>
    <row r="456">
      <c r="A456" s="4"/>
      <c r="B456" s="12" t="s">
        <v>496</v>
      </c>
      <c r="C456" s="21">
        <f>(1.92)*(1)*(1)*(1)*(1 + (0))</f>
      </c>
      <c r="D456" s="21" t="s">
        <v>495</v>
      </c>
      <c r="E456" s="21"/>
      <c r="F456" s="21">
        <f>C456*E456</f>
      </c>
    </row>
    <row r="457">
      <c r="A457" s="4"/>
      <c r="B457" s="12" t="s">
        <v>497</v>
      </c>
      <c r="C457" s="21">
        <f>(19)*(1)*(1)*(1)*(1 + (0))</f>
      </c>
      <c r="D457" s="21" t="s">
        <v>9</v>
      </c>
      <c r="E457" s="21"/>
      <c r="F457" s="21">
        <f>C457*E457</f>
      </c>
    </row>
    <row r="458">
      <c r="A458" s="4"/>
      <c r="B458" s="12" t="s">
        <v>498</v>
      </c>
      <c r="C458" s="21">
        <f>(25)*(1)*(1)*(1)*(1 + (0))</f>
      </c>
      <c r="D458" s="21" t="s">
        <v>9</v>
      </c>
      <c r="E458" s="21"/>
      <c r="F458" s="21">
        <f>C458*E458</f>
      </c>
    </row>
    <row r="459">
      <c r="A459" s="4"/>
      <c r="B459" s="12" t="s">
        <v>499</v>
      </c>
      <c r="C459" s="21">
        <f>(579)*(1)*(1)*(1)*(1 + (0))</f>
      </c>
      <c r="D459" s="21" t="s">
        <v>9</v>
      </c>
      <c r="E459" s="21"/>
      <c r="F459" s="21">
        <f>C459*E459</f>
      </c>
    </row>
    <row r="460">
      <c r="A460" s="4"/>
      <c r="B460" s="12" t="s">
        <v>500</v>
      </c>
      <c r="C460" s="21">
        <f>(1631)*(1)*(1)*(1)*(1 + (0))</f>
      </c>
      <c r="D460" s="21" t="s">
        <v>9</v>
      </c>
      <c r="E460" s="21"/>
      <c r="F460" s="21">
        <f>C460*E460</f>
      </c>
    </row>
    <row r="461">
      <c r="A461" s="3"/>
      <c r="B461" s="11" t="s">
        <v>501</v>
      </c>
      <c r="C461" s="20"/>
      <c r="D461" s="20"/>
      <c r="E461" s="20"/>
      <c r="F461" s="20"/>
    </row>
    <row r="462">
      <c r="A462" s="5"/>
      <c r="B462" s="13" t="s">
        <v>433</v>
      </c>
      <c r="C462" s="22"/>
      <c r="D462" s="22"/>
      <c r="E462" s="22"/>
      <c r="F462" s="22"/>
    </row>
    <row r="463">
      <c r="A463" s="6"/>
      <c r="B463" s="15" t="s">
        <v>270</v>
      </c>
      <c r="C463" s="23"/>
      <c r="D463" s="23"/>
      <c r="E463" s="23"/>
      <c r="F463" s="23"/>
    </row>
    <row r="464">
      <c r="A464" s="4"/>
      <c r="B464" s="16" t="s">
        <v>502</v>
      </c>
      <c r="C464" s="21">
        <f>(0.71192)*(1)*(1)*(1)*(1 + (0))</f>
      </c>
      <c r="D464" s="21" t="s">
        <v>495</v>
      </c>
      <c r="E464" s="21"/>
      <c r="F464" s="21">
        <f>C464*E464</f>
      </c>
    </row>
    <row r="465">
      <c r="A465" s="4"/>
      <c r="B465" s="16" t="s">
        <v>503</v>
      </c>
      <c r="C465" s="21">
        <f>(0.71192)*(1)*(1)*(1)*(1 + (0))</f>
      </c>
      <c r="D465" s="21" t="s">
        <v>495</v>
      </c>
      <c r="E465" s="21"/>
      <c r="F465" s="21">
        <f>C465*E465</f>
      </c>
    </row>
    <row r="466">
      <c r="A466" s="4"/>
      <c r="B466" s="16" t="s">
        <v>504</v>
      </c>
      <c r="C466" s="21">
        <f>(2.13576)*(1)*(1)*(1)*(1 + (0))</f>
      </c>
      <c r="D466" s="21" t="s">
        <v>495</v>
      </c>
      <c r="E466" s="21"/>
      <c r="F466" s="21">
        <f>C466*E466</f>
      </c>
    </row>
    <row r="467">
      <c r="A467" s="5"/>
      <c r="B467" s="13" t="s">
        <v>437</v>
      </c>
      <c r="C467" s="22"/>
      <c r="D467" s="22"/>
      <c r="E467" s="22"/>
      <c r="F467" s="22"/>
    </row>
    <row r="468">
      <c r="A468" s="6"/>
      <c r="B468" s="15" t="s">
        <v>270</v>
      </c>
      <c r="C468" s="23"/>
      <c r="D468" s="23"/>
      <c r="E468" s="23"/>
      <c r="F468" s="23"/>
    </row>
    <row r="469">
      <c r="A469" s="4"/>
      <c r="B469" s="16" t="s">
        <v>505</v>
      </c>
      <c r="C469" s="21">
        <f>(1.92133096)*(1)*(1)*(1)*(1 + (0))</f>
      </c>
      <c r="D469" s="21" t="s">
        <v>495</v>
      </c>
      <c r="E469" s="21"/>
      <c r="F469" s="21">
        <f>C469*E469</f>
      </c>
    </row>
    <row r="470">
      <c r="A470" s="4"/>
      <c r="B470" s="16" t="s">
        <v>506</v>
      </c>
      <c r="C470" s="21">
        <f>(2.01334256)*(1)*(1)*(1)*(1 + (0))</f>
      </c>
      <c r="D470" s="21" t="s">
        <v>495</v>
      </c>
      <c r="E470" s="21"/>
      <c r="F470" s="21">
        <f>C470*E470</f>
      </c>
    </row>
    <row r="471">
      <c r="A471" s="4"/>
      <c r="B471" s="16" t="s">
        <v>507</v>
      </c>
      <c r="C471" s="21">
        <f>(3.3173336)*(1)*(1)*(1)*(1 + (0))</f>
      </c>
      <c r="D471" s="21" t="s">
        <v>495</v>
      </c>
      <c r="E471" s="21"/>
      <c r="F471" s="21">
        <f>C471*E471</f>
      </c>
    </row>
    <row r="472">
      <c r="A472" s="4"/>
      <c r="B472" s="16" t="s">
        <v>508</v>
      </c>
      <c r="C472" s="21">
        <f>(0.3728072)*(1)*(1)*(1)*(1 + (0))</f>
      </c>
      <c r="D472" s="21" t="s">
        <v>495</v>
      </c>
      <c r="E472" s="21"/>
      <c r="F472" s="21">
        <f>C472*E472</f>
      </c>
    </row>
    <row r="473">
      <c r="A473" s="4"/>
      <c r="B473" s="16" t="s">
        <v>509</v>
      </c>
      <c r="C473" s="21">
        <f>(0.12501424)*(1)*(1)*(1)*(1 + (0))</f>
      </c>
      <c r="D473" s="21" t="s">
        <v>495</v>
      </c>
      <c r="E473" s="21"/>
      <c r="F473" s="21">
        <f>C473*E473</f>
      </c>
    </row>
    <row r="474">
      <c r="A474" s="5"/>
      <c r="B474" s="13" t="s">
        <v>443</v>
      </c>
      <c r="C474" s="22"/>
      <c r="D474" s="22"/>
      <c r="E474" s="22"/>
      <c r="F474" s="22"/>
    </row>
    <row r="475">
      <c r="A475" s="6"/>
      <c r="B475" s="15" t="s">
        <v>270</v>
      </c>
      <c r="C475" s="23"/>
      <c r="D475" s="23"/>
      <c r="E475" s="23"/>
      <c r="F475" s="23"/>
    </row>
    <row r="476">
      <c r="A476" s="4"/>
      <c r="B476" s="16" t="s">
        <v>510</v>
      </c>
      <c r="C476" s="21">
        <f>(0.41341573)*(1)*(1)*(1)*(1 + (0))</f>
      </c>
      <c r="D476" s="21" t="s">
        <v>495</v>
      </c>
      <c r="E476" s="21"/>
      <c r="F476" s="21">
        <f>C476*E476</f>
      </c>
    </row>
    <row r="477">
      <c r="A477" s="4"/>
      <c r="B477" s="16" t="s">
        <v>511</v>
      </c>
      <c r="C477" s="21">
        <f>(0.19966856)*(1)*(1)*(1)*(1 + (0))</f>
      </c>
      <c r="D477" s="21" t="s">
        <v>495</v>
      </c>
      <c r="E477" s="21"/>
      <c r="F477" s="21">
        <f>C477*E477</f>
      </c>
    </row>
    <row r="478">
      <c r="A478" s="4"/>
      <c r="B478" s="16" t="s">
        <v>512</v>
      </c>
      <c r="C478" s="21">
        <f>(0.18879952)*(1)*(1)*(1)*(1 + (0))</f>
      </c>
      <c r="D478" s="21" t="s">
        <v>495</v>
      </c>
      <c r="E478" s="21"/>
      <c r="F478" s="21">
        <f>C478*E478</f>
      </c>
    </row>
    <row r="479">
      <c r="A479" s="4"/>
      <c r="B479" s="16" t="s">
        <v>513</v>
      </c>
      <c r="C479" s="21">
        <f>(0.26172354)*(1)*(1)*(1)*(1 + (0))</f>
      </c>
      <c r="D479" s="21" t="s">
        <v>495</v>
      </c>
      <c r="E479" s="21"/>
      <c r="F479" s="21">
        <f>C479*E479</f>
      </c>
    </row>
    <row r="480">
      <c r="A480" s="4"/>
      <c r="B480" s="16" t="s">
        <v>514</v>
      </c>
      <c r="C480" s="21">
        <f>(0.146551)*(1)*(1)*(1)*(1 + (0))</f>
      </c>
      <c r="D480" s="21" t="s">
        <v>495</v>
      </c>
      <c r="E480" s="21"/>
      <c r="F480" s="21">
        <f>C480*E480</f>
      </c>
    </row>
    <row r="481">
      <c r="A481" s="4"/>
      <c r="B481" s="16" t="s">
        <v>515</v>
      </c>
      <c r="C481" s="21">
        <f>(1.316675006)*(1)*(1)*(1)*(1 + (0))</f>
      </c>
      <c r="D481" s="21" t="s">
        <v>495</v>
      </c>
      <c r="E481" s="21"/>
      <c r="F481" s="21">
        <f>C481*E481</f>
      </c>
    </row>
    <row r="482">
      <c r="A482" s="4"/>
      <c r="B482" s="16" t="s">
        <v>516</v>
      </c>
      <c r="C482" s="21">
        <f>(1.711546288)*(1)*(1)*(1)*(1 + (0))</f>
      </c>
      <c r="D482" s="21" t="s">
        <v>495</v>
      </c>
      <c r="E482" s="21"/>
      <c r="F482" s="21">
        <f>C482*E482</f>
      </c>
    </row>
    <row r="483">
      <c r="A483" s="4"/>
      <c r="B483" s="16" t="s">
        <v>517</v>
      </c>
      <c r="C483" s="21">
        <f>(1.635914496)*(1)*(1)*(1)*(1 + (0))</f>
      </c>
      <c r="D483" s="21" t="s">
        <v>495</v>
      </c>
      <c r="E483" s="21"/>
      <c r="F483" s="21">
        <f>C483*E483</f>
      </c>
    </row>
    <row r="484">
      <c r="A484" s="4"/>
      <c r="B484" s="16" t="s">
        <v>518</v>
      </c>
      <c r="C484" s="21">
        <f>(0.198340912)*(1)*(1)*(1)*(1 + (0))</f>
      </c>
      <c r="D484" s="21" t="s">
        <v>495</v>
      </c>
      <c r="E484" s="21"/>
      <c r="F484" s="21">
        <f>C484*E484</f>
      </c>
    </row>
    <row r="485">
      <c r="A485" s="4"/>
      <c r="B485" s="16" t="s">
        <v>519</v>
      </c>
      <c r="C485" s="21">
        <f>(0.216190688)*(1)*(1)*(1)*(1 + (0))</f>
      </c>
      <c r="D485" s="21" t="s">
        <v>495</v>
      </c>
      <c r="E485" s="21"/>
      <c r="F485" s="21">
        <f>C485*E485</f>
      </c>
    </row>
    <row r="486">
      <c r="A486" s="4"/>
      <c r="B486" s="16" t="s">
        <v>520</v>
      </c>
      <c r="C486" s="21">
        <f>(0.183348409122)*(1)*(1)*(1)*(1 + (0))</f>
      </c>
      <c r="D486" s="21" t="s">
        <v>495</v>
      </c>
      <c r="E486" s="21"/>
      <c r="F486" s="21">
        <f>C486*E486</f>
      </c>
    </row>
    <row r="487">
      <c r="A487" s="4"/>
      <c r="B487" s="16" t="s">
        <v>521</v>
      </c>
      <c r="C487" s="21">
        <f>(0.19654157465)*(1)*(1)*(1)*(1 + (0))</f>
      </c>
      <c r="D487" s="21" t="s">
        <v>495</v>
      </c>
      <c r="E487" s="21"/>
      <c r="F487" s="21">
        <f>C487*E487</f>
      </c>
    </row>
    <row r="488">
      <c r="A488" s="5"/>
      <c r="B488" s="13" t="s">
        <v>457</v>
      </c>
      <c r="C488" s="22"/>
      <c r="D488" s="22"/>
      <c r="E488" s="22"/>
      <c r="F488" s="22"/>
    </row>
    <row r="489">
      <c r="A489" s="6"/>
      <c r="B489" s="15" t="s">
        <v>270</v>
      </c>
      <c r="C489" s="23"/>
      <c r="D489" s="23"/>
      <c r="E489" s="23"/>
      <c r="F489" s="23"/>
    </row>
    <row r="490">
      <c r="A490" s="4"/>
      <c r="B490" s="16" t="s">
        <v>522</v>
      </c>
      <c r="C490" s="21">
        <f>(0.3436632)*(1)*(1)*(1)*(1 + (0))</f>
      </c>
      <c r="D490" s="21" t="s">
        <v>495</v>
      </c>
      <c r="E490" s="21"/>
      <c r="F490" s="21">
        <f>C490*E490</f>
      </c>
    </row>
    <row r="491">
      <c r="A491" s="5"/>
      <c r="B491" s="13" t="s">
        <v>460</v>
      </c>
      <c r="C491" s="22"/>
      <c r="D491" s="22"/>
      <c r="E491" s="22"/>
      <c r="F491" s="22"/>
    </row>
    <row r="492">
      <c r="A492" s="6"/>
      <c r="B492" s="15" t="s">
        <v>297</v>
      </c>
      <c r="C492" s="23"/>
      <c r="D492" s="23"/>
      <c r="E492" s="23"/>
      <c r="F492" s="23"/>
    </row>
    <row r="493">
      <c r="A493" s="4"/>
      <c r="B493" s="16" t="s">
        <v>523</v>
      </c>
      <c r="C493" s="21">
        <f>(105.814386236516)*(1)*(1)*(1)*(1 + (0))</f>
      </c>
      <c r="D493" s="21" t="s">
        <v>495</v>
      </c>
      <c r="E493" s="21"/>
      <c r="F493" s="21">
        <f>C493*E493</f>
      </c>
    </row>
    <row r="494">
      <c r="A494" s="4"/>
      <c r="B494" s="16" t="s">
        <v>524</v>
      </c>
      <c r="C494" s="21">
        <f>(1.3099328)*(1)*(1)*(1)*(1 + (0))</f>
      </c>
      <c r="D494" s="21" t="s">
        <v>495</v>
      </c>
      <c r="E494" s="21"/>
      <c r="F494" s="21">
        <f>C494*E494</f>
      </c>
    </row>
    <row r="495">
      <c r="A495" s="4"/>
      <c r="B495" s="16" t="s">
        <v>525</v>
      </c>
      <c r="C495" s="21">
        <f>(0.0123888)*(1)*(1)*(1)*(1 + (0))</f>
      </c>
      <c r="D495" s="21" t="s">
        <v>495</v>
      </c>
      <c r="E495" s="21"/>
      <c r="F495" s="21">
        <f>C495*E495</f>
      </c>
    </row>
    <row r="496">
      <c r="A496" s="4"/>
      <c r="B496" s="16" t="s">
        <v>526</v>
      </c>
      <c r="C496" s="21">
        <f>(1.152333)*(1)*(1)*(1)*(1 + (0))</f>
      </c>
      <c r="D496" s="21" t="s">
        <v>495</v>
      </c>
      <c r="E496" s="21"/>
      <c r="F496" s="21">
        <f>C496*E496</f>
      </c>
    </row>
    <row r="497">
      <c r="A497" s="4"/>
      <c r="B497" s="16" t="s">
        <v>527</v>
      </c>
      <c r="C497" s="21">
        <f>(0.15432872)*(1)*(1)*(1)*(1 + (0))</f>
      </c>
      <c r="D497" s="21" t="s">
        <v>495</v>
      </c>
      <c r="E497" s="21"/>
      <c r="F497" s="21">
        <f>C497*E497</f>
      </c>
    </row>
    <row r="498">
      <c r="A498" s="5"/>
      <c r="B498" s="13" t="s">
        <v>409</v>
      </c>
      <c r="C498" s="22"/>
      <c r="D498" s="22"/>
      <c r="E498" s="22"/>
      <c r="F498" s="22"/>
    </row>
    <row r="499">
      <c r="A499" s="6"/>
      <c r="B499" s="15" t="s">
        <v>297</v>
      </c>
      <c r="C499" s="23"/>
      <c r="D499" s="23"/>
      <c r="E499" s="23"/>
      <c r="F499" s="23"/>
    </row>
    <row r="500">
      <c r="A500" s="4"/>
      <c r="B500" s="16" t="s">
        <v>528</v>
      </c>
      <c r="C500" s="21">
        <f>(0.498901176)*(1)*(1)*(1)*(1 + (0))</f>
      </c>
      <c r="D500" s="21" t="s">
        <v>495</v>
      </c>
      <c r="E500" s="21"/>
      <c r="F500" s="21">
        <f>C500*E500</f>
      </c>
    </row>
    <row r="501">
      <c r="A501" s="4"/>
      <c r="B501" s="16" t="s">
        <v>529</v>
      </c>
      <c r="C501" s="21">
        <f>(1.75894994)*(1)*(1)*(1)*(1 + (0))</f>
      </c>
      <c r="D501" s="21" t="s">
        <v>495</v>
      </c>
      <c r="E501" s="21"/>
      <c r="F501" s="21">
        <f>C501*E501</f>
      </c>
    </row>
    <row r="502">
      <c r="A502" s="5"/>
      <c r="B502" s="13" t="s">
        <v>406</v>
      </c>
      <c r="C502" s="22"/>
      <c r="D502" s="22"/>
      <c r="E502" s="22"/>
      <c r="F502" s="22"/>
    </row>
    <row r="503">
      <c r="A503" s="6"/>
      <c r="B503" s="15" t="s">
        <v>297</v>
      </c>
      <c r="C503" s="23"/>
      <c r="D503" s="23"/>
      <c r="E503" s="23"/>
      <c r="F503" s="23"/>
    </row>
    <row r="504">
      <c r="A504" s="4"/>
      <c r="B504" s="16" t="s">
        <v>530</v>
      </c>
      <c r="C504" s="21">
        <f>(0.571231880812)*(1)*(1)*(1)*(1 + (0))</f>
      </c>
      <c r="D504" s="21" t="s">
        <v>495</v>
      </c>
      <c r="E504" s="21"/>
      <c r="F504" s="21">
        <f>C504*E504</f>
      </c>
    </row>
    <row r="505">
      <c r="A505" s="6"/>
      <c r="B505" s="15" t="s">
        <v>318</v>
      </c>
      <c r="C505" s="23"/>
      <c r="D505" s="23"/>
      <c r="E505" s="23"/>
      <c r="F505" s="23"/>
    </row>
    <row r="506">
      <c r="A506" s="4"/>
      <c r="B506" s="16" t="s">
        <v>530</v>
      </c>
      <c r="C506" s="21">
        <f>(26.134494669512)*(1)*(1)*(1)*(1 + (0))</f>
      </c>
      <c r="D506" s="21" t="s">
        <v>495</v>
      </c>
      <c r="E506" s="21"/>
      <c r="F506" s="21">
        <f>C506*E506</f>
      </c>
    </row>
    <row r="507">
      <c r="A507" s="4"/>
      <c r="B507" s="16" t="s">
        <v>531</v>
      </c>
      <c r="C507" s="21">
        <f>(0.6400576)*(1)*(1)*(1)*(1 + (0))</f>
      </c>
      <c r="D507" s="21" t="s">
        <v>495</v>
      </c>
      <c r="E507" s="21"/>
      <c r="F507" s="21">
        <f>C507*E507</f>
      </c>
    </row>
    <row r="508">
      <c r="A508" s="4"/>
      <c r="B508" s="16" t="s">
        <v>532</v>
      </c>
      <c r="C508" s="21">
        <f>(0.2020864)*(1)*(1)*(1)*(1 + (0))</f>
      </c>
      <c r="D508" s="21" t="s">
        <v>495</v>
      </c>
      <c r="E508" s="21"/>
      <c r="F508" s="21">
        <f>C508*E508</f>
      </c>
    </row>
    <row r="509">
      <c r="A509" s="5"/>
      <c r="B509" s="13" t="s">
        <v>417</v>
      </c>
      <c r="C509" s="22"/>
      <c r="D509" s="22"/>
      <c r="E509" s="22"/>
      <c r="F509" s="22"/>
    </row>
    <row r="510">
      <c r="A510" s="6"/>
      <c r="B510" s="15" t="s">
        <v>325</v>
      </c>
      <c r="C510" s="23"/>
      <c r="D510" s="23"/>
      <c r="E510" s="23"/>
      <c r="F510" s="23"/>
    </row>
    <row r="511">
      <c r="A511" s="4"/>
      <c r="B511" s="16" t="s">
        <v>533</v>
      </c>
      <c r="C511" s="21">
        <f>(0.0071192)*(1)*(1)*(1)*(1 + (0))</f>
      </c>
      <c r="D511" s="21" t="s">
        <v>495</v>
      </c>
      <c r="E511" s="21"/>
      <c r="F511" s="21">
        <f>C511*E511</f>
      </c>
    </row>
    <row r="512">
      <c r="A512" s="5"/>
      <c r="B512" s="13" t="s">
        <v>534</v>
      </c>
      <c r="C512" s="22"/>
      <c r="D512" s="22"/>
      <c r="E512" s="22"/>
      <c r="F512" s="22"/>
    </row>
    <row r="513">
      <c r="A513" s="6"/>
      <c r="B513" s="15" t="s">
        <v>297</v>
      </c>
      <c r="C513" s="23"/>
      <c r="D513" s="23"/>
      <c r="E513" s="23"/>
      <c r="F513" s="23"/>
    </row>
    <row r="514">
      <c r="A514" s="4"/>
      <c r="B514" s="16" t="s">
        <v>535</v>
      </c>
      <c r="C514" s="21">
        <f>(0.18745818)*(1)*(1)*(1)*(1 + (0))</f>
      </c>
      <c r="D514" s="21" t="s">
        <v>495</v>
      </c>
      <c r="E514" s="21"/>
      <c r="F514" s="21">
        <f>C514*E514</f>
      </c>
    </row>
    <row r="515">
      <c r="A515" s="4"/>
      <c r="B515" s="16" t="s">
        <v>536</v>
      </c>
      <c r="C515" s="21">
        <f>(0.27962935)*(1)*(1)*(1)*(1 + (0))</f>
      </c>
      <c r="D515" s="21" t="s">
        <v>495</v>
      </c>
      <c r="E515" s="21"/>
      <c r="F515" s="21">
        <f>C515*E515</f>
      </c>
    </row>
    <row r="516">
      <c r="A516" s="4"/>
      <c r="B516" s="16" t="s">
        <v>537</v>
      </c>
      <c r="C516" s="21">
        <f>(0.4853121)*(1)*(1)*(1)*(1 + (0))</f>
      </c>
      <c r="D516" s="21" t="s">
        <v>495</v>
      </c>
      <c r="E516" s="21"/>
      <c r="F516" s="21">
        <f>C516*E516</f>
      </c>
    </row>
    <row r="517">
      <c r="A517" s="6"/>
      <c r="B517" s="15" t="s">
        <v>318</v>
      </c>
      <c r="C517" s="23"/>
      <c r="D517" s="23"/>
      <c r="E517" s="23"/>
      <c r="F517" s="23"/>
    </row>
    <row r="518">
      <c r="A518" s="4"/>
      <c r="B518" s="16" t="s">
        <v>538</v>
      </c>
      <c r="C518" s="21">
        <f>(0.04690049)*(1)*(1)*(1)*(1 + (0))</f>
      </c>
      <c r="D518" s="21" t="s">
        <v>495</v>
      </c>
      <c r="E518" s="21"/>
      <c r="F518" s="21">
        <f>C518*E518</f>
      </c>
    </row>
    <row r="519">
      <c r="A519" s="4"/>
      <c r="B519" s="16" t="s">
        <v>539</v>
      </c>
      <c r="C519" s="21">
        <f>(0.36540544)*(1)*(1)*(1)*(1 + (0))</f>
      </c>
      <c r="D519" s="21" t="s">
        <v>495</v>
      </c>
      <c r="E519" s="21"/>
      <c r="F519" s="21">
        <f>C519*E519</f>
      </c>
    </row>
    <row r="520">
      <c r="A520" s="5"/>
      <c r="B520" s="13" t="s">
        <v>426</v>
      </c>
      <c r="C520" s="22"/>
      <c r="D520" s="22"/>
      <c r="E520" s="22"/>
      <c r="F520" s="22"/>
    </row>
    <row r="521">
      <c r="A521" s="4"/>
      <c r="B521" s="14" t="s">
        <v>540</v>
      </c>
      <c r="C521" s="21">
        <f>(0.85791956296342)*(1)*(1)*(1)*(1 + (0))</f>
      </c>
      <c r="D521" s="21" t="s">
        <v>495</v>
      </c>
      <c r="E521" s="21"/>
      <c r="F521" s="21">
        <f>C521*E521</f>
      </c>
    </row>
    <row r="522">
      <c r="A522" s="4"/>
      <c r="B522" s="14" t="s">
        <v>541</v>
      </c>
      <c r="C522" s="21">
        <f>(0.484732076790454)*(1)*(1)*(1)*(1 + (0))</f>
      </c>
      <c r="D522" s="21" t="s">
        <v>495</v>
      </c>
      <c r="E522" s="21"/>
      <c r="F522" s="21">
        <f>C522*E522</f>
      </c>
    </row>
    <row r="523">
      <c r="A523" s="3"/>
      <c r="B523" s="11" t="s">
        <v>542</v>
      </c>
      <c r="C523" s="20"/>
      <c r="D523" s="20"/>
      <c r="E523" s="20"/>
      <c r="F523" s="20"/>
    </row>
    <row r="524">
      <c r="A524" s="5"/>
      <c r="B524" s="13" t="s">
        <v>426</v>
      </c>
      <c r="C524" s="22"/>
      <c r="D524" s="22"/>
      <c r="E524" s="22"/>
      <c r="F524" s="22"/>
    </row>
    <row r="525">
      <c r="A525" s="4"/>
      <c r="B525" s="14" t="s">
        <v>543</v>
      </c>
      <c r="C525" s="21">
        <f>(0.304212902852859)*(1)*(1)*(1)*(1 + (0))</f>
      </c>
      <c r="D525" s="21" t="s">
        <v>495</v>
      </c>
      <c r="E525" s="21"/>
      <c r="F525" s="21">
        <f>C525*E525</f>
      </c>
    </row>
    <row r="526">
      <c r="A526" s="4"/>
      <c r="B526" s="14" t="s">
        <v>544</v>
      </c>
      <c r="C526" s="21">
        <f>(0.868208819808818)*(1)*(1)*(1)*(1 + (0))</f>
      </c>
      <c r="D526" s="21" t="s">
        <v>495</v>
      </c>
      <c r="E526" s="21"/>
      <c r="F526" s="21">
        <f>C526*E526</f>
      </c>
    </row>
    <row r="527">
      <c r="A527" s="4"/>
      <c r="B527" s="14" t="s">
        <v>545</v>
      </c>
      <c r="C527" s="21">
        <f>(0.396527897061802)*(1)*(1)*(1)*(1 + (0))</f>
      </c>
      <c r="D527" s="21" t="s">
        <v>495</v>
      </c>
      <c r="E527" s="21"/>
      <c r="F527" s="21">
        <f>C527*E527</f>
      </c>
    </row>
    <row r="528">
      <c r="A528" s="4"/>
      <c r="B528" s="14" t="s">
        <v>546</v>
      </c>
      <c r="C528" s="21">
        <f>(0.346011532174492)*(1)*(1)*(1)*(1 + (0))</f>
      </c>
      <c r="D528" s="21" t="s">
        <v>495</v>
      </c>
      <c r="E528" s="21"/>
      <c r="F528" s="21">
        <f>C528*E528</f>
      </c>
    </row>
    <row r="529">
      <c r="A529" s="3"/>
      <c r="B529" s="11" t="s">
        <v>547</v>
      </c>
      <c r="C529" s="20"/>
      <c r="D529" s="20"/>
      <c r="E529" s="20"/>
      <c r="F529" s="20"/>
    </row>
    <row r="530">
      <c r="A530" s="5"/>
      <c r="B530" s="13" t="s">
        <v>460</v>
      </c>
      <c r="C530" s="22"/>
      <c r="D530" s="22"/>
      <c r="E530" s="22"/>
      <c r="F530" s="22"/>
    </row>
    <row r="531">
      <c r="A531" s="6"/>
      <c r="B531" s="15" t="s">
        <v>297</v>
      </c>
      <c r="C531" s="23"/>
      <c r="D531" s="23"/>
      <c r="E531" s="23"/>
      <c r="F531" s="23"/>
    </row>
    <row r="532">
      <c r="A532" s="4"/>
      <c r="B532" s="16" t="s">
        <v>548</v>
      </c>
      <c r="C532" s="21">
        <f>(311)*(1)*(1)*(1)*(1 + (0))</f>
      </c>
      <c r="D532" s="21" t="s">
        <v>9</v>
      </c>
      <c r="E532" s="21"/>
      <c r="F532" s="21">
        <f>C532*E532</f>
      </c>
    </row>
    <row r="533">
      <c r="A533" s="4"/>
      <c r="B533" s="16" t="s">
        <v>549</v>
      </c>
      <c r="C533" s="21">
        <f>(972)*(1)*(1)*(1)*(1 + (0))</f>
      </c>
      <c r="D533" s="21" t="s">
        <v>9</v>
      </c>
      <c r="E533" s="21"/>
      <c r="F533" s="21">
        <f>C533*E533</f>
      </c>
    </row>
    <row r="534">
      <c r="A534" s="4"/>
      <c r="B534" s="16" t="s">
        <v>550</v>
      </c>
      <c r="C534" s="21">
        <f>(348)*(1)*(1)*(1)*(1 + (0))</f>
      </c>
      <c r="D534" s="21" t="s">
        <v>9</v>
      </c>
      <c r="E534" s="21"/>
      <c r="F534" s="21">
        <f>C534*E534</f>
      </c>
    </row>
    <row r="535">
      <c r="A535" s="4"/>
      <c r="B535" s="16" t="s">
        <v>551</v>
      </c>
      <c r="C535" s="21">
        <f>(498)*(1)*(1)*(1)*(1 + (0))</f>
      </c>
      <c r="D535" s="21" t="s">
        <v>9</v>
      </c>
      <c r="E535" s="21"/>
      <c r="F535" s="21">
        <f>C535*E535</f>
      </c>
    </row>
    <row r="536">
      <c r="A536" s="4"/>
      <c r="B536" s="16" t="s">
        <v>552</v>
      </c>
      <c r="C536" s="21">
        <f>(81)*(1)*(1)*(1)*(1 + (0))</f>
      </c>
      <c r="D536" s="21" t="s">
        <v>9</v>
      </c>
      <c r="E536" s="21"/>
      <c r="F536" s="21">
        <f>C536*E536</f>
      </c>
    </row>
    <row r="537">
      <c r="A537" s="4"/>
      <c r="B537" s="16" t="s">
        <v>553</v>
      </c>
      <c r="C537" s="21">
        <f>(19)*(1)*(1)*(1)*(1 + (0))</f>
      </c>
      <c r="D537" s="21" t="s">
        <v>167</v>
      </c>
      <c r="E537" s="21"/>
      <c r="F537" s="21">
        <f>C537*E537</f>
      </c>
    </row>
    <row r="538">
      <c r="A538" s="5"/>
      <c r="B538" s="13" t="s">
        <v>406</v>
      </c>
      <c r="C538" s="22"/>
      <c r="D538" s="22"/>
      <c r="E538" s="22"/>
      <c r="F538" s="22"/>
    </row>
    <row r="539">
      <c r="A539" s="6"/>
      <c r="B539" s="15" t="s">
        <v>318</v>
      </c>
      <c r="C539" s="23"/>
      <c r="D539" s="23"/>
      <c r="E539" s="23"/>
      <c r="F539" s="23"/>
    </row>
    <row r="540">
      <c r="A540" s="4"/>
      <c r="B540" s="16" t="s">
        <v>554</v>
      </c>
      <c r="C540" s="21">
        <f>(15)*(1)*(1)*(1)*(1 + (0))</f>
      </c>
      <c r="D540" s="21" t="s">
        <v>9</v>
      </c>
      <c r="E540" s="21"/>
      <c r="F540" s="21">
        <f>C540*E540</f>
      </c>
    </row>
    <row r="541">
      <c r="A541" s="5"/>
      <c r="B541" s="13" t="s">
        <v>417</v>
      </c>
      <c r="C541" s="22"/>
      <c r="D541" s="22"/>
      <c r="E541" s="22"/>
      <c r="F541" s="22"/>
    </row>
    <row r="542">
      <c r="A542" s="6"/>
      <c r="B542" s="15" t="s">
        <v>325</v>
      </c>
      <c r="C542" s="23"/>
      <c r="D542" s="23"/>
      <c r="E542" s="23"/>
      <c r="F542" s="23"/>
    </row>
    <row r="543">
      <c r="A543" s="4"/>
      <c r="B543" s="16" t="s">
        <v>555</v>
      </c>
      <c r="C543" s="21">
        <f>(10)*(1)*(1)*(1)*(1 + (0))</f>
      </c>
      <c r="D543" s="21" t="s">
        <v>9</v>
      </c>
      <c r="E543" s="21"/>
      <c r="F543" s="21">
        <f>C543*E543</f>
      </c>
    </row>
    <row r="544">
      <c r="A544" s="2"/>
      <c r="B544" s="10" t="s">
        <v>556</v>
      </c>
      <c r="C544" s="19"/>
      <c r="D544" s="19"/>
      <c r="E544" s="19"/>
      <c r="F544" s="19"/>
    </row>
    <row r="545">
      <c r="A545" s="3"/>
      <c r="B545" s="11" t="s">
        <v>14</v>
      </c>
      <c r="C545" s="20"/>
      <c r="D545" s="20"/>
      <c r="E545" s="20"/>
      <c r="F545" s="20"/>
    </row>
    <row r="546">
      <c r="A546" s="4" t="s">
        <v>557</v>
      </c>
      <c r="B546" s="12" t="s">
        <v>16</v>
      </c>
      <c r="C546" s="21"/>
      <c r="D546" s="21" t="s">
        <v>17</v>
      </c>
      <c r="E546" s="21"/>
      <c r="F546" s="21">
        <f>C546*E546</f>
      </c>
    </row>
    <row r="547">
      <c r="A547" s="4" t="s">
        <v>558</v>
      </c>
      <c r="B547" s="12" t="s">
        <v>19</v>
      </c>
      <c r="C547" s="21"/>
      <c r="D547" s="21" t="s">
        <v>17</v>
      </c>
      <c r="E547" s="21"/>
      <c r="F547" s="21">
        <f>C547*E547</f>
      </c>
    </row>
    <row r="548">
      <c r="A548" s="3"/>
      <c r="B548" s="11" t="s">
        <v>98</v>
      </c>
      <c r="C548" s="20"/>
      <c r="D548" s="20"/>
      <c r="E548" s="20"/>
      <c r="F548" s="20"/>
    </row>
    <row r="549">
      <c r="A549" s="4"/>
      <c r="B549" s="12" t="s">
        <v>559</v>
      </c>
      <c r="C549" s="21"/>
      <c r="D549" s="21" t="s">
        <v>17</v>
      </c>
      <c r="E549" s="21"/>
      <c r="F549" s="21">
        <f>C549*E549</f>
      </c>
    </row>
    <row r="550">
      <c r="A550" s="4"/>
      <c r="B550" s="12" t="s">
        <v>560</v>
      </c>
      <c r="C550" s="21"/>
      <c r="D550" s="21" t="s">
        <v>17</v>
      </c>
      <c r="E550" s="21"/>
      <c r="F550" s="21">
        <f>C550*E550</f>
      </c>
    </row>
    <row r="551">
      <c r="A551" s="4"/>
      <c r="B551" s="12" t="s">
        <v>561</v>
      </c>
      <c r="C551" s="21"/>
      <c r="D551" s="21" t="s">
        <v>17</v>
      </c>
      <c r="E551" s="21"/>
      <c r="F551" s="21">
        <f>C551*E551</f>
      </c>
    </row>
    <row r="552">
      <c r="A552" s="3"/>
      <c r="B552" s="11" t="s">
        <v>24</v>
      </c>
      <c r="C552" s="20"/>
      <c r="D552" s="20"/>
      <c r="E552" s="20"/>
      <c r="F552" s="20"/>
    </row>
    <row r="553">
      <c r="A553" s="5"/>
      <c r="B553" s="13" t="s">
        <v>25</v>
      </c>
      <c r="C553" s="22"/>
      <c r="D553" s="22"/>
      <c r="E553" s="22"/>
      <c r="F553" s="22"/>
    </row>
    <row r="554">
      <c r="A554" s="4" t="s">
        <v>562</v>
      </c>
      <c r="B554" s="14" t="s">
        <v>563</v>
      </c>
      <c r="C554" s="21"/>
      <c r="D554" s="21" t="s">
        <v>17</v>
      </c>
      <c r="E554" s="21"/>
      <c r="F554" s="21">
        <f>C554*E554</f>
      </c>
    </row>
    <row r="555">
      <c r="A555" s="4" t="s">
        <v>564</v>
      </c>
      <c r="B555" s="14" t="s">
        <v>468</v>
      </c>
      <c r="C555" s="21"/>
      <c r="D555" s="21" t="s">
        <v>17</v>
      </c>
      <c r="E555" s="21"/>
      <c r="F555" s="21">
        <f>C555*E555</f>
      </c>
    </row>
    <row r="556">
      <c r="A556" s="4" t="s">
        <v>565</v>
      </c>
      <c r="B556" s="14" t="s">
        <v>566</v>
      </c>
      <c r="C556" s="21"/>
      <c r="D556" s="21" t="s">
        <v>17</v>
      </c>
      <c r="E556" s="21"/>
      <c r="F556" s="21">
        <f>C556*E556</f>
      </c>
    </row>
    <row r="557">
      <c r="A557" s="4" t="s">
        <v>567</v>
      </c>
      <c r="B557" s="14" t="s">
        <v>568</v>
      </c>
      <c r="C557" s="21"/>
      <c r="D557" s="21" t="s">
        <v>17</v>
      </c>
      <c r="E557" s="21"/>
      <c r="F557" s="21">
        <f>C557*E557</f>
      </c>
    </row>
    <row r="558">
      <c r="A558" s="4" t="s">
        <v>569</v>
      </c>
      <c r="B558" s="14" t="s">
        <v>570</v>
      </c>
      <c r="C558" s="21"/>
      <c r="D558" s="21" t="s">
        <v>17</v>
      </c>
      <c r="E558" s="21"/>
      <c r="F558" s="21">
        <f>C558*E558</f>
      </c>
    </row>
    <row r="559">
      <c r="A559" s="4" t="s">
        <v>571</v>
      </c>
      <c r="B559" s="14" t="s">
        <v>572</v>
      </c>
      <c r="C559" s="21"/>
      <c r="D559" s="21" t="s">
        <v>17</v>
      </c>
      <c r="E559" s="21"/>
      <c r="F559" s="21">
        <f>C559*E559</f>
      </c>
    </row>
    <row r="560">
      <c r="A560" s="4" t="s">
        <v>573</v>
      </c>
      <c r="B560" s="14" t="s">
        <v>574</v>
      </c>
      <c r="C560" s="21"/>
      <c r="D560" s="21" t="s">
        <v>17</v>
      </c>
      <c r="E560" s="21"/>
      <c r="F560" s="21">
        <f>C560*E560</f>
      </c>
    </row>
    <row r="561">
      <c r="A561" s="4" t="s">
        <v>575</v>
      </c>
      <c r="B561" s="14" t="s">
        <v>576</v>
      </c>
      <c r="C561" s="21"/>
      <c r="D561" s="21" t="s">
        <v>17</v>
      </c>
      <c r="E561" s="21"/>
      <c r="F561" s="21">
        <f>C561*E561</f>
      </c>
    </row>
    <row r="562">
      <c r="A562" s="4" t="s">
        <v>577</v>
      </c>
      <c r="B562" s="14" t="s">
        <v>194</v>
      </c>
      <c r="C562" s="21"/>
      <c r="D562" s="21" t="s">
        <v>17</v>
      </c>
      <c r="E562" s="21"/>
      <c r="F562" s="21">
        <f>C562*E562</f>
      </c>
    </row>
    <row r="563">
      <c r="A563" s="3"/>
      <c r="B563" s="11" t="s">
        <v>42</v>
      </c>
      <c r="C563" s="20"/>
      <c r="D563" s="20"/>
      <c r="E563" s="20"/>
      <c r="F563" s="20"/>
    </row>
    <row r="564">
      <c r="A564" s="4" t="s">
        <v>578</v>
      </c>
      <c r="B564" s="12" t="s">
        <v>59</v>
      </c>
      <c r="C564" s="21">
        <f>(1)*(1)*(1)*(1)*(1 + (0))</f>
      </c>
      <c r="D564" s="21" t="s">
        <v>45</v>
      </c>
      <c r="E564" s="21"/>
      <c r="F564" s="21">
        <f>C564*E564</f>
      </c>
    </row>
    <row r="565">
      <c r="A565" s="4" t="s">
        <v>579</v>
      </c>
      <c r="B565" s="12" t="s">
        <v>61</v>
      </c>
      <c r="C565" s="21">
        <f>(1)*(1)*(1)*(1)*(1 + (0))</f>
      </c>
      <c r="D565" s="21" t="s">
        <v>45</v>
      </c>
      <c r="E565" s="21"/>
      <c r="F565" s="21">
        <f>C565*E565</f>
      </c>
    </row>
    <row r="566">
      <c r="A566" s="4" t="s">
        <v>580</v>
      </c>
      <c r="B566" s="12" t="s">
        <v>581</v>
      </c>
      <c r="C566" s="21">
        <f>(1)*(1)*(1)*(1)*(1 + (0))</f>
      </c>
      <c r="D566" s="21" t="s">
        <v>45</v>
      </c>
      <c r="E566" s="21"/>
      <c r="F566" s="21">
        <f>C566*E566</f>
      </c>
    </row>
    <row r="567">
      <c r="A567" s="4" t="s">
        <v>582</v>
      </c>
      <c r="B567" s="12" t="s">
        <v>583</v>
      </c>
      <c r="C567" s="21">
        <f>(1)*(1)*(1)*(1)*(1 + (0))</f>
      </c>
      <c r="D567" s="21" t="s">
        <v>45</v>
      </c>
      <c r="E567" s="21"/>
      <c r="F567" s="21">
        <f>C567*E567</f>
      </c>
    </row>
    <row r="568">
      <c r="A568" s="4" t="s">
        <v>584</v>
      </c>
      <c r="B568" s="12" t="s">
        <v>585</v>
      </c>
      <c r="C568" s="21">
        <f>(1)*(1)*(1)*(1)*(1 + (0))</f>
      </c>
      <c r="D568" s="21" t="s">
        <v>45</v>
      </c>
      <c r="E568" s="21"/>
      <c r="F568" s="21">
        <f>C568*E568</f>
      </c>
    </row>
    <row r="569">
      <c r="A569" s="4" t="s">
        <v>586</v>
      </c>
      <c r="B569" s="12" t="s">
        <v>587</v>
      </c>
      <c r="C569" s="21">
        <f>(1)*(1)*(1)*(1)*(1 + (0))</f>
      </c>
      <c r="D569" s="21" t="s">
        <v>45</v>
      </c>
      <c r="E569" s="21"/>
      <c r="F569" s="21">
        <f>C569*E569</f>
      </c>
    </row>
    <row r="570">
      <c r="A570" s="4" t="s">
        <v>588</v>
      </c>
      <c r="B570" s="12" t="s">
        <v>589</v>
      </c>
      <c r="C570" s="21">
        <f>(1)*(1)*(1)*(1)*(1 + (0))</f>
      </c>
      <c r="D570" s="21" t="s">
        <v>45</v>
      </c>
      <c r="E570" s="21"/>
      <c r="F570" s="21">
        <f>C570*E570</f>
      </c>
    </row>
    <row r="571">
      <c r="A571" s="4" t="s">
        <v>590</v>
      </c>
      <c r="B571" s="12" t="s">
        <v>591</v>
      </c>
      <c r="C571" s="21">
        <f>(1)*(1)*(1)*(1)*(1 + (0))</f>
      </c>
      <c r="D571" s="21" t="s">
        <v>45</v>
      </c>
      <c r="E571" s="21"/>
      <c r="F571" s="21">
        <f>C571*E571</f>
      </c>
    </row>
    <row r="572">
      <c r="A572" s="4" t="s">
        <v>592</v>
      </c>
      <c r="B572" s="12" t="s">
        <v>593</v>
      </c>
      <c r="C572" s="21">
        <f>(1)*(1)*(1)*(1)*(1 + (0))</f>
      </c>
      <c r="D572" s="21" t="s">
        <v>45</v>
      </c>
      <c r="E572" s="21"/>
      <c r="F572" s="21">
        <f>C572*E572</f>
      </c>
    </row>
    <row r="573">
      <c r="A573" s="4" t="s">
        <v>594</v>
      </c>
      <c r="B573" s="12" t="s">
        <v>595</v>
      </c>
      <c r="C573" s="21">
        <f>(1)*(1)*(1)*(1)*(1 + (0))</f>
      </c>
      <c r="D573" s="21" t="s">
        <v>45</v>
      </c>
      <c r="E573" s="21"/>
      <c r="F573" s="21">
        <f>C573*E573</f>
      </c>
    </row>
    <row r="574">
      <c r="A574" s="4" t="s">
        <v>596</v>
      </c>
      <c r="B574" s="12" t="s">
        <v>597</v>
      </c>
      <c r="C574" s="21">
        <f>(1)*(1)*(1)*(1)*(1 + (0))</f>
      </c>
      <c r="D574" s="21" t="s">
        <v>45</v>
      </c>
      <c r="E574" s="21"/>
      <c r="F574" s="21">
        <f>C574*E574</f>
      </c>
    </row>
    <row r="575">
      <c r="A575" s="4" t="s">
        <v>598</v>
      </c>
      <c r="B575" s="12" t="s">
        <v>599</v>
      </c>
      <c r="C575" s="21">
        <f>(1)*(1)*(1)*(1)*(1 + (0))</f>
      </c>
      <c r="D575" s="21" t="s">
        <v>45</v>
      </c>
      <c r="E575" s="21"/>
      <c r="F575" s="21">
        <f>C575*E575</f>
      </c>
    </row>
    <row r="576">
      <c r="A576" s="4" t="s">
        <v>600</v>
      </c>
      <c r="B576" s="12" t="s">
        <v>601</v>
      </c>
      <c r="C576" s="21">
        <f>(1)*(1)*(1)*(1)*(1 + (0))</f>
      </c>
      <c r="D576" s="21" t="s">
        <v>45</v>
      </c>
      <c r="E576" s="21"/>
      <c r="F576" s="21">
        <f>C576*E576</f>
      </c>
    </row>
    <row r="577">
      <c r="A577" s="4" t="s">
        <v>602</v>
      </c>
      <c r="B577" s="12" t="s">
        <v>603</v>
      </c>
      <c r="C577" s="21">
        <f>(1)*(1)*(1)*(1)*(1 + (0))</f>
      </c>
      <c r="D577" s="21" t="s">
        <v>45</v>
      </c>
      <c r="E577" s="21"/>
      <c r="F577" s="21">
        <f>C577*E577</f>
      </c>
    </row>
    <row r="578">
      <c r="A578" s="4" t="s">
        <v>604</v>
      </c>
      <c r="B578" s="12" t="s">
        <v>605</v>
      </c>
      <c r="C578" s="21">
        <f>(1)*(1)*(1)*(1)*(1 + (0))</f>
      </c>
      <c r="D578" s="21" t="s">
        <v>45</v>
      </c>
      <c r="E578" s="21"/>
      <c r="F578" s="21">
        <f>C578*E578</f>
      </c>
    </row>
    <row r="579">
      <c r="A579" s="3"/>
      <c r="B579" s="11" t="s">
        <v>606</v>
      </c>
      <c r="C579" s="20"/>
      <c r="D579" s="20"/>
      <c r="E579" s="20"/>
      <c r="F579" s="20"/>
    </row>
    <row r="580">
      <c r="A580" s="5"/>
      <c r="B580" s="13" t="s">
        <v>607</v>
      </c>
      <c r="C580" s="22"/>
      <c r="D580" s="22"/>
      <c r="E580" s="22"/>
      <c r="F580" s="22"/>
    </row>
    <row r="581">
      <c r="A581" s="4"/>
      <c r="B581" s="14" t="s">
        <v>297</v>
      </c>
      <c r="C581" s="21">
        <f>(1230)*(1)*(1)*(1)*(1 + (0))</f>
      </c>
      <c r="D581" s="21" t="s">
        <v>9</v>
      </c>
      <c r="E581" s="21"/>
      <c r="F581" s="21">
        <f>C581*E581</f>
      </c>
    </row>
    <row r="582">
      <c r="A582" s="4"/>
      <c r="B582" s="14" t="s">
        <v>608</v>
      </c>
      <c r="C582" s="21">
        <f>(22)*(1)*(1)*(1)*(1 + (0))</f>
      </c>
      <c r="D582" s="21" t="s">
        <v>167</v>
      </c>
      <c r="E582" s="21"/>
      <c r="F582" s="21">
        <f>C582*E582</f>
      </c>
    </row>
    <row r="583">
      <c r="A583" s="4"/>
      <c r="B583" s="14" t="s">
        <v>609</v>
      </c>
      <c r="C583" s="21">
        <f>(33)*(1)*(1)*(1)*(1 + (0))</f>
      </c>
      <c r="D583" s="21" t="s">
        <v>167</v>
      </c>
      <c r="E583" s="21"/>
      <c r="F583" s="21">
        <f>C583*E583</f>
      </c>
    </row>
    <row r="584">
      <c r="A584" s="2"/>
      <c r="B584" s="10" t="s">
        <v>610</v>
      </c>
      <c r="C584" s="19"/>
      <c r="D584" s="19"/>
      <c r="E584" s="19"/>
      <c r="F584" s="19"/>
    </row>
    <row r="585">
      <c r="A585" s="3"/>
      <c r="B585" s="11" t="s">
        <v>14</v>
      </c>
      <c r="C585" s="20"/>
      <c r="D585" s="20"/>
      <c r="E585" s="20"/>
      <c r="F585" s="20"/>
    </row>
    <row r="586">
      <c r="A586" s="4" t="s">
        <v>611</v>
      </c>
      <c r="B586" s="12" t="s">
        <v>16</v>
      </c>
      <c r="C586" s="21"/>
      <c r="D586" s="21" t="s">
        <v>17</v>
      </c>
      <c r="E586" s="21"/>
      <c r="F586" s="21">
        <f>C586*E586</f>
      </c>
    </row>
    <row r="587">
      <c r="A587" s="4" t="s">
        <v>612</v>
      </c>
      <c r="B587" s="12" t="s">
        <v>19</v>
      </c>
      <c r="C587" s="21"/>
      <c r="D587" s="21" t="s">
        <v>17</v>
      </c>
      <c r="E587" s="21"/>
      <c r="F587" s="21">
        <f>C587*E587</f>
      </c>
    </row>
    <row r="588">
      <c r="A588" s="3"/>
      <c r="B588" s="11" t="s">
        <v>98</v>
      </c>
      <c r="C588" s="20"/>
      <c r="D588" s="20"/>
      <c r="E588" s="20"/>
      <c r="F588" s="20"/>
    </row>
    <row r="589">
      <c r="A589" s="4"/>
      <c r="B589" s="12" t="s">
        <v>613</v>
      </c>
      <c r="C589" s="21"/>
      <c r="D589" s="21" t="s">
        <v>17</v>
      </c>
      <c r="E589" s="21"/>
      <c r="F589" s="21">
        <f>C589*E589</f>
      </c>
    </row>
    <row r="590">
      <c r="A590" s="4"/>
      <c r="B590" s="12" t="s">
        <v>614</v>
      </c>
      <c r="C590" s="21"/>
      <c r="D590" s="21" t="s">
        <v>17</v>
      </c>
      <c r="E590" s="21"/>
      <c r="F590" s="21">
        <f>C590*E590</f>
      </c>
    </row>
    <row r="591">
      <c r="A591" s="4"/>
      <c r="B591" s="12" t="s">
        <v>615</v>
      </c>
      <c r="C591" s="21"/>
      <c r="D591" s="21" t="s">
        <v>17</v>
      </c>
      <c r="E591" s="21"/>
      <c r="F591" s="21">
        <f>C591*E591</f>
      </c>
    </row>
    <row r="592">
      <c r="A592" s="3"/>
      <c r="B592" s="11" t="s">
        <v>24</v>
      </c>
      <c r="C592" s="20"/>
      <c r="D592" s="20"/>
      <c r="E592" s="20"/>
      <c r="F592" s="20"/>
    </row>
    <row r="593">
      <c r="A593" s="5"/>
      <c r="B593" s="13" t="s">
        <v>25</v>
      </c>
      <c r="C593" s="22"/>
      <c r="D593" s="22"/>
      <c r="E593" s="22"/>
      <c r="F593" s="22"/>
    </row>
    <row r="594">
      <c r="A594" s="4" t="s">
        <v>616</v>
      </c>
      <c r="B594" s="14" t="s">
        <v>617</v>
      </c>
      <c r="C594" s="21"/>
      <c r="D594" s="21" t="s">
        <v>17</v>
      </c>
      <c r="E594" s="21"/>
      <c r="F594" s="21">
        <f>C594*E594</f>
      </c>
    </row>
    <row r="595">
      <c r="A595" s="4" t="s">
        <v>618</v>
      </c>
      <c r="B595" s="14" t="s">
        <v>619</v>
      </c>
      <c r="C595" s="21"/>
      <c r="D595" s="21" t="s">
        <v>17</v>
      </c>
      <c r="E595" s="21"/>
      <c r="F595" s="21">
        <f>C595*E595</f>
      </c>
    </row>
    <row r="596">
      <c r="A596" s="4" t="s">
        <v>620</v>
      </c>
      <c r="B596" s="14" t="s">
        <v>621</v>
      </c>
      <c r="C596" s="21"/>
      <c r="D596" s="21" t="s">
        <v>17</v>
      </c>
      <c r="E596" s="21"/>
      <c r="F596" s="21">
        <f>C596*E596</f>
      </c>
    </row>
    <row r="597">
      <c r="A597" s="4" t="s">
        <v>622</v>
      </c>
      <c r="B597" s="14" t="s">
        <v>623</v>
      </c>
      <c r="C597" s="21"/>
      <c r="D597" s="21" t="s">
        <v>17</v>
      </c>
      <c r="E597" s="21"/>
      <c r="F597" s="21">
        <f>C597*E597</f>
      </c>
    </row>
    <row r="598">
      <c r="A598" s="4" t="s">
        <v>624</v>
      </c>
      <c r="B598" s="14" t="s">
        <v>625</v>
      </c>
      <c r="C598" s="21"/>
      <c r="D598" s="21" t="s">
        <v>17</v>
      </c>
      <c r="E598" s="21"/>
      <c r="F598" s="21">
        <f>C598*E598</f>
      </c>
    </row>
    <row r="599">
      <c r="A599" s="4" t="s">
        <v>626</v>
      </c>
      <c r="B599" s="14" t="s">
        <v>627</v>
      </c>
      <c r="C599" s="21"/>
      <c r="D599" s="21" t="s">
        <v>17</v>
      </c>
      <c r="E599" s="21"/>
      <c r="F599" s="21">
        <f>C599*E599</f>
      </c>
    </row>
    <row r="600">
      <c r="A600" s="4" t="s">
        <v>628</v>
      </c>
      <c r="B600" s="14" t="s">
        <v>194</v>
      </c>
      <c r="C600" s="21"/>
      <c r="D600" s="21" t="s">
        <v>17</v>
      </c>
      <c r="E600" s="21"/>
      <c r="F600" s="21">
        <f>C600*E600</f>
      </c>
    </row>
    <row r="601">
      <c r="A601" s="3"/>
      <c r="B601" s="11" t="s">
        <v>42</v>
      </c>
      <c r="C601" s="20"/>
      <c r="D601" s="20"/>
      <c r="E601" s="20"/>
      <c r="F601" s="20"/>
    </row>
    <row r="602">
      <c r="A602" s="4" t="s">
        <v>629</v>
      </c>
      <c r="B602" s="12" t="s">
        <v>59</v>
      </c>
      <c r="C602" s="21">
        <f>(1)*(1)*(1)*(1)*(1 + (0))</f>
      </c>
      <c r="D602" s="21" t="s">
        <v>45</v>
      </c>
      <c r="E602" s="21"/>
      <c r="F602" s="21">
        <f>C602*E602</f>
      </c>
    </row>
    <row r="603">
      <c r="A603" s="4" t="s">
        <v>630</v>
      </c>
      <c r="B603" s="12" t="s">
        <v>61</v>
      </c>
      <c r="C603" s="21">
        <f>(1)*(1)*(1)*(1)*(1 + (0))</f>
      </c>
      <c r="D603" s="21" t="s">
        <v>45</v>
      </c>
      <c r="E603" s="21"/>
      <c r="F603" s="21">
        <f>C603*E603</f>
      </c>
    </row>
    <row r="604">
      <c r="A604" s="4" t="s">
        <v>631</v>
      </c>
      <c r="B604" s="12" t="s">
        <v>632</v>
      </c>
      <c r="C604" s="21">
        <f>(1)*(1)*(1)*(1)*(1 + (0))</f>
      </c>
      <c r="D604" s="21" t="s">
        <v>45</v>
      </c>
      <c r="E604" s="21"/>
      <c r="F604" s="21">
        <f>C604*E604</f>
      </c>
    </row>
    <row r="605">
      <c r="A605" s="4" t="s">
        <v>633</v>
      </c>
      <c r="B605" s="12" t="s">
        <v>634</v>
      </c>
      <c r="C605" s="21">
        <f>(1)*(1)*(1)*(1)*(1 + (0))</f>
      </c>
      <c r="D605" s="21" t="s">
        <v>45</v>
      </c>
      <c r="E605" s="21"/>
      <c r="F605" s="21">
        <f>C605*E605</f>
      </c>
    </row>
    <row r="606">
      <c r="A606" s="4" t="s">
        <v>635</v>
      </c>
      <c r="B606" s="12" t="s">
        <v>636</v>
      </c>
      <c r="C606" s="21">
        <f>(1)*(1)*(1)*(1)*(1 + (0))</f>
      </c>
      <c r="D606" s="21" t="s">
        <v>45</v>
      </c>
      <c r="E606" s="21"/>
      <c r="F606" s="21">
        <f>C606*E606</f>
      </c>
    </row>
    <row r="607">
      <c r="A607" s="4" t="s">
        <v>637</v>
      </c>
      <c r="B607" s="12" t="s">
        <v>638</v>
      </c>
      <c r="C607" s="21">
        <f>(1)*(1)*(1)*(1)*(1 + (0))</f>
      </c>
      <c r="D607" s="21" t="s">
        <v>45</v>
      </c>
      <c r="E607" s="21"/>
      <c r="F607" s="21">
        <f>C607*E607</f>
      </c>
    </row>
    <row r="608">
      <c r="A608" s="4" t="s">
        <v>639</v>
      </c>
      <c r="B608" s="12" t="s">
        <v>640</v>
      </c>
      <c r="C608" s="21">
        <f>(1)*(1)*(1)*(1)*(1 + (0))</f>
      </c>
      <c r="D608" s="21" t="s">
        <v>45</v>
      </c>
      <c r="E608" s="21"/>
      <c r="F608" s="21">
        <f>C608*E608</f>
      </c>
    </row>
    <row r="609">
      <c r="A609" s="4" t="s">
        <v>641</v>
      </c>
      <c r="B609" s="12" t="s">
        <v>642</v>
      </c>
      <c r="C609" s="21">
        <f>(1)*(1)*(1)*(1)*(1 + (0))</f>
      </c>
      <c r="D609" s="21" t="s">
        <v>45</v>
      </c>
      <c r="E609" s="21"/>
      <c r="F609" s="21">
        <f>C609*E609</f>
      </c>
    </row>
    <row r="610">
      <c r="A610" s="4" t="s">
        <v>643</v>
      </c>
      <c r="B610" s="12" t="s">
        <v>644</v>
      </c>
      <c r="C610" s="21">
        <f>(1)*(1)*(1)*(1)*(1 + (0))</f>
      </c>
      <c r="D610" s="21" t="s">
        <v>45</v>
      </c>
      <c r="E610" s="21"/>
      <c r="F610" s="21">
        <f>C610*E610</f>
      </c>
    </row>
    <row r="611">
      <c r="A611" s="4" t="s">
        <v>645</v>
      </c>
      <c r="B611" s="12" t="s">
        <v>486</v>
      </c>
      <c r="C611" s="21">
        <f>(1)*(1)*(1)*(1)*(1 + (0))</f>
      </c>
      <c r="D611" s="21" t="s">
        <v>45</v>
      </c>
      <c r="E611" s="21"/>
      <c r="F611" s="21">
        <f>C611*E611</f>
      </c>
    </row>
    <row r="612">
      <c r="A612" s="4" t="s">
        <v>646</v>
      </c>
      <c r="B612" s="12" t="s">
        <v>647</v>
      </c>
      <c r="C612" s="21">
        <f>(1)*(1)*(1)*(1)*(1 + (0))</f>
      </c>
      <c r="D612" s="21" t="s">
        <v>45</v>
      </c>
      <c r="E612" s="21"/>
      <c r="F612" s="21">
        <f>C612*E612</f>
      </c>
    </row>
    <row r="613">
      <c r="A613" s="3"/>
      <c r="B613" s="11" t="s">
        <v>648</v>
      </c>
      <c r="C613" s="20"/>
      <c r="D613" s="20"/>
      <c r="E613" s="20"/>
      <c r="F613" s="20"/>
    </row>
    <row r="614">
      <c r="A614" s="5"/>
      <c r="B614" s="13" t="s">
        <v>649</v>
      </c>
      <c r="C614" s="22"/>
      <c r="D614" s="22"/>
      <c r="E614" s="22"/>
      <c r="F614" s="22"/>
    </row>
    <row r="615">
      <c r="A615" s="6"/>
      <c r="B615" s="15" t="s">
        <v>650</v>
      </c>
      <c r="C615" s="23"/>
      <c r="D615" s="23"/>
      <c r="E615" s="23"/>
      <c r="F615" s="23"/>
    </row>
    <row r="616">
      <c r="A616" s="4"/>
      <c r="B616" s="16" t="s">
        <v>651</v>
      </c>
      <c r="C616" s="21">
        <f>(0.4192)*(1)*(1)*(1)*(1 + (0))</f>
      </c>
      <c r="D616" s="21" t="s">
        <v>495</v>
      </c>
      <c r="E616" s="21"/>
      <c r="F616" s="21">
        <f>C616*E616</f>
      </c>
    </row>
    <row r="617">
      <c r="A617" s="4"/>
      <c r="B617" s="16" t="s">
        <v>652</v>
      </c>
      <c r="C617" s="21">
        <f>(0.08515)*(1)*(1)*(1)*(1 + (0))</f>
      </c>
      <c r="D617" s="21" t="s">
        <v>495</v>
      </c>
      <c r="E617" s="21"/>
      <c r="F617" s="21">
        <f>C617*E617</f>
      </c>
    </row>
    <row r="618">
      <c r="A618" s="4"/>
      <c r="B618" s="16" t="s">
        <v>653</v>
      </c>
      <c r="C618" s="21">
        <f>(0.0756525)*(1)*(1)*(1)*(1 + (0))</f>
      </c>
      <c r="D618" s="21" t="s">
        <v>495</v>
      </c>
      <c r="E618" s="21"/>
      <c r="F618" s="21">
        <f>C618*E618</f>
      </c>
    </row>
    <row r="619">
      <c r="A619" s="4"/>
      <c r="B619" s="16" t="s">
        <v>654</v>
      </c>
      <c r="C619" s="21">
        <f>(5)*(1)*(1)*(1)*(1 + (0))</f>
      </c>
      <c r="D619" s="21" t="s">
        <v>170</v>
      </c>
      <c r="E619" s="21"/>
      <c r="F619" s="21">
        <f>C619*E619</f>
      </c>
    </row>
    <row r="620">
      <c r="A620" s="4"/>
      <c r="B620" s="16" t="s">
        <v>655</v>
      </c>
      <c r="C620" s="21">
        <f>(1)*(1)*(1)*(1)*(1 + (0))</f>
      </c>
      <c r="D620" s="21" t="s">
        <v>170</v>
      </c>
      <c r="E620" s="21"/>
      <c r="F620" s="21">
        <f>C620*E620</f>
      </c>
    </row>
    <row r="621">
      <c r="A621" s="6"/>
      <c r="B621" s="15" t="s">
        <v>656</v>
      </c>
      <c r="C621" s="23"/>
      <c r="D621" s="23"/>
      <c r="E621" s="23"/>
      <c r="F621" s="23"/>
    </row>
    <row r="622">
      <c r="A622" s="4"/>
      <c r="B622" s="16" t="s">
        <v>657</v>
      </c>
      <c r="C622" s="21">
        <f>(1.20828403813714)*(1)*(1)*(1)*(1 + (0))</f>
      </c>
      <c r="D622" s="21" t="s">
        <v>495</v>
      </c>
      <c r="E622" s="21"/>
      <c r="F622" s="21">
        <f>C622*E622</f>
      </c>
    </row>
    <row r="623">
      <c r="A623" s="4"/>
      <c r="B623" s="16" t="s">
        <v>658</v>
      </c>
      <c r="C623" s="21">
        <f>(0.40691303522507)*(1)*(1)*(1)*(1 + (0))</f>
      </c>
      <c r="D623" s="21" t="s">
        <v>495</v>
      </c>
      <c r="E623" s="21"/>
      <c r="F623" s="21">
        <f>C623*E623</f>
      </c>
    </row>
    <row r="624">
      <c r="A624" s="4"/>
      <c r="B624" s="16" t="s">
        <v>659</v>
      </c>
      <c r="C624" s="21">
        <f>(1.39526361177808)*(1)*(1)*(1)*(1 + (0))</f>
      </c>
      <c r="D624" s="21" t="s">
        <v>495</v>
      </c>
      <c r="E624" s="21"/>
      <c r="F624" s="21">
        <f>C624*E624</f>
      </c>
    </row>
    <row r="625">
      <c r="A625" s="4"/>
      <c r="B625" s="16" t="s">
        <v>660</v>
      </c>
      <c r="C625" s="21">
        <f>(0.52457711732179)*(1)*(1)*(1)*(1 + (0))</f>
      </c>
      <c r="D625" s="21" t="s">
        <v>495</v>
      </c>
      <c r="E625" s="21"/>
      <c r="F625" s="21">
        <f>C625*E625</f>
      </c>
    </row>
    <row r="626">
      <c r="A626" s="4"/>
      <c r="B626" s="16" t="s">
        <v>661</v>
      </c>
      <c r="C626" s="21">
        <f>(0.457126772183658)*(1)*(1)*(1)*(1 + (0))</f>
      </c>
      <c r="D626" s="21" t="s">
        <v>495</v>
      </c>
      <c r="E626" s="21"/>
      <c r="F626" s="21">
        <f>C626*E626</f>
      </c>
    </row>
    <row r="627">
      <c r="A627" s="4"/>
      <c r="B627" s="16" t="s">
        <v>662</v>
      </c>
      <c r="C627" s="21">
        <f>(0.521825712692875)*(1)*(1)*(1)*(1 + (0))</f>
      </c>
      <c r="D627" s="21" t="s">
        <v>495</v>
      </c>
      <c r="E627" s="21"/>
      <c r="F627" s="21">
        <f>C627*E627</f>
      </c>
    </row>
    <row r="628">
      <c r="A628" s="4"/>
      <c r="B628" s="16" t="s">
        <v>663</v>
      </c>
      <c r="C628" s="21">
        <f>(0.149054117859849)*(1)*(1)*(1)*(1 + (0))</f>
      </c>
      <c r="D628" s="21" t="s">
        <v>495</v>
      </c>
      <c r="E628" s="21"/>
      <c r="F628" s="21">
        <f>C628*E628</f>
      </c>
    </row>
    <row r="629">
      <c r="A629" s="4"/>
      <c r="B629" s="16" t="s">
        <v>664</v>
      </c>
      <c r="C629" s="21">
        <f>(0.319619169530987)*(1)*(1)*(1)*(1 + (0))</f>
      </c>
      <c r="D629" s="21" t="s">
        <v>495</v>
      </c>
      <c r="E629" s="21"/>
      <c r="F629" s="21">
        <f>C629*E629</f>
      </c>
    </row>
    <row r="630">
      <c r="A630" s="4"/>
      <c r="B630" s="16" t="s">
        <v>665</v>
      </c>
      <c r="C630" s="21">
        <f>(0.629970077989699)*(1)*(1)*(1)*(1 + (0))</f>
      </c>
      <c r="D630" s="21" t="s">
        <v>495</v>
      </c>
      <c r="E630" s="21"/>
      <c r="F630" s="21">
        <f>C630*E630</f>
      </c>
    </row>
    <row r="631">
      <c r="A631" s="4"/>
      <c r="B631" s="16" t="s">
        <v>666</v>
      </c>
      <c r="C631" s="21">
        <f>(0.203957456278054)*(1)*(1)*(1)*(1 + (0))</f>
      </c>
      <c r="D631" s="21" t="s">
        <v>495</v>
      </c>
      <c r="E631" s="21"/>
      <c r="F631" s="21">
        <f>C631*E631</f>
      </c>
    </row>
    <row r="632">
      <c r="A632" s="4"/>
      <c r="B632" s="16" t="s">
        <v>667</v>
      </c>
      <c r="C632" s="21">
        <f>(0.650740505491893)*(1)*(1)*(1)*(1 + (0))</f>
      </c>
      <c r="D632" s="21" t="s">
        <v>495</v>
      </c>
      <c r="E632" s="21"/>
      <c r="F632" s="21">
        <f>C632*E632</f>
      </c>
    </row>
    <row r="633">
      <c r="A633" s="4"/>
      <c r="B633" s="16" t="s">
        <v>668</v>
      </c>
      <c r="C633" s="21">
        <f>(0.468933956767558)*(1)*(1)*(1)*(1 + (0))</f>
      </c>
      <c r="D633" s="21" t="s">
        <v>495</v>
      </c>
      <c r="E633" s="21"/>
      <c r="F633" s="21">
        <f>C633*E633</f>
      </c>
    </row>
    <row r="634">
      <c r="A634" s="4"/>
      <c r="B634" s="16" t="s">
        <v>653</v>
      </c>
      <c r="C634" s="21">
        <f>(1.0404398356885)*(1)*(1)*(1)*(1 + (0))</f>
      </c>
      <c r="D634" s="21" t="s">
        <v>495</v>
      </c>
      <c r="E634" s="21"/>
      <c r="F634" s="21">
        <f>C634*E634</f>
      </c>
    </row>
    <row r="635">
      <c r="A635" s="4"/>
      <c r="B635" s="16" t="s">
        <v>669</v>
      </c>
      <c r="C635" s="21">
        <f>(1)*(1)*(1)*(1)*(1 + (0))</f>
      </c>
      <c r="D635" s="21" t="s">
        <v>170</v>
      </c>
      <c r="E635" s="21"/>
      <c r="F635" s="21">
        <f>C635*E635</f>
      </c>
    </row>
    <row r="636">
      <c r="A636" s="4"/>
      <c r="B636" s="16" t="s">
        <v>670</v>
      </c>
      <c r="C636" s="21">
        <f>(1)*(1)*(1)*(1)*(1 + (0))</f>
      </c>
      <c r="D636" s="21" t="s">
        <v>170</v>
      </c>
      <c r="E636" s="21"/>
      <c r="F636" s="21">
        <f>C636*E636</f>
      </c>
    </row>
    <row r="637">
      <c r="A637" s="4"/>
      <c r="B637" s="16" t="s">
        <v>671</v>
      </c>
      <c r="C637" s="21">
        <f>(1)*(1)*(1)*(1)*(1 + (0))</f>
      </c>
      <c r="D637" s="21" t="s">
        <v>170</v>
      </c>
      <c r="E637" s="21"/>
      <c r="F637" s="21">
        <f>C637*E637</f>
      </c>
    </row>
    <row r="638">
      <c r="A638" s="4"/>
      <c r="B638" s="16" t="s">
        <v>672</v>
      </c>
      <c r="C638" s="21">
        <f>(3)*(1)*(1)*(1)*(1 + (0))</f>
      </c>
      <c r="D638" s="21" t="s">
        <v>170</v>
      </c>
      <c r="E638" s="21"/>
      <c r="F638" s="21">
        <f>C638*E638</f>
      </c>
    </row>
    <row r="639">
      <c r="A639" s="4"/>
      <c r="B639" s="16" t="s">
        <v>673</v>
      </c>
      <c r="C639" s="21">
        <f>(4)*(1)*(1)*(1)*(1 + (0))</f>
      </c>
      <c r="D639" s="21" t="s">
        <v>170</v>
      </c>
      <c r="E639" s="21"/>
      <c r="F639" s="21">
        <f>C639*E639</f>
      </c>
    </row>
    <row r="640">
      <c r="A640" s="4"/>
      <c r="B640" s="16" t="s">
        <v>674</v>
      </c>
      <c r="C640" s="21">
        <f>(1)*(1)*(1)*(1)*(1 + (0))</f>
      </c>
      <c r="D640" s="21" t="s">
        <v>170</v>
      </c>
      <c r="E640" s="21"/>
      <c r="F640" s="21">
        <f>C640*E640</f>
      </c>
    </row>
    <row r="641">
      <c r="A641" s="4"/>
      <c r="B641" s="16" t="s">
        <v>675</v>
      </c>
      <c r="C641" s="21">
        <f>(1)*(1)*(1)*(1)*(1 + (0))</f>
      </c>
      <c r="D641" s="21" t="s">
        <v>170</v>
      </c>
      <c r="E641" s="21"/>
      <c r="F641" s="21">
        <f>C641*E641</f>
      </c>
    </row>
    <row r="642">
      <c r="A642" s="4"/>
      <c r="B642" s="16" t="s">
        <v>676</v>
      </c>
      <c r="C642" s="21">
        <f>(3)*(1)*(1)*(1)*(1 + (0))</f>
      </c>
      <c r="D642" s="21" t="s">
        <v>170</v>
      </c>
      <c r="E642" s="21"/>
      <c r="F642" s="21">
        <f>C642*E642</f>
      </c>
    </row>
    <row r="643">
      <c r="A643" s="4"/>
      <c r="B643" s="16" t="s">
        <v>677</v>
      </c>
      <c r="C643" s="21">
        <f>(12)*(1)*(1)*(1)*(1 + (0))</f>
      </c>
      <c r="D643" s="21" t="s">
        <v>170</v>
      </c>
      <c r="E643" s="21"/>
      <c r="F643" s="21">
        <f>C643*E643</f>
      </c>
    </row>
    <row r="644">
      <c r="A644" s="4"/>
      <c r="B644" s="16" t="s">
        <v>678</v>
      </c>
      <c r="C644" s="21">
        <f>(23)*(1)*(1)*(1)*(1 + (0))</f>
      </c>
      <c r="D644" s="21" t="s">
        <v>170</v>
      </c>
      <c r="E644" s="21"/>
      <c r="F644" s="21">
        <f>C644*E644</f>
      </c>
    </row>
    <row r="645">
      <c r="A645" s="4"/>
      <c r="B645" s="16" t="s">
        <v>679</v>
      </c>
      <c r="C645" s="21">
        <f>(4)*(1)*(1)*(1)*(1 + (0))</f>
      </c>
      <c r="D645" s="21" t="s">
        <v>170</v>
      </c>
      <c r="E645" s="21"/>
      <c r="F645" s="21">
        <f>C645*E645</f>
      </c>
    </row>
    <row r="646">
      <c r="A646" s="4"/>
      <c r="B646" s="16" t="s">
        <v>680</v>
      </c>
      <c r="C646" s="21">
        <f>(6)*(1)*(1)*(1)*(1 + (0))</f>
      </c>
      <c r="D646" s="21" t="s">
        <v>170</v>
      </c>
      <c r="E646" s="21"/>
      <c r="F646" s="21">
        <f>C646*E646</f>
      </c>
    </row>
    <row r="647">
      <c r="A647" s="4"/>
      <c r="B647" s="16" t="s">
        <v>681</v>
      </c>
      <c r="C647" s="21">
        <f>(3)*(1)*(1)*(1)*(1 + (0))</f>
      </c>
      <c r="D647" s="21" t="s">
        <v>170</v>
      </c>
      <c r="E647" s="21"/>
      <c r="F647" s="21">
        <f>C647*E647</f>
      </c>
    </row>
    <row r="648">
      <c r="A648" s="4"/>
      <c r="B648" s="16" t="s">
        <v>682</v>
      </c>
      <c r="C648" s="21">
        <f>(1)*(1)*(1)*(1)*(1 + (0))</f>
      </c>
      <c r="D648" s="21" t="s">
        <v>170</v>
      </c>
      <c r="E648" s="21"/>
      <c r="F648" s="21">
        <f>C648*E648</f>
      </c>
    </row>
    <row r="649">
      <c r="A649" s="6"/>
      <c r="B649" s="15" t="s">
        <v>683</v>
      </c>
      <c r="C649" s="23"/>
      <c r="D649" s="23"/>
      <c r="E649" s="23"/>
      <c r="F649" s="23"/>
    </row>
    <row r="650">
      <c r="A650" s="4"/>
      <c r="B650" s="16" t="s">
        <v>684</v>
      </c>
      <c r="C650" s="21">
        <f>(30)*(1)*(1)*(1)*(1 + (0))</f>
      </c>
      <c r="D650" s="21" t="s">
        <v>167</v>
      </c>
      <c r="E650" s="21"/>
      <c r="F650" s="21">
        <f>C650*E650</f>
      </c>
    </row>
    <row r="651">
      <c r="A651" s="4"/>
      <c r="B651" s="16" t="s">
        <v>685</v>
      </c>
      <c r="C651" s="21">
        <f>(0.375547909615545)*(1)*(1)*(1)*(1 + (0))</f>
      </c>
      <c r="D651" s="21" t="s">
        <v>495</v>
      </c>
      <c r="E651" s="21"/>
      <c r="F651" s="21">
        <f>C651*E651</f>
      </c>
    </row>
    <row r="652">
      <c r="A652" s="4"/>
      <c r="B652" s="16" t="s">
        <v>653</v>
      </c>
      <c r="C652" s="21">
        <f>(0.057)*(1)*(1)*(1)*(1 + (0))</f>
      </c>
      <c r="D652" s="21" t="s">
        <v>495</v>
      </c>
      <c r="E652" s="21"/>
      <c r="F652" s="21">
        <f>C652*E652</f>
      </c>
    </row>
    <row r="653">
      <c r="A653" s="6"/>
      <c r="B653" s="15" t="s">
        <v>686</v>
      </c>
      <c r="C653" s="23"/>
      <c r="D653" s="23"/>
      <c r="E653" s="23"/>
      <c r="F653" s="23"/>
    </row>
    <row r="654">
      <c r="A654" s="4"/>
      <c r="B654" s="16" t="s">
        <v>687</v>
      </c>
      <c r="C654" s="21">
        <f>(2.54348696032382)*(1)*(1)*(1)*(1 + (0))</f>
      </c>
      <c r="D654" s="21" t="s">
        <v>495</v>
      </c>
      <c r="E654" s="21"/>
      <c r="F654" s="21">
        <f>C654*E654</f>
      </c>
    </row>
    <row r="655">
      <c r="A655" s="4"/>
      <c r="B655" s="16" t="s">
        <v>653</v>
      </c>
      <c r="C655" s="21">
        <f>(0.381523044048572)*(1)*(1)*(1)*(1 + (0))</f>
      </c>
      <c r="D655" s="21" t="s">
        <v>495</v>
      </c>
      <c r="E655" s="21"/>
      <c r="F655" s="21">
        <f>C655*E655</f>
      </c>
    </row>
    <row r="656">
      <c r="A656" s="4"/>
      <c r="B656" s="16" t="s">
        <v>688</v>
      </c>
      <c r="C656" s="21">
        <f>(65)*(1)*(1)*(1)*(1 + (0))</f>
      </c>
      <c r="D656" s="21" t="s">
        <v>167</v>
      </c>
      <c r="E656" s="21"/>
      <c r="F656" s="21">
        <f>C656*E656</f>
      </c>
    </row>
    <row r="657">
      <c r="A657" s="4"/>
      <c r="B657" s="16" t="s">
        <v>689</v>
      </c>
      <c r="C657" s="21">
        <f>(117)*(1)*(1)*(1)*(1 + (0))</f>
      </c>
      <c r="D657" s="21" t="s">
        <v>167</v>
      </c>
      <c r="E657" s="21"/>
      <c r="F657" s="21">
        <f>C657*E657</f>
      </c>
    </row>
    <row r="658">
      <c r="A658" s="4"/>
      <c r="B658" s="16" t="s">
        <v>690</v>
      </c>
      <c r="C658" s="21">
        <f>(14)*(1)*(1)*(1)*(1 + (0))</f>
      </c>
      <c r="D658" s="21" t="s">
        <v>167</v>
      </c>
      <c r="E658" s="21"/>
      <c r="F658" s="21">
        <f>C658*E658</f>
      </c>
    </row>
    <row r="659">
      <c r="A659" s="4"/>
      <c r="B659" s="16" t="s">
        <v>691</v>
      </c>
      <c r="C659" s="21">
        <f>(41)*(1)*(1)*(1)*(1 + (0))</f>
      </c>
      <c r="D659" s="21" t="s">
        <v>167</v>
      </c>
      <c r="E659" s="21"/>
      <c r="F659" s="21">
        <f>C659*E659</f>
      </c>
    </row>
    <row r="660">
      <c r="A660" s="5"/>
      <c r="B660" s="13" t="s">
        <v>692</v>
      </c>
      <c r="C660" s="22"/>
      <c r="D660" s="22"/>
      <c r="E660" s="22"/>
      <c r="F660" s="22"/>
    </row>
    <row r="661">
      <c r="A661" s="6"/>
      <c r="B661" s="15" t="s">
        <v>650</v>
      </c>
      <c r="C661" s="23"/>
      <c r="D661" s="23"/>
      <c r="E661" s="23"/>
      <c r="F661" s="23"/>
    </row>
    <row r="662">
      <c r="A662" s="4"/>
      <c r="B662" s="16" t="s">
        <v>693</v>
      </c>
      <c r="C662" s="21">
        <f>(0.42735)*(1)*(1)*(1)*(1 + (0))</f>
      </c>
      <c r="D662" s="21" t="s">
        <v>495</v>
      </c>
      <c r="E662" s="21"/>
      <c r="F662" s="21">
        <f>C662*E662</f>
      </c>
    </row>
    <row r="663">
      <c r="A663" s="4"/>
      <c r="B663" s="16" t="s">
        <v>653</v>
      </c>
      <c r="C663" s="21">
        <f>(0.0641025)*(1)*(1)*(1)*(1 + (0))</f>
      </c>
      <c r="D663" s="21" t="s">
        <v>495</v>
      </c>
      <c r="E663" s="21"/>
      <c r="F663" s="21">
        <f>C663*E663</f>
      </c>
    </row>
    <row r="664">
      <c r="A664" s="4"/>
      <c r="B664" s="16" t="s">
        <v>694</v>
      </c>
      <c r="C664" s="21">
        <f>(3)*(1)*(1)*(1)*(1 + (0))</f>
      </c>
      <c r="D664" s="21" t="s">
        <v>170</v>
      </c>
      <c r="E664" s="21"/>
      <c r="F664" s="21">
        <f>C664*E664</f>
      </c>
    </row>
    <row r="665">
      <c r="A665" s="6"/>
      <c r="B665" s="15" t="s">
        <v>695</v>
      </c>
      <c r="C665" s="23"/>
      <c r="D665" s="23"/>
      <c r="E665" s="23"/>
      <c r="F665" s="23"/>
    </row>
    <row r="666">
      <c r="A666" s="4"/>
      <c r="B666" s="16" t="s">
        <v>696</v>
      </c>
      <c r="C666" s="21">
        <f>(0.69122088674916)*(1)*(1)*(1)*(1 + (0))</f>
      </c>
      <c r="D666" s="21" t="s">
        <v>495</v>
      </c>
      <c r="E666" s="21"/>
      <c r="F666" s="21">
        <f>C666*E666</f>
      </c>
    </row>
    <row r="667">
      <c r="A667" s="4"/>
      <c r="B667" s="16" t="s">
        <v>697</v>
      </c>
      <c r="C667" s="21">
        <f>(0.0294322442660568)*(1)*(1)*(1)*(1 + (0))</f>
      </c>
      <c r="D667" s="21" t="s">
        <v>495</v>
      </c>
      <c r="E667" s="21"/>
      <c r="F667" s="21">
        <f>C667*E667</f>
      </c>
    </row>
    <row r="668">
      <c r="A668" s="4"/>
      <c r="B668" s="16" t="s">
        <v>698</v>
      </c>
      <c r="C668" s="21">
        <f>(0.0315026067758169)*(1)*(1)*(1)*(1 + (0))</f>
      </c>
      <c r="D668" s="21" t="s">
        <v>495</v>
      </c>
      <c r="E668" s="21"/>
      <c r="F668" s="21">
        <f>C668*E668</f>
      </c>
    </row>
    <row r="669">
      <c r="A669" s="4"/>
      <c r="B669" s="16" t="s">
        <v>653</v>
      </c>
      <c r="C669" s="21">
        <f>(0.112823360668655)*(1)*(1)*(1)*(1 + (0))</f>
      </c>
      <c r="D669" s="21" t="s">
        <v>495</v>
      </c>
      <c r="E669" s="21"/>
      <c r="F669" s="21">
        <f>C669*E669</f>
      </c>
    </row>
    <row r="670">
      <c r="A670" s="4"/>
      <c r="B670" s="16" t="s">
        <v>699</v>
      </c>
      <c r="C670" s="21">
        <f>(2)*(1)*(1)*(1)*(1 + (0))</f>
      </c>
      <c r="D670" s="21" t="s">
        <v>170</v>
      </c>
      <c r="E670" s="21"/>
      <c r="F670" s="21">
        <f>C670*E670</f>
      </c>
    </row>
    <row r="671">
      <c r="A671" s="4"/>
      <c r="B671" s="16" t="s">
        <v>700</v>
      </c>
      <c r="C671" s="21">
        <f>(4)*(1)*(1)*(1)*(1 + (0))</f>
      </c>
      <c r="D671" s="21" t="s">
        <v>170</v>
      </c>
      <c r="E671" s="21"/>
      <c r="F671" s="21">
        <f>C671*E671</f>
      </c>
    </row>
    <row r="672">
      <c r="A672" s="6"/>
      <c r="B672" s="15" t="s">
        <v>701</v>
      </c>
      <c r="C672" s="23"/>
      <c r="D672" s="23"/>
      <c r="E672" s="23"/>
      <c r="F672" s="23"/>
    </row>
    <row r="673">
      <c r="A673" s="4"/>
      <c r="B673" s="16" t="s">
        <v>702</v>
      </c>
      <c r="C673" s="21">
        <f>(16)*(1)*(1)*(1)*(1 + (0))</f>
      </c>
      <c r="D673" s="21" t="s">
        <v>9</v>
      </c>
      <c r="E673" s="21"/>
      <c r="F673" s="21">
        <f>C673*E673</f>
      </c>
    </row>
    <row r="674">
      <c r="A674" s="5"/>
      <c r="B674" s="13" t="s">
        <v>703</v>
      </c>
      <c r="C674" s="22"/>
      <c r="D674" s="22"/>
      <c r="E674" s="22"/>
      <c r="F674" s="22"/>
    </row>
    <row r="675">
      <c r="A675" s="6"/>
      <c r="B675" s="15" t="s">
        <v>704</v>
      </c>
      <c r="C675" s="23"/>
      <c r="D675" s="23"/>
      <c r="E675" s="23"/>
      <c r="F675" s="23"/>
    </row>
    <row r="676">
      <c r="A676" s="4"/>
      <c r="B676" s="16" t="s">
        <v>705</v>
      </c>
      <c r="C676" s="21">
        <f>(0.111073873619922)*(1)*(1)*(1)*(1 + (0))</f>
      </c>
      <c r="D676" s="21" t="s">
        <v>495</v>
      </c>
      <c r="E676" s="21"/>
      <c r="F676" s="21">
        <f>C676*E676</f>
      </c>
    </row>
    <row r="677">
      <c r="A677" s="4"/>
      <c r="B677" s="16" t="s">
        <v>653</v>
      </c>
      <c r="C677" s="21">
        <f>(0.0166610810429883)*(1)*(1)*(1)*(1 + (0))</f>
      </c>
      <c r="D677" s="21" t="s">
        <v>495</v>
      </c>
      <c r="E677" s="21"/>
      <c r="F677" s="21">
        <f>C677*E677</f>
      </c>
    </row>
    <row r="678">
      <c r="A678" s="4"/>
      <c r="B678" s="16" t="s">
        <v>706</v>
      </c>
      <c r="C678" s="21">
        <f>(2)*(1)*(1)*(1)*(1 + (0))</f>
      </c>
      <c r="D678" s="21" t="s">
        <v>170</v>
      </c>
      <c r="E678" s="21"/>
      <c r="F678" s="21">
        <f>C678*E678</f>
      </c>
    </row>
    <row r="679">
      <c r="A679" s="6"/>
      <c r="B679" s="15" t="s">
        <v>707</v>
      </c>
      <c r="C679" s="23"/>
      <c r="D679" s="23"/>
      <c r="E679" s="23"/>
      <c r="F679" s="23"/>
    </row>
    <row r="680">
      <c r="A680" s="4"/>
      <c r="B680" s="16" t="s">
        <v>708</v>
      </c>
      <c r="C680" s="21">
        <f>(19)*(1)*(1)*(1)*(1 + (0))</f>
      </c>
      <c r="D680" s="21" t="s">
        <v>167</v>
      </c>
      <c r="E680" s="21"/>
      <c r="F680" s="21">
        <f>C680*E680</f>
      </c>
    </row>
    <row r="681">
      <c r="A681" s="4"/>
      <c r="B681" s="16" t="s">
        <v>709</v>
      </c>
      <c r="C681" s="21">
        <f>(4)*(1)*(1)*(1)*(1 + (0))</f>
      </c>
      <c r="D681" s="21" t="s">
        <v>167</v>
      </c>
      <c r="E681" s="21"/>
      <c r="F681" s="21">
        <f>C681*E681</f>
      </c>
    </row>
    <row r="682">
      <c r="A682" s="5"/>
      <c r="B682" s="13" t="s">
        <v>710</v>
      </c>
      <c r="C682" s="22"/>
      <c r="D682" s="22"/>
      <c r="E682" s="22"/>
      <c r="F682" s="22"/>
    </row>
    <row r="683">
      <c r="A683" s="6"/>
      <c r="B683" s="15" t="s">
        <v>711</v>
      </c>
      <c r="C683" s="23"/>
      <c r="D683" s="23"/>
      <c r="E683" s="23"/>
      <c r="F683" s="23"/>
    </row>
    <row r="684">
      <c r="A684" s="4"/>
      <c r="B684" s="16" t="s">
        <v>651</v>
      </c>
      <c r="C684" s="21">
        <f>(0.393)*(1)*(1)*(1)*(1 + (0))</f>
      </c>
      <c r="D684" s="21" t="s">
        <v>495</v>
      </c>
      <c r="E684" s="21"/>
      <c r="F684" s="21">
        <f>C684*E684</f>
      </c>
    </row>
    <row r="685">
      <c r="A685" s="4"/>
      <c r="B685" s="16" t="s">
        <v>653</v>
      </c>
      <c r="C685" s="21">
        <f>(0.05895)*(1)*(1)*(1)*(1 + (0))</f>
      </c>
      <c r="D685" s="21" t="s">
        <v>495</v>
      </c>
      <c r="E685" s="21"/>
      <c r="F685" s="21">
        <f>C685*E685</f>
      </c>
    </row>
    <row r="686">
      <c r="A686" s="4"/>
      <c r="B686" s="16" t="s">
        <v>654</v>
      </c>
      <c r="C686" s="21">
        <f>(4)*(1)*(1)*(1)*(1 + (0))</f>
      </c>
      <c r="D686" s="21" t="s">
        <v>170</v>
      </c>
      <c r="E686" s="21"/>
      <c r="F686" s="21">
        <f>C686*E686</f>
      </c>
    </row>
    <row r="687">
      <c r="A687" s="6"/>
      <c r="B687" s="15" t="s">
        <v>704</v>
      </c>
      <c r="C687" s="23"/>
      <c r="D687" s="23"/>
      <c r="E687" s="23"/>
      <c r="F687" s="23"/>
    </row>
    <row r="688">
      <c r="A688" s="4"/>
      <c r="B688" s="16" t="s">
        <v>712</v>
      </c>
      <c r="C688" s="21">
        <f>(0.244931153768172)*(1)*(1)*(1)*(1 + (0))</f>
      </c>
      <c r="D688" s="21" t="s">
        <v>495</v>
      </c>
      <c r="E688" s="21"/>
      <c r="F688" s="21">
        <f>C688*E688</f>
      </c>
    </row>
    <row r="689">
      <c r="A689" s="4"/>
      <c r="B689" s="16" t="s">
        <v>653</v>
      </c>
      <c r="C689" s="21">
        <f>(0.0367396730652258)*(1)*(1)*(1)*(1 + (0))</f>
      </c>
      <c r="D689" s="21" t="s">
        <v>495</v>
      </c>
      <c r="E689" s="21"/>
      <c r="F689" s="21">
        <f>C689*E689</f>
      </c>
    </row>
    <row r="690">
      <c r="A690" s="6"/>
      <c r="B690" s="15" t="s">
        <v>713</v>
      </c>
      <c r="C690" s="23"/>
      <c r="D690" s="23"/>
      <c r="E690" s="23"/>
      <c r="F690" s="23"/>
    </row>
    <row r="691">
      <c r="A691" s="4"/>
      <c r="B691" s="16" t="s">
        <v>714</v>
      </c>
      <c r="C691" s="21">
        <f>(0.0173813131156152)*(1)*(1)*(1)*(1 + (0))</f>
      </c>
      <c r="D691" s="21" t="s">
        <v>495</v>
      </c>
      <c r="E691" s="21"/>
      <c r="F691" s="21">
        <f>C691*E691</f>
      </c>
    </row>
    <row r="692">
      <c r="A692" s="4"/>
      <c r="B692" s="16" t="s">
        <v>653</v>
      </c>
      <c r="C692" s="21">
        <f>(0.003)*(1)*(1)*(1)*(1 + (0))</f>
      </c>
      <c r="D692" s="21" t="s">
        <v>495</v>
      </c>
      <c r="E692" s="21"/>
      <c r="F692" s="21">
        <f>C692*E692</f>
      </c>
    </row>
    <row r="693">
      <c r="A693" s="6"/>
      <c r="B693" s="15" t="s">
        <v>707</v>
      </c>
      <c r="C693" s="23"/>
      <c r="D693" s="23"/>
      <c r="E693" s="23"/>
      <c r="F693" s="23"/>
    </row>
    <row r="694">
      <c r="A694" s="4"/>
      <c r="B694" s="16" t="s">
        <v>715</v>
      </c>
      <c r="C694" s="21">
        <f>(39)*(1)*(1)*(1)*(1 + (0))</f>
      </c>
      <c r="D694" s="21" t="s">
        <v>167</v>
      </c>
      <c r="E694" s="21"/>
      <c r="F694" s="21">
        <f>C694*E694</f>
      </c>
    </row>
    <row r="695">
      <c r="A695" s="4"/>
      <c r="B695" s="16" t="s">
        <v>716</v>
      </c>
      <c r="C695" s="21">
        <f>(8)*(1)*(1)*(1)*(1 + (0))</f>
      </c>
      <c r="D695" s="21" t="s">
        <v>167</v>
      </c>
      <c r="E695" s="21"/>
      <c r="F695" s="21">
        <f>C695*E695</f>
      </c>
    </row>
    <row r="696">
      <c r="A696" s="5"/>
      <c r="B696" s="13" t="s">
        <v>717</v>
      </c>
      <c r="C696" s="22"/>
      <c r="D696" s="22"/>
      <c r="E696" s="22"/>
      <c r="F696" s="22"/>
    </row>
    <row r="697">
      <c r="A697" s="6"/>
      <c r="B697" s="15" t="s">
        <v>718</v>
      </c>
      <c r="C697" s="23"/>
      <c r="D697" s="23"/>
      <c r="E697" s="23"/>
      <c r="F697" s="23"/>
    </row>
    <row r="698">
      <c r="A698" s="4"/>
      <c r="B698" s="16" t="s">
        <v>719</v>
      </c>
      <c r="C698" s="21">
        <f>(4.7940028)*(1)*(1)*(1)*(1 + (0))</f>
      </c>
      <c r="D698" s="21" t="s">
        <v>495</v>
      </c>
      <c r="E698" s="21"/>
      <c r="F698" s="21">
        <f>C698*E698</f>
      </c>
    </row>
    <row r="699">
      <c r="A699" s="4"/>
      <c r="B699" s="16" t="s">
        <v>652</v>
      </c>
      <c r="C699" s="21">
        <f>(2.996232)*(1)*(1)*(1)*(1 + (0))</f>
      </c>
      <c r="D699" s="21" t="s">
        <v>495</v>
      </c>
      <c r="E699" s="21"/>
      <c r="F699" s="21">
        <f>C699*E699</f>
      </c>
    </row>
    <row r="700">
      <c r="A700" s="4"/>
      <c r="B700" s="16" t="s">
        <v>653</v>
      </c>
      <c r="C700" s="21">
        <f>(1.16853522)*(1)*(1)*(1)*(1 + (0))</f>
      </c>
      <c r="D700" s="21" t="s">
        <v>495</v>
      </c>
      <c r="E700" s="21"/>
      <c r="F700" s="21">
        <f>C700*E700</f>
      </c>
    </row>
    <row r="701">
      <c r="A701" s="4"/>
      <c r="B701" s="16" t="s">
        <v>720</v>
      </c>
      <c r="C701" s="21">
        <f>(20)*(1)*(1)*(1)*(1 + (0))</f>
      </c>
      <c r="D701" s="21" t="s">
        <v>170</v>
      </c>
      <c r="E701" s="21"/>
      <c r="F701" s="21">
        <f>C701*E701</f>
      </c>
    </row>
    <row r="702">
      <c r="A702" s="4"/>
      <c r="B702" s="16" t="s">
        <v>655</v>
      </c>
      <c r="C702" s="21">
        <f>(14)*(1)*(1)*(1)*(1 + (0))</f>
      </c>
      <c r="D702" s="21" t="s">
        <v>170</v>
      </c>
      <c r="E702" s="21"/>
      <c r="F702" s="21">
        <f>C702*E702</f>
      </c>
    </row>
    <row r="703">
      <c r="A703" s="6"/>
      <c r="B703" s="15" t="s">
        <v>721</v>
      </c>
      <c r="C703" s="23"/>
      <c r="D703" s="23"/>
      <c r="E703" s="23"/>
      <c r="F703" s="23"/>
    </row>
    <row r="704">
      <c r="A704" s="4"/>
      <c r="B704" s="16" t="s">
        <v>722</v>
      </c>
      <c r="C704" s="21">
        <f>(1.24680566636451)*(1)*(1)*(1)*(1 + (0))</f>
      </c>
      <c r="D704" s="21" t="s">
        <v>495</v>
      </c>
      <c r="E704" s="21"/>
      <c r="F704" s="21">
        <f>C704*E704</f>
      </c>
    </row>
    <row r="705">
      <c r="A705" s="4"/>
      <c r="B705" s="16" t="s">
        <v>723</v>
      </c>
      <c r="C705" s="21">
        <f>(3.16420428751496)*(1)*(1)*(1)*(1 + (0))</f>
      </c>
      <c r="D705" s="21" t="s">
        <v>495</v>
      </c>
      <c r="E705" s="21"/>
      <c r="F705" s="21">
        <f>C705*E705</f>
      </c>
    </row>
    <row r="706">
      <c r="A706" s="4"/>
      <c r="B706" s="16" t="s">
        <v>724</v>
      </c>
      <c r="C706" s="21">
        <f>(7.15569454710134)*(1)*(1)*(1)*(1 + (0))</f>
      </c>
      <c r="D706" s="21" t="s">
        <v>495</v>
      </c>
      <c r="E706" s="21"/>
      <c r="F706" s="21">
        <f>C706*E706</f>
      </c>
    </row>
    <row r="707">
      <c r="A707" s="4"/>
      <c r="B707" s="16" t="s">
        <v>725</v>
      </c>
      <c r="C707" s="21">
        <f>(0.256411319597611)*(1)*(1)*(1)*(1 + (0))</f>
      </c>
      <c r="D707" s="21" t="s">
        <v>495</v>
      </c>
      <c r="E707" s="21"/>
      <c r="F707" s="21">
        <f>C707*E707</f>
      </c>
    </row>
    <row r="708">
      <c r="A708" s="4"/>
      <c r="B708" s="16" t="s">
        <v>726</v>
      </c>
      <c r="C708" s="21">
        <f>(1.02922712659021)*(1)*(1)*(1)*(1 + (0))</f>
      </c>
      <c r="D708" s="21" t="s">
        <v>495</v>
      </c>
      <c r="E708" s="21"/>
      <c r="F708" s="21">
        <f>C708*E708</f>
      </c>
    </row>
    <row r="709">
      <c r="A709" s="4"/>
      <c r="B709" s="16" t="s">
        <v>727</v>
      </c>
      <c r="C709" s="21">
        <f>(1.77692770347178)*(1)*(1)*(1)*(1 + (0))</f>
      </c>
      <c r="D709" s="21" t="s">
        <v>495</v>
      </c>
      <c r="E709" s="21"/>
      <c r="F709" s="21">
        <f>C709*E709</f>
      </c>
    </row>
    <row r="710">
      <c r="A710" s="4"/>
      <c r="B710" s="16" t="s">
        <v>728</v>
      </c>
      <c r="C710" s="21">
        <f>(0.0874169041923262)*(1)*(1)*(1)*(1 + (0))</f>
      </c>
      <c r="D710" s="21" t="s">
        <v>495</v>
      </c>
      <c r="E710" s="21"/>
      <c r="F710" s="21">
        <f>C710*E710</f>
      </c>
    </row>
    <row r="711">
      <c r="A711" s="4"/>
      <c r="B711" s="16" t="s">
        <v>729</v>
      </c>
      <c r="C711" s="21">
        <f>(0.633718284264648)*(1)*(1)*(1)*(1 + (0))</f>
      </c>
      <c r="D711" s="21" t="s">
        <v>495</v>
      </c>
      <c r="E711" s="21"/>
      <c r="F711" s="21">
        <f>C711*E711</f>
      </c>
    </row>
    <row r="712">
      <c r="A712" s="4"/>
      <c r="B712" s="16" t="s">
        <v>666</v>
      </c>
      <c r="C712" s="21">
        <f>(0.405712741277306)*(1)*(1)*(1)*(1 + (0))</f>
      </c>
      <c r="D712" s="21" t="s">
        <v>495</v>
      </c>
      <c r="E712" s="21"/>
      <c r="F712" s="21">
        <f>C712*E712</f>
      </c>
    </row>
    <row r="713">
      <c r="A713" s="4"/>
      <c r="B713" s="16" t="s">
        <v>730</v>
      </c>
      <c r="C713" s="21">
        <f>(0.445844497757941)*(1)*(1)*(1)*(1 + (0))</f>
      </c>
      <c r="D713" s="21" t="s">
        <v>495</v>
      </c>
      <c r="E713" s="21"/>
      <c r="F713" s="21">
        <f>C713*E713</f>
      </c>
    </row>
    <row r="714">
      <c r="A714" s="4"/>
      <c r="B714" s="16" t="s">
        <v>731</v>
      </c>
      <c r="C714" s="21">
        <f>(1.45160488372601)*(1)*(1)*(1)*(1 + (0))</f>
      </c>
      <c r="D714" s="21" t="s">
        <v>495</v>
      </c>
      <c r="E714" s="21"/>
      <c r="F714" s="21">
        <f>C714*E714</f>
      </c>
    </row>
    <row r="715">
      <c r="A715" s="4"/>
      <c r="B715" s="16" t="s">
        <v>732</v>
      </c>
      <c r="C715" s="21">
        <f>(6.94460564315803)*(1)*(1)*(1)*(1 + (0))</f>
      </c>
      <c r="D715" s="21" t="s">
        <v>495</v>
      </c>
      <c r="E715" s="21"/>
      <c r="F715" s="21">
        <f>C715*E715</f>
      </c>
    </row>
    <row r="716">
      <c r="A716" s="4"/>
      <c r="B716" s="16" t="s">
        <v>733</v>
      </c>
      <c r="C716" s="21">
        <f>(0.618356953607116)*(1)*(1)*(1)*(1 + (0))</f>
      </c>
      <c r="D716" s="21" t="s">
        <v>495</v>
      </c>
      <c r="E716" s="21"/>
      <c r="F716" s="21">
        <f>C716*E716</f>
      </c>
    </row>
    <row r="717">
      <c r="A717" s="4"/>
      <c r="B717" s="16" t="s">
        <v>734</v>
      </c>
      <c r="C717" s="21">
        <f>(1.13164177524468)*(1)*(1)*(1)*(1 + (0))</f>
      </c>
      <c r="D717" s="21" t="s">
        <v>495</v>
      </c>
      <c r="E717" s="21"/>
      <c r="F717" s="21">
        <f>C717*E717</f>
      </c>
    </row>
    <row r="718">
      <c r="A718" s="4"/>
      <c r="B718" s="16" t="s">
        <v>657</v>
      </c>
      <c r="C718" s="21">
        <f>(0.163587695929133)*(1)*(1)*(1)*(1 + (0))</f>
      </c>
      <c r="D718" s="21" t="s">
        <v>495</v>
      </c>
      <c r="E718" s="21"/>
      <c r="F718" s="21">
        <f>C718*E718</f>
      </c>
    </row>
    <row r="719">
      <c r="A719" s="4"/>
      <c r="B719" s="16" t="s">
        <v>735</v>
      </c>
      <c r="C719" s="21">
        <f>(0.545403009883271)*(1)*(1)*(1)*(1 + (0))</f>
      </c>
      <c r="D719" s="21" t="s">
        <v>495</v>
      </c>
      <c r="E719" s="21"/>
      <c r="F719" s="21">
        <f>C719*E719</f>
      </c>
    </row>
    <row r="720">
      <c r="A720" s="4"/>
      <c r="B720" s="16" t="s">
        <v>653</v>
      </c>
      <c r="C720" s="21">
        <f>(4.05857445595213)*(1)*(1)*(1)*(1 + (0))</f>
      </c>
      <c r="D720" s="21" t="s">
        <v>495</v>
      </c>
      <c r="E720" s="21"/>
      <c r="F720" s="21">
        <f>C720*E720</f>
      </c>
    </row>
    <row r="721">
      <c r="A721" s="4"/>
      <c r="B721" s="16" t="s">
        <v>736</v>
      </c>
      <c r="C721" s="21">
        <f>(2)*(1)*(1)*(1)*(1 + (0))</f>
      </c>
      <c r="D721" s="21" t="s">
        <v>170</v>
      </c>
      <c r="E721" s="21"/>
      <c r="F721" s="21">
        <f>C721*E721</f>
      </c>
    </row>
    <row r="722">
      <c r="A722" s="4"/>
      <c r="B722" s="16" t="s">
        <v>737</v>
      </c>
      <c r="C722" s="21">
        <f>(3)*(1)*(1)*(1)*(1 + (0))</f>
      </c>
      <c r="D722" s="21" t="s">
        <v>170</v>
      </c>
      <c r="E722" s="21"/>
      <c r="F722" s="21">
        <f>C722*E722</f>
      </c>
    </row>
    <row r="723">
      <c r="A723" s="4"/>
      <c r="B723" s="16" t="s">
        <v>738</v>
      </c>
      <c r="C723" s="21">
        <f>(6)*(1)*(1)*(1)*(1 + (0))</f>
      </c>
      <c r="D723" s="21" t="s">
        <v>170</v>
      </c>
      <c r="E723" s="21"/>
      <c r="F723" s="21">
        <f>C723*E723</f>
      </c>
    </row>
    <row r="724">
      <c r="A724" s="4"/>
      <c r="B724" s="16" t="s">
        <v>739</v>
      </c>
      <c r="C724" s="21">
        <f>(9)*(1)*(1)*(1)*(1 + (0))</f>
      </c>
      <c r="D724" s="21" t="s">
        <v>170</v>
      </c>
      <c r="E724" s="21"/>
      <c r="F724" s="21">
        <f>C724*E724</f>
      </c>
    </row>
    <row r="725">
      <c r="A725" s="4"/>
      <c r="B725" s="16" t="s">
        <v>740</v>
      </c>
      <c r="C725" s="21">
        <f>(18)*(1)*(1)*(1)*(1 + (0))</f>
      </c>
      <c r="D725" s="21" t="s">
        <v>170</v>
      </c>
      <c r="E725" s="21"/>
      <c r="F725" s="21">
        <f>C725*E725</f>
      </c>
    </row>
    <row r="726">
      <c r="A726" s="4"/>
      <c r="B726" s="16" t="s">
        <v>682</v>
      </c>
      <c r="C726" s="21">
        <f>(1)*(1)*(1)*(1)*(1 + (0))</f>
      </c>
      <c r="D726" s="21" t="s">
        <v>170</v>
      </c>
      <c r="E726" s="21"/>
      <c r="F726" s="21">
        <f>C726*E726</f>
      </c>
    </row>
    <row r="727">
      <c r="A727" s="4"/>
      <c r="B727" s="16" t="s">
        <v>741</v>
      </c>
      <c r="C727" s="21">
        <f>(2)*(1)*(1)*(1)*(1 + (0))</f>
      </c>
      <c r="D727" s="21" t="s">
        <v>170</v>
      </c>
      <c r="E727" s="21"/>
      <c r="F727" s="21">
        <f>C727*E727</f>
      </c>
    </row>
    <row r="728">
      <c r="A728" s="4"/>
      <c r="B728" s="16" t="s">
        <v>742</v>
      </c>
      <c r="C728" s="21">
        <f>(4)*(1)*(1)*(1)*(1 + (0))</f>
      </c>
      <c r="D728" s="21" t="s">
        <v>170</v>
      </c>
      <c r="E728" s="21"/>
      <c r="F728" s="21">
        <f>C728*E728</f>
      </c>
    </row>
    <row r="729">
      <c r="A729" s="4"/>
      <c r="B729" s="16" t="s">
        <v>681</v>
      </c>
      <c r="C729" s="21">
        <f>(6)*(1)*(1)*(1)*(1 + (0))</f>
      </c>
      <c r="D729" s="21" t="s">
        <v>170</v>
      </c>
      <c r="E729" s="21"/>
      <c r="F729" s="21">
        <f>C729*E729</f>
      </c>
    </row>
    <row r="730">
      <c r="A730" s="4"/>
      <c r="B730" s="16" t="s">
        <v>743</v>
      </c>
      <c r="C730" s="21">
        <f>(1)*(1)*(1)*(1)*(1 + (0))</f>
      </c>
      <c r="D730" s="21" t="s">
        <v>170</v>
      </c>
      <c r="E730" s="21"/>
      <c r="F730" s="21">
        <f>C730*E730</f>
      </c>
    </row>
    <row r="731">
      <c r="A731" s="6"/>
      <c r="B731" s="15" t="s">
        <v>744</v>
      </c>
      <c r="C731" s="23"/>
      <c r="D731" s="23"/>
      <c r="E731" s="23"/>
      <c r="F731" s="23"/>
    </row>
    <row r="732">
      <c r="A732" s="4"/>
      <c r="B732" s="16" t="s">
        <v>745</v>
      </c>
      <c r="C732" s="21">
        <f>(0.672079945306386)*(1)*(1)*(1)*(1 + (0))</f>
      </c>
      <c r="D732" s="21" t="s">
        <v>495</v>
      </c>
      <c r="E732" s="21"/>
      <c r="F732" s="21">
        <f>C732*E732</f>
      </c>
    </row>
    <row r="733">
      <c r="A733" s="4"/>
      <c r="B733" s="16" t="s">
        <v>653</v>
      </c>
      <c r="C733" s="21">
        <f>(0.100811991795958)*(1)*(1)*(1)*(1 + (0))</f>
      </c>
      <c r="D733" s="21" t="s">
        <v>495</v>
      </c>
      <c r="E733" s="21"/>
      <c r="F733" s="21">
        <f>C733*E733</f>
      </c>
    </row>
    <row r="734">
      <c r="A734" s="6"/>
      <c r="B734" s="15" t="s">
        <v>746</v>
      </c>
      <c r="C734" s="23"/>
      <c r="D734" s="23"/>
      <c r="E734" s="23"/>
      <c r="F734" s="23"/>
    </row>
    <row r="735">
      <c r="A735" s="4"/>
      <c r="B735" s="16" t="s">
        <v>747</v>
      </c>
      <c r="C735" s="21">
        <f>(3.92365889433288)*(1)*(1)*(1)*(1 + (0))</f>
      </c>
      <c r="D735" s="21" t="s">
        <v>495</v>
      </c>
      <c r="E735" s="21"/>
      <c r="F735" s="21">
        <f>C735*E735</f>
      </c>
    </row>
    <row r="736">
      <c r="A736" s="4"/>
      <c r="B736" s="16" t="s">
        <v>748</v>
      </c>
      <c r="C736" s="21">
        <f>(1.57401463948679)*(1)*(1)*(1)*(1 + (0))</f>
      </c>
      <c r="D736" s="21" t="s">
        <v>495</v>
      </c>
      <c r="E736" s="21"/>
      <c r="F736" s="21">
        <f>C736*E736</f>
      </c>
    </row>
    <row r="737">
      <c r="A737" s="4"/>
      <c r="B737" s="16" t="s">
        <v>749</v>
      </c>
      <c r="C737" s="21">
        <f>(5.65190278354385)*(1)*(1)*(1)*(1 + (0))</f>
      </c>
      <c r="D737" s="21" t="s">
        <v>495</v>
      </c>
      <c r="E737" s="21"/>
      <c r="F737" s="21">
        <f>C737*E737</f>
      </c>
    </row>
    <row r="738">
      <c r="A738" s="4"/>
      <c r="B738" s="16" t="s">
        <v>653</v>
      </c>
      <c r="C738" s="21">
        <f>(1.67243644760453)*(1)*(1)*(1)*(1 + (0))</f>
      </c>
      <c r="D738" s="21" t="s">
        <v>495</v>
      </c>
      <c r="E738" s="21"/>
      <c r="F738" s="21">
        <f>C738*E738</f>
      </c>
    </row>
    <row r="739">
      <c r="A739" s="5"/>
      <c r="B739" s="13" t="s">
        <v>750</v>
      </c>
      <c r="C739" s="22"/>
      <c r="D739" s="22"/>
      <c r="E739" s="22"/>
      <c r="F739" s="22"/>
    </row>
    <row r="740">
      <c r="A740" s="6"/>
      <c r="B740" s="15" t="s">
        <v>751</v>
      </c>
      <c r="C740" s="23"/>
      <c r="D740" s="23"/>
      <c r="E740" s="23"/>
      <c r="F740" s="23"/>
    </row>
    <row r="741">
      <c r="A741" s="4"/>
      <c r="B741" s="16" t="s">
        <v>752</v>
      </c>
      <c r="C741" s="21">
        <f>(8.37278027092927)*(1)*(1)*(1)*(1 + (0))</f>
      </c>
      <c r="D741" s="21" t="s">
        <v>495</v>
      </c>
      <c r="E741" s="21"/>
      <c r="F741" s="21">
        <f>C741*E741</f>
      </c>
    </row>
    <row r="742">
      <c r="A742" s="4"/>
      <c r="B742" s="16" t="s">
        <v>753</v>
      </c>
      <c r="C742" s="21">
        <f>(5.75426597770429)*(1)*(1)*(1)*(1 + (0))</f>
      </c>
      <c r="D742" s="21" t="s">
        <v>495</v>
      </c>
      <c r="E742" s="21"/>
      <c r="F742" s="21">
        <f>C742*E742</f>
      </c>
    </row>
    <row r="743">
      <c r="A743" s="4"/>
      <c r="B743" s="16" t="s">
        <v>754</v>
      </c>
      <c r="C743" s="21">
        <f>(3.90708961821132)*(1)*(1)*(1)*(1 + (0))</f>
      </c>
      <c r="D743" s="21" t="s">
        <v>495</v>
      </c>
      <c r="E743" s="21"/>
      <c r="F743" s="21">
        <f>C743*E743</f>
      </c>
    </row>
    <row r="744">
      <c r="A744" s="4"/>
      <c r="B744" s="16" t="s">
        <v>755</v>
      </c>
      <c r="C744" s="21">
        <f>(2.29513377533077)*(1)*(1)*(1)*(1 + (0))</f>
      </c>
      <c r="D744" s="21" t="s">
        <v>495</v>
      </c>
      <c r="E744" s="21"/>
      <c r="F744" s="21">
        <f>C744*E744</f>
      </c>
    </row>
    <row r="745">
      <c r="A745" s="4"/>
      <c r="B745" s="16" t="s">
        <v>756</v>
      </c>
      <c r="C745" s="21">
        <f>(5.35611740339428)*(1)*(1)*(1)*(1 + (0))</f>
      </c>
      <c r="D745" s="21" t="s">
        <v>495</v>
      </c>
      <c r="E745" s="21"/>
      <c r="F745" s="21">
        <f>C745*E745</f>
      </c>
    </row>
    <row r="746">
      <c r="A746" s="4"/>
      <c r="B746" s="16" t="s">
        <v>731</v>
      </c>
      <c r="C746" s="21">
        <f>(0.994801366258085)*(1)*(1)*(1)*(1 + (0))</f>
      </c>
      <c r="D746" s="21" t="s">
        <v>495</v>
      </c>
      <c r="E746" s="21"/>
      <c r="F746" s="21">
        <f>C746*E746</f>
      </c>
    </row>
    <row r="747">
      <c r="A747" s="4"/>
      <c r="B747" s="16" t="s">
        <v>667</v>
      </c>
      <c r="C747" s="21">
        <f>(1.28145912669871)*(1)*(1)*(1)*(1 + (0))</f>
      </c>
      <c r="D747" s="21" t="s">
        <v>495</v>
      </c>
      <c r="E747" s="21"/>
      <c r="F747" s="21">
        <f>C747*E747</f>
      </c>
    </row>
    <row r="748">
      <c r="A748" s="4"/>
      <c r="B748" s="16" t="s">
        <v>757</v>
      </c>
      <c r="C748" s="21">
        <f>(3.13660242805653)*(1)*(1)*(1)*(1 + (0))</f>
      </c>
      <c r="D748" s="21" t="s">
        <v>495</v>
      </c>
      <c r="E748" s="21"/>
      <c r="F748" s="21">
        <f>C748*E748</f>
      </c>
    </row>
    <row r="749">
      <c r="A749" s="4"/>
      <c r="B749" s="16" t="s">
        <v>653</v>
      </c>
      <c r="C749" s="21">
        <f>(4.66473749498749)*(1)*(1)*(1)*(1 + (0))</f>
      </c>
      <c r="D749" s="21" t="s">
        <v>495</v>
      </c>
      <c r="E749" s="21"/>
      <c r="F749" s="21">
        <f>C749*E749</f>
      </c>
    </row>
    <row r="750">
      <c r="A750" s="4"/>
      <c r="B750" s="16" t="s">
        <v>758</v>
      </c>
      <c r="C750" s="21">
        <f>(10)*(1)*(1)*(1)*(1 + (0))</f>
      </c>
      <c r="D750" s="21" t="s">
        <v>170</v>
      </c>
      <c r="E750" s="21"/>
      <c r="F750" s="21">
        <f>C750*E750</f>
      </c>
    </row>
    <row r="751">
      <c r="A751" s="4"/>
      <c r="B751" s="16" t="s">
        <v>759</v>
      </c>
      <c r="C751" s="21">
        <f>(30)*(1)*(1)*(1)*(1 + (0))</f>
      </c>
      <c r="D751" s="21" t="s">
        <v>170</v>
      </c>
      <c r="E751" s="21"/>
      <c r="F751" s="21">
        <f>C751*E751</f>
      </c>
    </row>
    <row r="752">
      <c r="A752" s="4"/>
      <c r="B752" s="16" t="s">
        <v>760</v>
      </c>
      <c r="C752" s="21">
        <f>(24)*(1)*(1)*(1)*(1 + (0))</f>
      </c>
      <c r="D752" s="21" t="s">
        <v>170</v>
      </c>
      <c r="E752" s="21"/>
      <c r="F752" s="21">
        <f>C752*E752</f>
      </c>
    </row>
    <row r="753">
      <c r="A753" s="4"/>
      <c r="B753" s="16" t="s">
        <v>761</v>
      </c>
      <c r="C753" s="21">
        <f>(48)*(1)*(1)*(1)*(1 + (0))</f>
      </c>
      <c r="D753" s="21" t="s">
        <v>170</v>
      </c>
      <c r="E753" s="21"/>
      <c r="F753" s="21">
        <f>C753*E753</f>
      </c>
    </row>
    <row r="754">
      <c r="A754" s="6"/>
      <c r="B754" s="15" t="s">
        <v>762</v>
      </c>
      <c r="C754" s="23"/>
      <c r="D754" s="23"/>
      <c r="E754" s="23"/>
      <c r="F754" s="23"/>
    </row>
    <row r="755">
      <c r="A755" s="4"/>
      <c r="B755" s="16" t="s">
        <v>763</v>
      </c>
      <c r="C755" s="21">
        <f>(9.02994823063528)*(1)*(1)*(1)*(1 + (0))</f>
      </c>
      <c r="D755" s="21" t="s">
        <v>495</v>
      </c>
      <c r="E755" s="21"/>
      <c r="F755" s="21">
        <f>C755*E755</f>
      </c>
    </row>
    <row r="756">
      <c r="A756" s="4"/>
      <c r="B756" s="16" t="s">
        <v>653</v>
      </c>
      <c r="C756" s="21">
        <f>(1.35449223459529)*(1)*(1)*(1)*(1 + (0))</f>
      </c>
      <c r="D756" s="21" t="s">
        <v>495</v>
      </c>
      <c r="E756" s="21"/>
      <c r="F756" s="21">
        <f>C756*E756</f>
      </c>
    </row>
    <row r="757">
      <c r="A757" s="5"/>
      <c r="B757" s="13" t="s">
        <v>764</v>
      </c>
      <c r="C757" s="22"/>
      <c r="D757" s="22"/>
      <c r="E757" s="22"/>
      <c r="F757" s="22"/>
    </row>
    <row r="758">
      <c r="A758" s="6"/>
      <c r="B758" s="15" t="s">
        <v>765</v>
      </c>
      <c r="C758" s="23"/>
      <c r="D758" s="23"/>
      <c r="E758" s="23"/>
      <c r="F758" s="23"/>
    </row>
    <row r="759">
      <c r="A759" s="4"/>
      <c r="B759" s="16" t="s">
        <v>766</v>
      </c>
      <c r="C759" s="21">
        <f>(0.16256)*(1)*(1)*(1)*(1 + (0))</f>
      </c>
      <c r="D759" s="21" t="s">
        <v>495</v>
      </c>
      <c r="E759" s="21"/>
      <c r="F759" s="21">
        <f>C759*E759</f>
      </c>
    </row>
    <row r="760">
      <c r="A760" s="4"/>
      <c r="B760" s="16" t="s">
        <v>767</v>
      </c>
      <c r="C760" s="21">
        <f>(0.165168)*(1)*(1)*(1)*(1 + (0))</f>
      </c>
      <c r="D760" s="21" t="s">
        <v>495</v>
      </c>
      <c r="E760" s="21"/>
      <c r="F760" s="21">
        <f>C760*E760</f>
      </c>
    </row>
    <row r="761">
      <c r="A761" s="4"/>
      <c r="B761" s="16" t="s">
        <v>653</v>
      </c>
      <c r="C761" s="21">
        <f>(0.0491592)*(1)*(1)*(1)*(1 + (0))</f>
      </c>
      <c r="D761" s="21" t="s">
        <v>495</v>
      </c>
      <c r="E761" s="21"/>
      <c r="F761" s="21">
        <f>C761*E761</f>
      </c>
    </row>
    <row r="762">
      <c r="A762" s="4"/>
      <c r="B762" s="16" t="s">
        <v>768</v>
      </c>
      <c r="C762" s="21">
        <f>(8)*(1)*(1)*(1)*(1 + (0))</f>
      </c>
      <c r="D762" s="21" t="s">
        <v>170</v>
      </c>
      <c r="E762" s="21"/>
      <c r="F762" s="21">
        <f>C762*E762</f>
      </c>
    </row>
    <row r="763">
      <c r="A763" s="6"/>
      <c r="B763" s="15" t="s">
        <v>769</v>
      </c>
      <c r="C763" s="23"/>
      <c r="D763" s="23"/>
      <c r="E763" s="23"/>
      <c r="F763" s="23"/>
    </row>
    <row r="764">
      <c r="A764" s="4"/>
      <c r="B764" s="16" t="s">
        <v>766</v>
      </c>
      <c r="C764" s="21">
        <f>(0.434990861205077)*(1)*(1)*(1)*(1 + (0))</f>
      </c>
      <c r="D764" s="21" t="s">
        <v>495</v>
      </c>
      <c r="E764" s="21"/>
      <c r="F764" s="21">
        <f>C764*E764</f>
      </c>
    </row>
    <row r="765">
      <c r="A765" s="4"/>
      <c r="B765" s="16" t="s">
        <v>770</v>
      </c>
      <c r="C765" s="21">
        <f>(1.08066386551411)*(1)*(1)*(1)*(1 + (0))</f>
      </c>
      <c r="D765" s="21" t="s">
        <v>495</v>
      </c>
      <c r="E765" s="21"/>
      <c r="F765" s="21">
        <f>C765*E765</f>
      </c>
    </row>
    <row r="766">
      <c r="A766" s="4"/>
      <c r="B766" s="16" t="s">
        <v>653</v>
      </c>
      <c r="C766" s="21">
        <f>(0.227348209007879)*(1)*(1)*(1)*(1 + (0))</f>
      </c>
      <c r="D766" s="21" t="s">
        <v>495</v>
      </c>
      <c r="E766" s="21"/>
      <c r="F766" s="21">
        <f>C766*E766</f>
      </c>
    </row>
    <row r="767">
      <c r="A767" s="3"/>
      <c r="B767" s="11" t="s">
        <v>771</v>
      </c>
      <c r="C767" s="20"/>
      <c r="D767" s="20"/>
      <c r="E767" s="20"/>
      <c r="F767" s="20"/>
    </row>
    <row r="768">
      <c r="A768" s="5"/>
      <c r="B768" s="13" t="s">
        <v>772</v>
      </c>
      <c r="C768" s="22"/>
      <c r="D768" s="22"/>
      <c r="E768" s="22"/>
      <c r="F768" s="22"/>
    </row>
    <row r="769">
      <c r="A769" s="4"/>
      <c r="B769" s="14" t="s">
        <v>773</v>
      </c>
      <c r="C769" s="21">
        <f>(11.92)*(1)*(1)*(1)*(1 + (0))</f>
      </c>
      <c r="D769" s="21" t="s">
        <v>495</v>
      </c>
      <c r="E769" s="21"/>
      <c r="F769" s="21">
        <f>C769*E769</f>
      </c>
    </row>
    <row r="770">
      <c r="A770" s="4"/>
      <c r="B770" s="14" t="s">
        <v>774</v>
      </c>
      <c r="C770" s="21">
        <f>(1.35)*(1)*(1)*(1)*(1 + (0))</f>
      </c>
      <c r="D770" s="21" t="s">
        <v>495</v>
      </c>
      <c r="E770" s="21"/>
      <c r="F770" s="21">
        <f>C770*E770</f>
      </c>
    </row>
    <row r="771">
      <c r="A771" s="4"/>
      <c r="B771" s="14" t="s">
        <v>775</v>
      </c>
      <c r="C771" s="21">
        <f>(0.13)*(1)*(1)*(1)*(1 + (0))</f>
      </c>
      <c r="D771" s="21" t="s">
        <v>495</v>
      </c>
      <c r="E771" s="21"/>
      <c r="F771" s="21">
        <f>C771*E771</f>
      </c>
    </row>
    <row r="772">
      <c r="A772" s="4"/>
      <c r="B772" s="14" t="s">
        <v>776</v>
      </c>
      <c r="C772" s="21">
        <f>(0.75)*(1)*(1)*(1)*(1 + (0))</f>
      </c>
      <c r="D772" s="21" t="s">
        <v>495</v>
      </c>
      <c r="E772" s="21"/>
      <c r="F772" s="21">
        <f>C772*E772</f>
      </c>
    </row>
    <row r="773">
      <c r="A773" s="4"/>
      <c r="B773" s="14" t="s">
        <v>777</v>
      </c>
      <c r="C773" s="21">
        <f>(53.67)*(1)*(1)*(1)*(1 + (0))</f>
      </c>
      <c r="D773" s="21" t="s">
        <v>495</v>
      </c>
      <c r="E773" s="21"/>
      <c r="F773" s="21">
        <f>C773*E773</f>
      </c>
    </row>
    <row r="774">
      <c r="A774" s="4"/>
      <c r="B774" s="14" t="s">
        <v>778</v>
      </c>
      <c r="C774" s="21">
        <f>(46.14)*(1)*(1)*(1)*(1 + (0))</f>
      </c>
      <c r="D774" s="21" t="s">
        <v>495</v>
      </c>
      <c r="E774" s="21"/>
      <c r="F774" s="21">
        <f>C774*E774</f>
      </c>
    </row>
    <row r="775">
      <c r="A775" s="4"/>
      <c r="B775" s="14" t="s">
        <v>779</v>
      </c>
      <c r="C775" s="21">
        <f>(2.12)*(1)*(1)*(1)*(1 + (0))</f>
      </c>
      <c r="D775" s="21" t="s">
        <v>495</v>
      </c>
      <c r="E775" s="21"/>
      <c r="F775" s="21">
        <f>C775*E775</f>
      </c>
    </row>
    <row r="776">
      <c r="A776" s="5"/>
      <c r="B776" s="13" t="s">
        <v>780</v>
      </c>
      <c r="C776" s="22"/>
      <c r="D776" s="22"/>
      <c r="E776" s="22"/>
      <c r="F776" s="22"/>
    </row>
    <row r="777">
      <c r="A777" s="4"/>
      <c r="B777" s="14" t="s">
        <v>781</v>
      </c>
      <c r="C777" s="21">
        <f>(11.92)*(1)*(1)*(1)*(1 + (0))</f>
      </c>
      <c r="D777" s="21" t="s">
        <v>495</v>
      </c>
      <c r="E777" s="21"/>
      <c r="F777" s="21">
        <f>C777*E777</f>
      </c>
    </row>
    <row r="778">
      <c r="A778" s="4"/>
      <c r="B778" s="14" t="s">
        <v>782</v>
      </c>
      <c r="C778" s="21">
        <f>(1.35)*(1)*(1)*(1)*(1 + (0))</f>
      </c>
      <c r="D778" s="21" t="s">
        <v>495</v>
      </c>
      <c r="E778" s="21"/>
      <c r="F778" s="21">
        <f>C778*E778</f>
      </c>
    </row>
    <row r="779">
      <c r="A779" s="4"/>
      <c r="B779" s="14" t="s">
        <v>783</v>
      </c>
      <c r="C779" s="21">
        <f>(0.13)*(1)*(1)*(1)*(1 + (0))</f>
      </c>
      <c r="D779" s="21" t="s">
        <v>495</v>
      </c>
      <c r="E779" s="21"/>
      <c r="F779" s="21">
        <f>C779*E779</f>
      </c>
    </row>
    <row r="780">
      <c r="A780" s="4"/>
      <c r="B780" s="14" t="s">
        <v>784</v>
      </c>
      <c r="C780" s="21">
        <f>(0.75)*(1)*(1)*(1)*(1 + (0))</f>
      </c>
      <c r="D780" s="21" t="s">
        <v>495</v>
      </c>
      <c r="E780" s="21"/>
      <c r="F780" s="21">
        <f>C780*E780</f>
      </c>
    </row>
    <row r="781">
      <c r="A781" s="4"/>
      <c r="B781" s="14" t="s">
        <v>785</v>
      </c>
      <c r="C781" s="21">
        <f>(53.67)*(1)*(1)*(1)*(1 + (0))</f>
      </c>
      <c r="D781" s="21" t="s">
        <v>495</v>
      </c>
      <c r="E781" s="21"/>
      <c r="F781" s="21">
        <f>C781*E781</f>
      </c>
    </row>
    <row r="782">
      <c r="A782" s="4"/>
      <c r="B782" s="14" t="s">
        <v>786</v>
      </c>
      <c r="C782" s="21">
        <f>(46.14)*(1)*(1)*(1)*(1 + (0))</f>
      </c>
      <c r="D782" s="21" t="s">
        <v>495</v>
      </c>
      <c r="E782" s="21"/>
      <c r="F782" s="21">
        <f>C782*E782</f>
      </c>
    </row>
    <row r="783">
      <c r="A783" s="4"/>
      <c r="B783" s="14" t="s">
        <v>787</v>
      </c>
      <c r="C783" s="21">
        <f>(2.12)*(1)*(1)*(1)*(1 + (0))</f>
      </c>
      <c r="D783" s="21" t="s">
        <v>495</v>
      </c>
      <c r="E783" s="21"/>
      <c r="F783" s="21">
        <f>C783*E783</f>
      </c>
    </row>
    <row r="784">
      <c r="A784" s="5"/>
      <c r="B784" s="13" t="s">
        <v>788</v>
      </c>
      <c r="C784" s="22"/>
      <c r="D784" s="22"/>
      <c r="E784" s="22"/>
      <c r="F784" s="22"/>
    </row>
    <row r="785">
      <c r="A785" s="4"/>
      <c r="B785" s="14" t="s">
        <v>789</v>
      </c>
      <c r="C785" s="21">
        <f>(11.92)*(1)*(1)*(1)*(1 + (0))</f>
      </c>
      <c r="D785" s="21" t="s">
        <v>495</v>
      </c>
      <c r="E785" s="21"/>
      <c r="F785" s="21">
        <f>C785*E785</f>
      </c>
    </row>
    <row r="786">
      <c r="A786" s="4"/>
      <c r="B786" s="14" t="s">
        <v>790</v>
      </c>
      <c r="C786" s="21">
        <f>(1.35)*(1)*(1)*(1)*(1 + (0))</f>
      </c>
      <c r="D786" s="21" t="s">
        <v>495</v>
      </c>
      <c r="E786" s="21"/>
      <c r="F786" s="21">
        <f>C786*E786</f>
      </c>
    </row>
    <row r="787">
      <c r="A787" s="4"/>
      <c r="B787" s="14" t="s">
        <v>791</v>
      </c>
      <c r="C787" s="21">
        <f>(0.13)*(1)*(1)*(1)*(1 + (0))</f>
      </c>
      <c r="D787" s="21" t="s">
        <v>495</v>
      </c>
      <c r="E787" s="21"/>
      <c r="F787" s="21">
        <f>C787*E787</f>
      </c>
    </row>
    <row r="788">
      <c r="A788" s="4"/>
      <c r="B788" s="14" t="s">
        <v>792</v>
      </c>
      <c r="C788" s="21">
        <f>(0.75)*(1)*(1)*(1)*(1 + (0))</f>
      </c>
      <c r="D788" s="21" t="s">
        <v>495</v>
      </c>
      <c r="E788" s="21"/>
      <c r="F788" s="21">
        <f>C788*E788</f>
      </c>
    </row>
    <row r="789">
      <c r="A789" s="4"/>
      <c r="B789" s="14" t="s">
        <v>793</v>
      </c>
      <c r="C789" s="21">
        <f>(53.67)*(1)*(1)*(1)*(1 + (0))</f>
      </c>
      <c r="D789" s="21" t="s">
        <v>495</v>
      </c>
      <c r="E789" s="21"/>
      <c r="F789" s="21">
        <f>C789*E789</f>
      </c>
    </row>
    <row r="790">
      <c r="A790" s="4"/>
      <c r="B790" s="14" t="s">
        <v>794</v>
      </c>
      <c r="C790" s="21">
        <f>(46.14)*(1)*(1)*(1)*(1 + (0))</f>
      </c>
      <c r="D790" s="21" t="s">
        <v>495</v>
      </c>
      <c r="E790" s="21"/>
      <c r="F790" s="21">
        <f>C790*E790</f>
      </c>
    </row>
    <row r="791">
      <c r="A791" s="4"/>
      <c r="B791" s="14" t="s">
        <v>795</v>
      </c>
      <c r="C791" s="21">
        <f>(2.12)*(1)*(1)*(1)*(1 + (0))</f>
      </c>
      <c r="D791" s="21" t="s">
        <v>495</v>
      </c>
      <c r="E791" s="21"/>
      <c r="F791" s="21">
        <f>C791*E791</f>
      </c>
    </row>
    <row r="792">
      <c r="A792" s="3"/>
      <c r="B792" s="11" t="s">
        <v>796</v>
      </c>
      <c r="C792" s="20"/>
      <c r="D792" s="20"/>
      <c r="E792" s="20"/>
      <c r="F792" s="20"/>
    </row>
    <row r="793">
      <c r="A793" s="5"/>
      <c r="B793" s="13" t="s">
        <v>710</v>
      </c>
      <c r="C793" s="22"/>
      <c r="D793" s="22"/>
      <c r="E793" s="22"/>
      <c r="F793" s="22"/>
    </row>
    <row r="794">
      <c r="A794" s="6"/>
      <c r="B794" s="15" t="s">
        <v>711</v>
      </c>
      <c r="C794" s="23"/>
      <c r="D794" s="23"/>
      <c r="E794" s="23"/>
      <c r="F794" s="23"/>
    </row>
    <row r="795">
      <c r="A795" s="4"/>
      <c r="B795" s="16" t="s">
        <v>797</v>
      </c>
      <c r="C795" s="21">
        <f>(9)*(1)*(1)*(1)*(1 + (0))</f>
      </c>
      <c r="D795" s="21" t="s">
        <v>9</v>
      </c>
      <c r="E795" s="21"/>
      <c r="F795" s="21">
        <f>C795*E795</f>
      </c>
    </row>
    <row r="796">
      <c r="A796" s="6"/>
      <c r="B796" s="15" t="s">
        <v>704</v>
      </c>
      <c r="C796" s="23"/>
      <c r="D796" s="23"/>
      <c r="E796" s="23"/>
      <c r="F796" s="23"/>
    </row>
    <row r="797">
      <c r="A797" s="4"/>
      <c r="B797" s="16" t="s">
        <v>798</v>
      </c>
      <c r="C797" s="21">
        <f>(6)*(1)*(1)*(1)*(1 + (0))</f>
      </c>
      <c r="D797" s="21" t="s">
        <v>9</v>
      </c>
      <c r="E797" s="21"/>
      <c r="F797" s="21">
        <f>C797*E797</f>
      </c>
    </row>
    <row r="798">
      <c r="A798" s="2"/>
      <c r="B798" s="10" t="s">
        <v>799</v>
      </c>
      <c r="C798" s="19"/>
      <c r="D798" s="19"/>
      <c r="E798" s="19"/>
      <c r="F798" s="19"/>
    </row>
    <row r="799">
      <c r="A799" s="3"/>
      <c r="B799" s="11" t="s">
        <v>14</v>
      </c>
      <c r="C799" s="20"/>
      <c r="D799" s="20"/>
      <c r="E799" s="20"/>
      <c r="F799" s="20"/>
    </row>
    <row r="800">
      <c r="A800" s="4" t="s">
        <v>800</v>
      </c>
      <c r="B800" s="12" t="s">
        <v>16</v>
      </c>
      <c r="C800" s="21"/>
      <c r="D800" s="21" t="s">
        <v>17</v>
      </c>
      <c r="E800" s="21"/>
      <c r="F800" s="21">
        <f>C800*E800</f>
      </c>
    </row>
    <row r="801">
      <c r="A801" s="4" t="s">
        <v>801</v>
      </c>
      <c r="B801" s="12" t="s">
        <v>19</v>
      </c>
      <c r="C801" s="21"/>
      <c r="D801" s="21" t="s">
        <v>17</v>
      </c>
      <c r="E801" s="21"/>
      <c r="F801" s="21">
        <f>C801*E801</f>
      </c>
    </row>
    <row r="802">
      <c r="A802" s="3"/>
      <c r="B802" s="11" t="s">
        <v>98</v>
      </c>
      <c r="C802" s="20"/>
      <c r="D802" s="20"/>
      <c r="E802" s="20"/>
      <c r="F802" s="20"/>
    </row>
    <row r="803">
      <c r="A803" s="4"/>
      <c r="B803" s="12" t="s">
        <v>802</v>
      </c>
      <c r="C803" s="21"/>
      <c r="D803" s="21" t="s">
        <v>17</v>
      </c>
      <c r="E803" s="21"/>
      <c r="F803" s="21">
        <f>C803*E803</f>
      </c>
    </row>
    <row r="804">
      <c r="A804" s="4"/>
      <c r="B804" s="12" t="s">
        <v>803</v>
      </c>
      <c r="C804" s="21"/>
      <c r="D804" s="21" t="s">
        <v>17</v>
      </c>
      <c r="E804" s="21"/>
      <c r="F804" s="21">
        <f>C804*E804</f>
      </c>
    </row>
    <row r="805">
      <c r="A805" s="4"/>
      <c r="B805" s="12" t="s">
        <v>804</v>
      </c>
      <c r="C805" s="21"/>
      <c r="D805" s="21" t="s">
        <v>17</v>
      </c>
      <c r="E805" s="21"/>
      <c r="F805" s="21">
        <f>C805*E805</f>
      </c>
    </row>
    <row r="806">
      <c r="A806" s="3"/>
      <c r="B806" s="11" t="s">
        <v>24</v>
      </c>
      <c r="C806" s="20"/>
      <c r="D806" s="20"/>
      <c r="E806" s="20"/>
      <c r="F806" s="20"/>
    </row>
    <row r="807">
      <c r="A807" s="5"/>
      <c r="B807" s="13" t="s">
        <v>25</v>
      </c>
      <c r="C807" s="22"/>
      <c r="D807" s="22"/>
      <c r="E807" s="22"/>
      <c r="F807" s="22"/>
    </row>
    <row r="808">
      <c r="A808" s="4" t="s">
        <v>805</v>
      </c>
      <c r="B808" s="14" t="s">
        <v>806</v>
      </c>
      <c r="C808" s="21"/>
      <c r="D808" s="21" t="s">
        <v>17</v>
      </c>
      <c r="E808" s="21"/>
      <c r="F808" s="21">
        <f>C808*E808</f>
      </c>
    </row>
    <row r="809">
      <c r="A809" s="4" t="s">
        <v>807</v>
      </c>
      <c r="B809" s="14" t="s">
        <v>808</v>
      </c>
      <c r="C809" s="21"/>
      <c r="D809" s="21" t="s">
        <v>17</v>
      </c>
      <c r="E809" s="21"/>
      <c r="F809" s="21">
        <f>C809*E809</f>
      </c>
    </row>
    <row r="810">
      <c r="A810" s="4" t="s">
        <v>809</v>
      </c>
      <c r="B810" s="14" t="s">
        <v>810</v>
      </c>
      <c r="C810" s="21"/>
      <c r="D810" s="21" t="s">
        <v>17</v>
      </c>
      <c r="E810" s="21"/>
      <c r="F810" s="21">
        <f>C810*E810</f>
      </c>
    </row>
    <row r="811">
      <c r="A811" s="4" t="s">
        <v>811</v>
      </c>
      <c r="B811" s="14" t="s">
        <v>812</v>
      </c>
      <c r="C811" s="21"/>
      <c r="D811" s="21" t="s">
        <v>17</v>
      </c>
      <c r="E811" s="21"/>
      <c r="F811" s="21">
        <f>C811*E811</f>
      </c>
    </row>
    <row r="812">
      <c r="A812" s="4" t="s">
        <v>813</v>
      </c>
      <c r="B812" s="14" t="s">
        <v>814</v>
      </c>
      <c r="C812" s="21"/>
      <c r="D812" s="21" t="s">
        <v>17</v>
      </c>
      <c r="E812" s="21"/>
      <c r="F812" s="21">
        <f>C812*E812</f>
      </c>
    </row>
    <row r="813">
      <c r="A813" s="4" t="s">
        <v>815</v>
      </c>
      <c r="B813" s="14" t="s">
        <v>816</v>
      </c>
      <c r="C813" s="21"/>
      <c r="D813" s="21" t="s">
        <v>17</v>
      </c>
      <c r="E813" s="21"/>
      <c r="F813" s="21">
        <f>C813*E813</f>
      </c>
    </row>
    <row r="814">
      <c r="A814" s="4" t="s">
        <v>817</v>
      </c>
      <c r="B814" s="14" t="s">
        <v>818</v>
      </c>
      <c r="C814" s="21"/>
      <c r="D814" s="21" t="s">
        <v>17</v>
      </c>
      <c r="E814" s="21"/>
      <c r="F814" s="21">
        <f>C814*E814</f>
      </c>
    </row>
    <row r="815">
      <c r="A815" s="4" t="s">
        <v>819</v>
      </c>
      <c r="B815" s="14" t="s">
        <v>820</v>
      </c>
      <c r="C815" s="21"/>
      <c r="D815" s="21" t="s">
        <v>17</v>
      </c>
      <c r="E815" s="21"/>
      <c r="F815" s="21">
        <f>C815*E815</f>
      </c>
    </row>
    <row r="816">
      <c r="A816" s="4" t="s">
        <v>821</v>
      </c>
      <c r="B816" s="14" t="s">
        <v>41</v>
      </c>
      <c r="C816" s="21"/>
      <c r="D816" s="21" t="s">
        <v>17</v>
      </c>
      <c r="E816" s="21"/>
      <c r="F816" s="21">
        <f>C816*E816</f>
      </c>
    </row>
    <row r="817">
      <c r="A817" s="3"/>
      <c r="B817" s="11" t="s">
        <v>42</v>
      </c>
      <c r="C817" s="20"/>
      <c r="D817" s="20"/>
      <c r="E817" s="20"/>
      <c r="F817" s="20"/>
    </row>
    <row r="818">
      <c r="A818" s="4" t="s">
        <v>822</v>
      </c>
      <c r="B818" s="12" t="s">
        <v>823</v>
      </c>
      <c r="C818" s="21">
        <f>(1)*(1)*(1)*(1)*(1 + (0))</f>
      </c>
      <c r="D818" s="21" t="s">
        <v>45</v>
      </c>
      <c r="E818" s="21"/>
      <c r="F818" s="21">
        <f>C818*E818</f>
      </c>
    </row>
    <row r="819">
      <c r="A819" s="4" t="s">
        <v>824</v>
      </c>
      <c r="B819" s="12" t="s">
        <v>825</v>
      </c>
      <c r="C819" s="21">
        <f>(1)*(1)*(1)*(1)*(1 + (0))</f>
      </c>
      <c r="D819" s="21" t="s">
        <v>45</v>
      </c>
      <c r="E819" s="21"/>
      <c r="F819" s="21">
        <f>C819*E819</f>
      </c>
    </row>
    <row r="820">
      <c r="A820" s="4" t="s">
        <v>826</v>
      </c>
      <c r="B820" s="12" t="s">
        <v>827</v>
      </c>
      <c r="C820" s="21">
        <f>(1)*(1)*(1)*(1)*(1 + (0))</f>
      </c>
      <c r="D820" s="21" t="s">
        <v>45</v>
      </c>
      <c r="E820" s="21"/>
      <c r="F820" s="21">
        <f>C820*E820</f>
      </c>
    </row>
    <row r="821">
      <c r="A821" s="4" t="s">
        <v>828</v>
      </c>
      <c r="B821" s="12" t="s">
        <v>130</v>
      </c>
      <c r="C821" s="21">
        <f>(1)*(1)*(1)*(1)*(1 + (0))</f>
      </c>
      <c r="D821" s="21" t="s">
        <v>45</v>
      </c>
      <c r="E821" s="21"/>
      <c r="F821" s="21">
        <f>C821*E821</f>
      </c>
    </row>
    <row r="822">
      <c r="A822" s="4" t="s">
        <v>829</v>
      </c>
      <c r="B822" s="12" t="s">
        <v>830</v>
      </c>
      <c r="C822" s="21">
        <f>(1)*(1)*(1)*(1)*(1 + (0))</f>
      </c>
      <c r="D822" s="21" t="s">
        <v>45</v>
      </c>
      <c r="E822" s="21"/>
      <c r="F822" s="21">
        <f>C822*E822</f>
      </c>
    </row>
    <row r="823">
      <c r="A823" s="4" t="s">
        <v>831</v>
      </c>
      <c r="B823" s="12" t="s">
        <v>832</v>
      </c>
      <c r="C823" s="21">
        <f>(1)*(1)*(1)*(1)*(1 + (0))</f>
      </c>
      <c r="D823" s="21" t="s">
        <v>45</v>
      </c>
      <c r="E823" s="21"/>
      <c r="F823" s="21">
        <f>C823*E823</f>
      </c>
    </row>
    <row r="824">
      <c r="A824" s="4" t="s">
        <v>833</v>
      </c>
      <c r="B824" s="12" t="s">
        <v>834</v>
      </c>
      <c r="C824" s="21">
        <f>(1)*(1)*(1)*(1)*(1 + (0))</f>
      </c>
      <c r="D824" s="21" t="s">
        <v>45</v>
      </c>
      <c r="E824" s="21"/>
      <c r="F824" s="21">
        <f>C824*E824</f>
      </c>
    </row>
    <row r="825">
      <c r="A825" s="4" t="s">
        <v>835</v>
      </c>
      <c r="B825" s="12" t="s">
        <v>836</v>
      </c>
      <c r="C825" s="21">
        <f>(1)*(1)*(1)*(1)*(1 + (0))</f>
      </c>
      <c r="D825" s="21" t="s">
        <v>45</v>
      </c>
      <c r="E825" s="21"/>
      <c r="F825" s="21">
        <f>C825*E825</f>
      </c>
    </row>
    <row r="826">
      <c r="A826" s="3"/>
      <c r="B826" s="11" t="s">
        <v>837</v>
      </c>
      <c r="C826" s="20"/>
      <c r="D826" s="20"/>
      <c r="E826" s="20"/>
      <c r="F826" s="20"/>
    </row>
    <row r="827">
      <c r="A827" s="5"/>
      <c r="B827" s="13" t="s">
        <v>838</v>
      </c>
      <c r="C827" s="22"/>
      <c r="D827" s="22"/>
      <c r="E827" s="22"/>
      <c r="F827" s="22"/>
    </row>
    <row r="828">
      <c r="A828" s="6"/>
      <c r="B828" s="15" t="s">
        <v>839</v>
      </c>
      <c r="C828" s="23"/>
      <c r="D828" s="23"/>
      <c r="E828" s="23"/>
      <c r="F828" s="23"/>
    </row>
    <row r="829">
      <c r="A829" s="4"/>
      <c r="B829" s="16" t="s">
        <v>840</v>
      </c>
      <c r="C829" s="21">
        <f>(238)*(1)*(1)*(1)*(1 + (0))</f>
      </c>
      <c r="D829" s="21" t="s">
        <v>9</v>
      </c>
      <c r="E829" s="21"/>
      <c r="F829" s="21">
        <f>C829*E829</f>
      </c>
    </row>
    <row r="830">
      <c r="A830" s="4"/>
      <c r="B830" s="16" t="s">
        <v>841</v>
      </c>
      <c r="C830" s="21">
        <f>(144)*(1)*(1)*(1)*(1 + (0))</f>
      </c>
      <c r="D830" s="21" t="s">
        <v>9</v>
      </c>
      <c r="E830" s="21"/>
      <c r="F830" s="21">
        <f>C830*E830</f>
      </c>
    </row>
    <row r="831">
      <c r="A831" s="6"/>
      <c r="B831" s="15" t="s">
        <v>842</v>
      </c>
      <c r="C831" s="23"/>
      <c r="D831" s="23"/>
      <c r="E831" s="23"/>
      <c r="F831" s="23"/>
    </row>
    <row r="832">
      <c r="A832" s="4"/>
      <c r="B832" s="16" t="s">
        <v>840</v>
      </c>
      <c r="C832" s="21">
        <f>(73)*(1)*(1)*(1)*(1 + (0))</f>
      </c>
      <c r="D832" s="21" t="s">
        <v>9</v>
      </c>
      <c r="E832" s="21"/>
      <c r="F832" s="21">
        <f>C832*E832</f>
      </c>
    </row>
    <row r="833">
      <c r="A833" s="6"/>
      <c r="B833" s="15" t="s">
        <v>843</v>
      </c>
      <c r="C833" s="23"/>
      <c r="D833" s="23"/>
      <c r="E833" s="23"/>
      <c r="F833" s="23"/>
    </row>
    <row r="834">
      <c r="A834" s="4"/>
      <c r="B834" s="16" t="s">
        <v>840</v>
      </c>
      <c r="C834" s="21">
        <f>(183)*(1)*(1)*(1)*(1 + (0))</f>
      </c>
      <c r="D834" s="21" t="s">
        <v>167</v>
      </c>
      <c r="E834" s="21"/>
      <c r="F834" s="21">
        <f>C834*E834</f>
      </c>
    </row>
    <row r="835">
      <c r="A835" s="4"/>
      <c r="B835" s="16" t="s">
        <v>841</v>
      </c>
      <c r="C835" s="21">
        <f>(26)*(1)*(1)*(1)*(1 + (0))</f>
      </c>
      <c r="D835" s="21" t="s">
        <v>167</v>
      </c>
      <c r="E835" s="21"/>
      <c r="F835" s="21">
        <f>C835*E835</f>
      </c>
    </row>
    <row r="836">
      <c r="A836" s="5"/>
      <c r="B836" s="13" t="s">
        <v>844</v>
      </c>
      <c r="C836" s="22"/>
      <c r="D836" s="22"/>
      <c r="E836" s="22"/>
      <c r="F836" s="22"/>
    </row>
    <row r="837">
      <c r="A837" s="4"/>
      <c r="B837" s="14" t="s">
        <v>845</v>
      </c>
      <c r="C837" s="21">
        <f>(235.575421281088)*(1)*(1)*(1)*(1 + (0))</f>
      </c>
      <c r="D837" s="21" t="s">
        <v>9</v>
      </c>
      <c r="E837" s="21"/>
      <c r="F837" s="21">
        <f>C837*E837</f>
      </c>
    </row>
    <row r="838">
      <c r="A838" s="4"/>
      <c r="B838" s="14" t="s">
        <v>846</v>
      </c>
      <c r="C838" s="21">
        <f>(116.60515406931)*(1)*(1)*(1)*(1 + (0))</f>
      </c>
      <c r="D838" s="21" t="s">
        <v>9</v>
      </c>
      <c r="E838" s="21"/>
      <c r="F838" s="21">
        <f>C838*E838</f>
      </c>
    </row>
    <row r="839">
      <c r="A839" s="5"/>
      <c r="B839" s="13" t="s">
        <v>847</v>
      </c>
      <c r="C839" s="22"/>
      <c r="D839" s="22"/>
      <c r="E839" s="22"/>
      <c r="F839" s="22"/>
    </row>
    <row r="840">
      <c r="A840" s="6"/>
      <c r="B840" s="15" t="s">
        <v>839</v>
      </c>
      <c r="C840" s="23"/>
      <c r="D840" s="23"/>
      <c r="E840" s="23"/>
      <c r="F840" s="23"/>
    </row>
    <row r="841">
      <c r="A841" s="4"/>
      <c r="B841" s="16" t="s">
        <v>841</v>
      </c>
      <c r="C841" s="21">
        <f>(123)*(1)*(1)*(1)*(1 + (0))</f>
      </c>
      <c r="D841" s="21" t="s">
        <v>9</v>
      </c>
      <c r="E841" s="21"/>
      <c r="F841" s="21">
        <f>C841*E841</f>
      </c>
    </row>
    <row r="842">
      <c r="A842" s="6"/>
      <c r="B842" s="15" t="s">
        <v>848</v>
      </c>
      <c r="C842" s="23"/>
      <c r="D842" s="23"/>
      <c r="E842" s="23"/>
      <c r="F842" s="23"/>
    </row>
    <row r="843">
      <c r="A843" s="4"/>
      <c r="B843" s="16" t="s">
        <v>841</v>
      </c>
      <c r="C843" s="21">
        <f>(28)*(1)*(1)*(1)*(1 + (0))</f>
      </c>
      <c r="D843" s="21" t="s">
        <v>9</v>
      </c>
      <c r="E843" s="21"/>
      <c r="F843" s="21">
        <f>C843*E843</f>
      </c>
    </row>
    <row r="844">
      <c r="A844" s="5"/>
      <c r="B844" s="13" t="s">
        <v>849</v>
      </c>
      <c r="C844" s="22"/>
      <c r="D844" s="22"/>
      <c r="E844" s="22"/>
      <c r="F844" s="22"/>
    </row>
    <row r="845">
      <c r="A845" s="6"/>
      <c r="B845" s="15" t="s">
        <v>850</v>
      </c>
      <c r="C845" s="23"/>
      <c r="D845" s="23"/>
      <c r="E845" s="23"/>
      <c r="F845" s="23"/>
    </row>
    <row r="846">
      <c r="A846" s="4"/>
      <c r="B846" s="16" t="s">
        <v>270</v>
      </c>
      <c r="C846" s="21">
        <f>(9)*(1)*(1)*(1)*(1 + (0))</f>
      </c>
      <c r="D846" s="21" t="s">
        <v>9</v>
      </c>
      <c r="E846" s="21"/>
      <c r="F846" s="21">
        <f>C846*E846</f>
      </c>
    </row>
    <row r="847">
      <c r="A847" s="5"/>
      <c r="B847" s="13" t="s">
        <v>851</v>
      </c>
      <c r="C847" s="22"/>
      <c r="D847" s="22"/>
      <c r="E847" s="22"/>
      <c r="F847" s="22"/>
    </row>
    <row r="848">
      <c r="A848" s="6"/>
      <c r="B848" s="15" t="s">
        <v>852</v>
      </c>
      <c r="C848" s="23"/>
      <c r="D848" s="23"/>
      <c r="E848" s="23"/>
      <c r="F848" s="23"/>
    </row>
    <row r="849">
      <c r="A849" s="4"/>
      <c r="B849" s="16" t="s">
        <v>270</v>
      </c>
      <c r="C849" s="21">
        <f>(468)*(1)*(1)*(1)*(1 + (0))</f>
      </c>
      <c r="D849" s="21" t="s">
        <v>9</v>
      </c>
      <c r="E849" s="21"/>
      <c r="F849" s="21">
        <f>C849*E849</f>
      </c>
    </row>
    <row r="850">
      <c r="A850" s="5"/>
      <c r="B850" s="13" t="s">
        <v>853</v>
      </c>
      <c r="C850" s="22"/>
      <c r="D850" s="22"/>
      <c r="E850" s="22"/>
      <c r="F850" s="22"/>
    </row>
    <row r="851">
      <c r="A851" s="6"/>
      <c r="B851" s="15" t="s">
        <v>854</v>
      </c>
      <c r="C851" s="23"/>
      <c r="D851" s="23"/>
      <c r="E851" s="23"/>
      <c r="F851" s="23"/>
    </row>
    <row r="852">
      <c r="A852" s="4"/>
      <c r="B852" s="16" t="s">
        <v>855</v>
      </c>
      <c r="C852" s="21">
        <f>(4633)*(1)*(1)*(1)*(1 + (0))</f>
      </c>
      <c r="D852" s="21" t="s">
        <v>9</v>
      </c>
      <c r="E852" s="21"/>
      <c r="F852" s="21">
        <f>C852*E852</f>
      </c>
    </row>
    <row r="853">
      <c r="A853" s="2"/>
      <c r="B853" s="10" t="s">
        <v>856</v>
      </c>
      <c r="C853" s="19"/>
      <c r="D853" s="19"/>
      <c r="E853" s="19"/>
      <c r="F853" s="19"/>
    </row>
    <row r="854">
      <c r="A854" s="3"/>
      <c r="B854" s="11" t="s">
        <v>14</v>
      </c>
      <c r="C854" s="20"/>
      <c r="D854" s="20"/>
      <c r="E854" s="20"/>
      <c r="F854" s="20"/>
    </row>
    <row r="855">
      <c r="A855" s="4" t="s">
        <v>857</v>
      </c>
      <c r="B855" s="12" t="s">
        <v>16</v>
      </c>
      <c r="C855" s="21"/>
      <c r="D855" s="21" t="s">
        <v>17</v>
      </c>
      <c r="E855" s="21"/>
      <c r="F855" s="21">
        <f>C855*E855</f>
      </c>
    </row>
    <row r="856">
      <c r="A856" s="4" t="s">
        <v>858</v>
      </c>
      <c r="B856" s="12" t="s">
        <v>19</v>
      </c>
      <c r="C856" s="21"/>
      <c r="D856" s="21" t="s">
        <v>17</v>
      </c>
      <c r="E856" s="21"/>
      <c r="F856" s="21">
        <f>C856*E856</f>
      </c>
    </row>
    <row r="857">
      <c r="A857" s="3"/>
      <c r="B857" s="11" t="s">
        <v>98</v>
      </c>
      <c r="C857" s="20"/>
      <c r="D857" s="20"/>
      <c r="E857" s="20"/>
      <c r="F857" s="20"/>
    </row>
    <row r="858">
      <c r="A858" s="4"/>
      <c r="B858" s="12" t="s">
        <v>859</v>
      </c>
      <c r="C858" s="21"/>
      <c r="D858" s="21" t="s">
        <v>17</v>
      </c>
      <c r="E858" s="21"/>
      <c r="F858" s="21">
        <f>C858*E858</f>
      </c>
    </row>
    <row r="859">
      <c r="A859" s="4"/>
      <c r="B859" s="12" t="s">
        <v>803</v>
      </c>
      <c r="C859" s="21"/>
      <c r="D859" s="21" t="s">
        <v>17</v>
      </c>
      <c r="E859" s="21"/>
      <c r="F859" s="21">
        <f>C859*E859</f>
      </c>
    </row>
    <row r="860">
      <c r="A860" s="4"/>
      <c r="B860" s="12" t="s">
        <v>860</v>
      </c>
      <c r="C860" s="21"/>
      <c r="D860" s="21" t="s">
        <v>17</v>
      </c>
      <c r="E860" s="21"/>
      <c r="F860" s="21">
        <f>C860*E860</f>
      </c>
    </row>
    <row r="861">
      <c r="A861" s="4"/>
      <c r="B861" s="12" t="s">
        <v>861</v>
      </c>
      <c r="C861" s="21"/>
      <c r="D861" s="21" t="s">
        <v>17</v>
      </c>
      <c r="E861" s="21"/>
      <c r="F861" s="21">
        <f>C861*E861</f>
      </c>
    </row>
    <row r="862">
      <c r="A862" s="3"/>
      <c r="B862" s="11" t="s">
        <v>24</v>
      </c>
      <c r="C862" s="20"/>
      <c r="D862" s="20"/>
      <c r="E862" s="20"/>
      <c r="F862" s="20"/>
    </row>
    <row r="863">
      <c r="A863" s="5"/>
      <c r="B863" s="13" t="s">
        <v>25</v>
      </c>
      <c r="C863" s="22"/>
      <c r="D863" s="22"/>
      <c r="E863" s="22"/>
      <c r="F863" s="22"/>
    </row>
    <row r="864">
      <c r="A864" s="4" t="s">
        <v>862</v>
      </c>
      <c r="B864" s="14" t="s">
        <v>863</v>
      </c>
      <c r="C864" s="21"/>
      <c r="D864" s="21" t="s">
        <v>17</v>
      </c>
      <c r="E864" s="21"/>
      <c r="F864" s="21">
        <f>C864*E864</f>
      </c>
    </row>
    <row r="865">
      <c r="A865" s="4" t="s">
        <v>864</v>
      </c>
      <c r="B865" s="14" t="s">
        <v>865</v>
      </c>
      <c r="C865" s="21"/>
      <c r="D865" s="21" t="s">
        <v>17</v>
      </c>
      <c r="E865" s="21"/>
      <c r="F865" s="21">
        <f>C865*E865</f>
      </c>
    </row>
    <row r="866">
      <c r="A866" s="4" t="s">
        <v>866</v>
      </c>
      <c r="B866" s="14" t="s">
        <v>867</v>
      </c>
      <c r="C866" s="21"/>
      <c r="D866" s="21" t="s">
        <v>17</v>
      </c>
      <c r="E866" s="21"/>
      <c r="F866" s="21">
        <f>C866*E866</f>
      </c>
    </row>
    <row r="867">
      <c r="A867" s="4" t="s">
        <v>868</v>
      </c>
      <c r="B867" s="14" t="s">
        <v>869</v>
      </c>
      <c r="C867" s="21"/>
      <c r="D867" s="21" t="s">
        <v>17</v>
      </c>
      <c r="E867" s="21"/>
      <c r="F867" s="21">
        <f>C867*E867</f>
      </c>
    </row>
    <row r="868">
      <c r="A868" s="4" t="s">
        <v>870</v>
      </c>
      <c r="B868" s="14" t="s">
        <v>871</v>
      </c>
      <c r="C868" s="21"/>
      <c r="D868" s="21" t="s">
        <v>17</v>
      </c>
      <c r="E868" s="21"/>
      <c r="F868" s="21">
        <f>C868*E868</f>
      </c>
    </row>
    <row r="869">
      <c r="A869" s="4" t="s">
        <v>872</v>
      </c>
      <c r="B869" s="14" t="s">
        <v>873</v>
      </c>
      <c r="C869" s="21"/>
      <c r="D869" s="21" t="s">
        <v>17</v>
      </c>
      <c r="E869" s="21"/>
      <c r="F869" s="21">
        <f>C869*E869</f>
      </c>
    </row>
    <row r="870">
      <c r="A870" s="4" t="s">
        <v>874</v>
      </c>
      <c r="B870" s="14" t="s">
        <v>875</v>
      </c>
      <c r="C870" s="21"/>
      <c r="D870" s="21" t="s">
        <v>17</v>
      </c>
      <c r="E870" s="21"/>
      <c r="F870" s="21">
        <f>C870*E870</f>
      </c>
    </row>
    <row r="871">
      <c r="A871" s="4" t="s">
        <v>876</v>
      </c>
      <c r="B871" s="14" t="s">
        <v>877</v>
      </c>
      <c r="C871" s="21"/>
      <c r="D871" s="21" t="s">
        <v>17</v>
      </c>
      <c r="E871" s="21"/>
      <c r="F871" s="21">
        <f>C871*E871</f>
      </c>
    </row>
    <row r="872">
      <c r="A872" s="4" t="s">
        <v>878</v>
      </c>
      <c r="B872" s="14" t="s">
        <v>879</v>
      </c>
      <c r="C872" s="21"/>
      <c r="D872" s="21" t="s">
        <v>17</v>
      </c>
      <c r="E872" s="21"/>
      <c r="F872" s="21">
        <f>C872*E872</f>
      </c>
    </row>
    <row r="873">
      <c r="A873" s="4" t="s">
        <v>880</v>
      </c>
      <c r="B873" s="14" t="s">
        <v>881</v>
      </c>
      <c r="C873" s="21"/>
      <c r="D873" s="21" t="s">
        <v>17</v>
      </c>
      <c r="E873" s="21"/>
      <c r="F873" s="21">
        <f>C873*E873</f>
      </c>
    </row>
    <row r="874">
      <c r="A874" s="4" t="s">
        <v>882</v>
      </c>
      <c r="B874" s="14" t="s">
        <v>883</v>
      </c>
      <c r="C874" s="21"/>
      <c r="D874" s="21" t="s">
        <v>17</v>
      </c>
      <c r="E874" s="21"/>
      <c r="F874" s="21">
        <f>C874*E874</f>
      </c>
    </row>
    <row r="875">
      <c r="A875" s="4" t="s">
        <v>884</v>
      </c>
      <c r="B875" s="14" t="s">
        <v>885</v>
      </c>
      <c r="C875" s="21"/>
      <c r="D875" s="21" t="s">
        <v>17</v>
      </c>
      <c r="E875" s="21"/>
      <c r="F875" s="21">
        <f>C875*E875</f>
      </c>
    </row>
    <row r="876">
      <c r="A876" s="4" t="s">
        <v>886</v>
      </c>
      <c r="B876" s="14" t="s">
        <v>887</v>
      </c>
      <c r="C876" s="21"/>
      <c r="D876" s="21" t="s">
        <v>17</v>
      </c>
      <c r="E876" s="21"/>
      <c r="F876" s="21">
        <f>C876*E876</f>
      </c>
    </row>
    <row r="877">
      <c r="A877" s="4" t="s">
        <v>888</v>
      </c>
      <c r="B877" s="14" t="s">
        <v>194</v>
      </c>
      <c r="C877" s="21"/>
      <c r="D877" s="21" t="s">
        <v>17</v>
      </c>
      <c r="E877" s="21"/>
      <c r="F877" s="21">
        <f>C877*E877</f>
      </c>
    </row>
    <row r="878">
      <c r="A878" s="3"/>
      <c r="B878" s="11" t="s">
        <v>42</v>
      </c>
      <c r="C878" s="20"/>
      <c r="D878" s="20"/>
      <c r="E878" s="20"/>
      <c r="F878" s="20"/>
    </row>
    <row r="879">
      <c r="A879" s="4" t="s">
        <v>889</v>
      </c>
      <c r="B879" s="12" t="s">
        <v>890</v>
      </c>
      <c r="C879" s="21">
        <f>(1)*(1)*(1)*(1)*(1 + (0))</f>
      </c>
      <c r="D879" s="21" t="s">
        <v>45</v>
      </c>
      <c r="E879" s="21"/>
      <c r="F879" s="21">
        <f>C879*E879</f>
      </c>
    </row>
    <row r="880">
      <c r="A880" s="4" t="s">
        <v>891</v>
      </c>
      <c r="B880" s="12" t="s">
        <v>892</v>
      </c>
      <c r="C880" s="21">
        <f>(1)*(1)*(1)*(1)*(1 + (0))</f>
      </c>
      <c r="D880" s="21" t="s">
        <v>45</v>
      </c>
      <c r="E880" s="21"/>
      <c r="F880" s="21">
        <f>C880*E880</f>
      </c>
    </row>
    <row r="881">
      <c r="A881" s="4" t="s">
        <v>893</v>
      </c>
      <c r="B881" s="12" t="s">
        <v>894</v>
      </c>
      <c r="C881" s="21">
        <f>(1)*(1)*(1)*(1)*(1 + (0))</f>
      </c>
      <c r="D881" s="21" t="s">
        <v>45</v>
      </c>
      <c r="E881" s="21"/>
      <c r="F881" s="21">
        <f>C881*E881</f>
      </c>
    </row>
    <row r="882">
      <c r="A882" s="4" t="s">
        <v>895</v>
      </c>
      <c r="B882" s="12" t="s">
        <v>59</v>
      </c>
      <c r="C882" s="21">
        <f>(1)*(1)*(1)*(1)*(1 + (0))</f>
      </c>
      <c r="D882" s="21" t="s">
        <v>45</v>
      </c>
      <c r="E882" s="21"/>
      <c r="F882" s="21">
        <f>C882*E882</f>
      </c>
    </row>
    <row r="883">
      <c r="A883" s="4" t="s">
        <v>896</v>
      </c>
      <c r="B883" s="12" t="s">
        <v>61</v>
      </c>
      <c r="C883" s="21">
        <f>(1)*(1)*(1)*(1)*(1 + (0))</f>
      </c>
      <c r="D883" s="21" t="s">
        <v>45</v>
      </c>
      <c r="E883" s="21"/>
      <c r="F883" s="21">
        <f>C883*E883</f>
      </c>
    </row>
    <row r="884">
      <c r="A884" s="4" t="s">
        <v>897</v>
      </c>
      <c r="B884" s="12" t="s">
        <v>830</v>
      </c>
      <c r="C884" s="21">
        <f>(1)*(1)*(1)*(1)*(1 + (0))</f>
      </c>
      <c r="D884" s="21" t="s">
        <v>45</v>
      </c>
      <c r="E884" s="21"/>
      <c r="F884" s="21">
        <f>C884*E884</f>
      </c>
    </row>
    <row r="885">
      <c r="A885" s="4" t="s">
        <v>898</v>
      </c>
      <c r="B885" s="12" t="s">
        <v>899</v>
      </c>
      <c r="C885" s="21">
        <f>(1)*(1)*(1)*(1)*(1 + (0))</f>
      </c>
      <c r="D885" s="21" t="s">
        <v>45</v>
      </c>
      <c r="E885" s="21"/>
      <c r="F885" s="21">
        <f>C885*E885</f>
      </c>
    </row>
    <row r="886">
      <c r="A886" s="4" t="s">
        <v>900</v>
      </c>
      <c r="B886" s="12" t="s">
        <v>605</v>
      </c>
      <c r="C886" s="21">
        <f>(1)*(1)*(1)*(1)*(1 + (0))</f>
      </c>
      <c r="D886" s="21" t="s">
        <v>45</v>
      </c>
      <c r="E886" s="21"/>
      <c r="F886" s="21">
        <f>C886*E886</f>
      </c>
    </row>
    <row r="887">
      <c r="A887" s="4" t="s">
        <v>901</v>
      </c>
      <c r="B887" s="12" t="s">
        <v>902</v>
      </c>
      <c r="C887" s="21">
        <f>(1)*(1)*(1)*(1)*(1 + (0))</f>
      </c>
      <c r="D887" s="21" t="s">
        <v>45</v>
      </c>
      <c r="E887" s="21"/>
      <c r="F887" s="21">
        <f>C887*E887</f>
      </c>
    </row>
    <row r="888">
      <c r="A888" s="3"/>
      <c r="B888" s="11" t="s">
        <v>82</v>
      </c>
      <c r="C888" s="20"/>
      <c r="D888" s="20"/>
      <c r="E888" s="20"/>
      <c r="F888" s="20"/>
    </row>
    <row r="889">
      <c r="A889" s="4"/>
      <c r="B889" s="12" t="s">
        <v>903</v>
      </c>
      <c r="C889" s="21"/>
      <c r="D889" s="21" t="s">
        <v>17</v>
      </c>
      <c r="E889" s="21"/>
      <c r="F889" s="21">
        <f>C889*E889</f>
      </c>
    </row>
    <row r="890">
      <c r="A890" s="4"/>
      <c r="B890" s="12" t="s">
        <v>904</v>
      </c>
      <c r="C890" s="21"/>
      <c r="D890" s="21" t="s">
        <v>264</v>
      </c>
      <c r="E890" s="21"/>
      <c r="F890" s="21">
        <f>C890*E890</f>
      </c>
    </row>
    <row r="891">
      <c r="A891" s="3"/>
      <c r="B891" s="11" t="s">
        <v>905</v>
      </c>
      <c r="C891" s="20"/>
      <c r="D891" s="20"/>
      <c r="E891" s="20"/>
      <c r="F891" s="20"/>
    </row>
    <row r="892">
      <c r="A892" s="5"/>
      <c r="B892" s="13" t="s">
        <v>906</v>
      </c>
      <c r="C892" s="22"/>
      <c r="D892" s="22"/>
      <c r="E892" s="22"/>
      <c r="F892" s="22"/>
    </row>
    <row r="893">
      <c r="A893" s="6"/>
      <c r="B893" s="15" t="s">
        <v>907</v>
      </c>
      <c r="C893" s="23"/>
      <c r="D893" s="23"/>
      <c r="E893" s="23"/>
      <c r="F893" s="23"/>
    </row>
    <row r="894">
      <c r="A894" s="4"/>
      <c r="B894" s="16" t="s">
        <v>908</v>
      </c>
      <c r="C894" s="21"/>
      <c r="D894" s="21"/>
      <c r="E894" s="21"/>
      <c r="F894" s="21"/>
    </row>
    <row r="895">
      <c r="A895" s="4"/>
      <c r="B895" s="17" t="s">
        <v>909</v>
      </c>
      <c r="C895" s="21"/>
      <c r="D895" s="21"/>
      <c r="E895" s="21"/>
      <c r="F895" s="21"/>
    </row>
    <row r="896">
      <c r="A896" s="4"/>
      <c r="B896" s="18" t="s">
        <v>297</v>
      </c>
      <c r="C896" s="21">
        <f>(9)*(1)*(1)*(1)*(1 + (0))</f>
      </c>
      <c r="D896" s="21" t="s">
        <v>9</v>
      </c>
      <c r="E896" s="21"/>
      <c r="F896" s="21">
        <f>C896*E896</f>
      </c>
    </row>
    <row r="897">
      <c r="A897" s="4"/>
      <c r="B897" s="17" t="s">
        <v>910</v>
      </c>
      <c r="C897" s="21"/>
      <c r="D897" s="21"/>
      <c r="E897" s="21"/>
      <c r="F897" s="21"/>
    </row>
    <row r="898">
      <c r="A898" s="4"/>
      <c r="B898" s="18" t="s">
        <v>270</v>
      </c>
      <c r="C898" s="21">
        <f>(75)*(1)*(1)*(1)*(1 + (0))</f>
      </c>
      <c r="D898" s="21" t="s">
        <v>9</v>
      </c>
      <c r="E898" s="21"/>
      <c r="F898" s="21">
        <f>C898*E898</f>
      </c>
    </row>
    <row r="899">
      <c r="A899" s="4"/>
      <c r="B899" s="18" t="s">
        <v>297</v>
      </c>
      <c r="C899" s="21">
        <f>(53)*(1)*(1)*(1)*(1 + (0))</f>
      </c>
      <c r="D899" s="21" t="s">
        <v>9</v>
      </c>
      <c r="E899" s="21"/>
      <c r="F899" s="21">
        <f>C899*E899</f>
      </c>
    </row>
    <row r="900">
      <c r="A900" s="4"/>
      <c r="B900" s="18" t="s">
        <v>911</v>
      </c>
      <c r="C900" s="21">
        <f>(3)*(1)*(1)*(1)*(1 + (0))</f>
      </c>
      <c r="D900" s="21" t="s">
        <v>167</v>
      </c>
      <c r="E900" s="21"/>
      <c r="F900" s="21">
        <f>C900*E900</f>
      </c>
    </row>
    <row r="901">
      <c r="A901" s="4"/>
      <c r="B901" s="18" t="s">
        <v>912</v>
      </c>
      <c r="C901" s="21">
        <f>(1)*(1)*(1)*(1)*(1 + (0))</f>
      </c>
      <c r="D901" s="21" t="s">
        <v>167</v>
      </c>
      <c r="E901" s="21"/>
      <c r="F901" s="21">
        <f>C901*E901</f>
      </c>
    </row>
    <row r="902">
      <c r="A902" s="4"/>
      <c r="B902" s="18" t="s">
        <v>913</v>
      </c>
      <c r="C902" s="21">
        <f>(1)*(1)*(1)*(1)*(1 + (0))</f>
      </c>
      <c r="D902" s="21" t="s">
        <v>167</v>
      </c>
      <c r="E902" s="21"/>
      <c r="F902" s="21">
        <f>C902*E902</f>
      </c>
    </row>
    <row r="903">
      <c r="A903" s="4"/>
      <c r="B903" s="17" t="s">
        <v>914</v>
      </c>
      <c r="C903" s="21"/>
      <c r="D903" s="21"/>
      <c r="E903" s="21"/>
      <c r="F903" s="21"/>
    </row>
    <row r="904">
      <c r="A904" s="4"/>
      <c r="B904" s="18" t="s">
        <v>270</v>
      </c>
      <c r="C904" s="21">
        <f>(263)*(1)*(1)*(1)*(1 + (0))</f>
      </c>
      <c r="D904" s="21" t="s">
        <v>9</v>
      </c>
      <c r="E904" s="21"/>
      <c r="F904" s="21">
        <f>C904*E904</f>
      </c>
    </row>
    <row r="905">
      <c r="A905" s="4"/>
      <c r="B905" s="18" t="s">
        <v>915</v>
      </c>
      <c r="C905" s="21">
        <f>(1)*(1)*(1)*(1)*(1 + (0))</f>
      </c>
      <c r="D905" s="21" t="s">
        <v>167</v>
      </c>
      <c r="E905" s="21"/>
      <c r="F905" s="21">
        <f>C905*E905</f>
      </c>
    </row>
    <row r="906">
      <c r="A906" s="4"/>
      <c r="B906" s="18" t="s">
        <v>916</v>
      </c>
      <c r="C906" s="21">
        <f>(3)*(1)*(1)*(1)*(1 + (0))</f>
      </c>
      <c r="D906" s="21" t="s">
        <v>167</v>
      </c>
      <c r="E906" s="21"/>
      <c r="F906" s="21">
        <f>C906*E906</f>
      </c>
    </row>
    <row r="907">
      <c r="A907" s="4"/>
      <c r="B907" s="18" t="s">
        <v>917</v>
      </c>
      <c r="C907" s="21">
        <f>(2)*(1)*(1)*(1)*(1 + (0))</f>
      </c>
      <c r="D907" s="21" t="s">
        <v>167</v>
      </c>
      <c r="E907" s="21"/>
      <c r="F907" s="21">
        <f>C907*E907</f>
      </c>
    </row>
    <row r="908">
      <c r="A908" s="4"/>
      <c r="B908" s="18" t="s">
        <v>918</v>
      </c>
      <c r="C908" s="21">
        <f>(1)*(1)*(1)*(1)*(1 + (0))</f>
      </c>
      <c r="D908" s="21" t="s">
        <v>167</v>
      </c>
      <c r="E908" s="21"/>
      <c r="F908" s="21">
        <f>C908*E908</f>
      </c>
    </row>
    <row r="909">
      <c r="A909" s="4"/>
      <c r="B909" s="18" t="s">
        <v>919</v>
      </c>
      <c r="C909" s="21">
        <f>(1)*(1)*(1)*(1)*(1 + (0))</f>
      </c>
      <c r="D909" s="21" t="s">
        <v>167</v>
      </c>
      <c r="E909" s="21"/>
      <c r="F909" s="21">
        <f>C909*E909</f>
      </c>
    </row>
    <row r="910">
      <c r="A910" s="4"/>
      <c r="B910" s="17" t="s">
        <v>920</v>
      </c>
      <c r="C910" s="21"/>
      <c r="D910" s="21"/>
      <c r="E910" s="21"/>
      <c r="F910" s="21"/>
    </row>
    <row r="911">
      <c r="A911" s="4"/>
      <c r="B911" s="18" t="s">
        <v>297</v>
      </c>
      <c r="C911" s="21">
        <f>(18)*(1)*(1)*(1)*(1 + (0))</f>
      </c>
      <c r="D911" s="21" t="s">
        <v>9</v>
      </c>
      <c r="E911" s="21"/>
      <c r="F911" s="21">
        <f>C911*E911</f>
      </c>
    </row>
    <row r="912">
      <c r="A912" s="4"/>
      <c r="B912" s="17" t="s">
        <v>921</v>
      </c>
      <c r="C912" s="21"/>
      <c r="D912" s="21"/>
      <c r="E912" s="21"/>
      <c r="F912" s="21"/>
    </row>
    <row r="913">
      <c r="A913" s="4"/>
      <c r="B913" s="18" t="s">
        <v>270</v>
      </c>
      <c r="C913" s="21">
        <f>(9)*(1)*(1)*(1)*(1 + (0))</f>
      </c>
      <c r="D913" s="21" t="s">
        <v>9</v>
      </c>
      <c r="E913" s="21"/>
      <c r="F913" s="21">
        <f>C913*E913</f>
      </c>
    </row>
    <row r="914">
      <c r="A914" s="4"/>
      <c r="B914" s="17" t="s">
        <v>922</v>
      </c>
      <c r="C914" s="21"/>
      <c r="D914" s="21"/>
      <c r="E914" s="21"/>
      <c r="F914" s="21"/>
    </row>
    <row r="915">
      <c r="A915" s="4"/>
      <c r="B915" s="18" t="s">
        <v>270</v>
      </c>
      <c r="C915" s="21">
        <f>(116)*(1)*(1)*(1)*(1 + (0))</f>
      </c>
      <c r="D915" s="21" t="s">
        <v>9</v>
      </c>
      <c r="E915" s="21"/>
      <c r="F915" s="21">
        <f>C915*E915</f>
      </c>
    </row>
    <row r="916">
      <c r="A916" s="4"/>
      <c r="B916" s="18" t="s">
        <v>912</v>
      </c>
      <c r="C916" s="21">
        <f>(2)*(1)*(1)*(1)*(1 + (0))</f>
      </c>
      <c r="D916" s="21" t="s">
        <v>167</v>
      </c>
      <c r="E916" s="21"/>
      <c r="F916" s="21">
        <f>C916*E916</f>
      </c>
    </row>
    <row r="917">
      <c r="A917" s="4"/>
      <c r="B917" s="18" t="s">
        <v>913</v>
      </c>
      <c r="C917" s="21">
        <f>(2)*(1)*(1)*(1)*(1 + (0))</f>
      </c>
      <c r="D917" s="21" t="s">
        <v>167</v>
      </c>
      <c r="E917" s="21"/>
      <c r="F917" s="21">
        <f>C917*E917</f>
      </c>
    </row>
    <row r="918">
      <c r="A918" s="4"/>
      <c r="B918" s="16" t="s">
        <v>923</v>
      </c>
      <c r="C918" s="21"/>
      <c r="D918" s="21"/>
      <c r="E918" s="21"/>
      <c r="F918" s="21"/>
    </row>
    <row r="919">
      <c r="A919" s="4"/>
      <c r="B919" s="17" t="s">
        <v>910</v>
      </c>
      <c r="C919" s="21"/>
      <c r="D919" s="21"/>
      <c r="E919" s="21"/>
      <c r="F919" s="21"/>
    </row>
    <row r="920">
      <c r="A920" s="4"/>
      <c r="B920" s="18" t="s">
        <v>318</v>
      </c>
      <c r="C920" s="21">
        <f>(101)*(1)*(1)*(1)*(1 + (0))</f>
      </c>
      <c r="D920" s="21" t="s">
        <v>9</v>
      </c>
      <c r="E920" s="21"/>
      <c r="F920" s="21">
        <f>C920*E920</f>
      </c>
    </row>
    <row r="921">
      <c r="A921" s="4"/>
      <c r="B921" s="17" t="s">
        <v>920</v>
      </c>
      <c r="C921" s="21"/>
      <c r="D921" s="21"/>
      <c r="E921" s="21"/>
      <c r="F921" s="21"/>
    </row>
    <row r="922">
      <c r="A922" s="4"/>
      <c r="B922" s="18" t="s">
        <v>297</v>
      </c>
      <c r="C922" s="21">
        <f>(10)*(1)*(1)*(1)*(1 + (0))</f>
      </c>
      <c r="D922" s="21" t="s">
        <v>9</v>
      </c>
      <c r="E922" s="21"/>
      <c r="F922" s="21">
        <f>C922*E922</f>
      </c>
    </row>
    <row r="923">
      <c r="A923" s="4"/>
      <c r="B923" s="16" t="s">
        <v>924</v>
      </c>
      <c r="C923" s="21"/>
      <c r="D923" s="21"/>
      <c r="E923" s="21"/>
      <c r="F923" s="21"/>
    </row>
    <row r="924">
      <c r="A924" s="4"/>
      <c r="B924" s="17" t="s">
        <v>910</v>
      </c>
      <c r="C924" s="21"/>
      <c r="D924" s="21"/>
      <c r="E924" s="21"/>
      <c r="F924" s="21"/>
    </row>
    <row r="925">
      <c r="A925" s="4"/>
      <c r="B925" s="18" t="s">
        <v>297</v>
      </c>
      <c r="C925" s="21">
        <f>(370)*(1)*(1)*(1)*(1 + (0))</f>
      </c>
      <c r="D925" s="21" t="s">
        <v>9</v>
      </c>
      <c r="E925" s="21"/>
      <c r="F925" s="21">
        <f>C925*E925</f>
      </c>
    </row>
    <row r="926">
      <c r="A926" s="4"/>
      <c r="B926" s="17" t="s">
        <v>920</v>
      </c>
      <c r="C926" s="21"/>
      <c r="D926" s="21"/>
      <c r="E926" s="21"/>
      <c r="F926" s="21"/>
    </row>
    <row r="927">
      <c r="A927" s="4"/>
      <c r="B927" s="18" t="s">
        <v>318</v>
      </c>
      <c r="C927" s="21">
        <f>(15)*(1)*(1)*(1)*(1 + (0))</f>
      </c>
      <c r="D927" s="21" t="s">
        <v>9</v>
      </c>
      <c r="E927" s="21"/>
      <c r="F927" s="21">
        <f>C927*E927</f>
      </c>
    </row>
    <row r="928">
      <c r="A928" s="4"/>
      <c r="B928" s="16" t="s">
        <v>925</v>
      </c>
      <c r="C928" s="21"/>
      <c r="D928" s="21"/>
      <c r="E928" s="21"/>
      <c r="F928" s="21"/>
    </row>
    <row r="929">
      <c r="A929" s="4"/>
      <c r="B929" s="17" t="s">
        <v>920</v>
      </c>
      <c r="C929" s="21"/>
      <c r="D929" s="21"/>
      <c r="E929" s="21"/>
      <c r="F929" s="21"/>
    </row>
    <row r="930">
      <c r="A930" s="4"/>
      <c r="B930" s="18" t="s">
        <v>318</v>
      </c>
      <c r="C930" s="21">
        <f>(25)*(1)*(1)*(1)*(1 + (0))</f>
      </c>
      <c r="D930" s="21" t="s">
        <v>9</v>
      </c>
      <c r="E930" s="21"/>
      <c r="F930" s="21">
        <f>C930*E930</f>
      </c>
    </row>
    <row r="931">
      <c r="A931" s="4"/>
      <c r="B931" s="16" t="s">
        <v>926</v>
      </c>
      <c r="C931" s="21"/>
      <c r="D931" s="21"/>
      <c r="E931" s="21"/>
      <c r="F931" s="21"/>
    </row>
    <row r="932">
      <c r="A932" s="4"/>
      <c r="B932" s="17" t="s">
        <v>920</v>
      </c>
      <c r="C932" s="21"/>
      <c r="D932" s="21"/>
      <c r="E932" s="21"/>
      <c r="F932" s="21"/>
    </row>
    <row r="933">
      <c r="A933" s="4"/>
      <c r="B933" s="18" t="s">
        <v>318</v>
      </c>
      <c r="C933" s="21">
        <f>(41)*(1)*(1)*(1)*(1 + (0))</f>
      </c>
      <c r="D933" s="21" t="s">
        <v>9</v>
      </c>
      <c r="E933" s="21"/>
      <c r="F933" s="21">
        <f>C933*E933</f>
      </c>
    </row>
    <row r="934">
      <c r="A934" s="6"/>
      <c r="B934" s="15" t="s">
        <v>927</v>
      </c>
      <c r="C934" s="23"/>
      <c r="D934" s="23"/>
      <c r="E934" s="23"/>
      <c r="F934" s="23"/>
    </row>
    <row r="935">
      <c r="A935" s="4"/>
      <c r="B935" s="16" t="s">
        <v>928</v>
      </c>
      <c r="C935" s="21"/>
      <c r="D935" s="21"/>
      <c r="E935" s="21"/>
      <c r="F935" s="21"/>
    </row>
    <row r="936">
      <c r="A936" s="4"/>
      <c r="B936" s="17" t="s">
        <v>910</v>
      </c>
      <c r="C936" s="21"/>
      <c r="D936" s="21"/>
      <c r="E936" s="21"/>
      <c r="F936" s="21"/>
    </row>
    <row r="937">
      <c r="A937" s="4"/>
      <c r="B937" s="18" t="s">
        <v>297</v>
      </c>
      <c r="C937" s="21">
        <f>(14)*(1)*(1)*(1)*(1 + (0))</f>
      </c>
      <c r="D937" s="21" t="s">
        <v>9</v>
      </c>
      <c r="E937" s="21"/>
      <c r="F937" s="21">
        <f>C937*E937</f>
      </c>
    </row>
    <row r="938">
      <c r="A938" s="4"/>
      <c r="B938" s="17" t="s">
        <v>920</v>
      </c>
      <c r="C938" s="21"/>
      <c r="D938" s="21"/>
      <c r="E938" s="21"/>
      <c r="F938" s="21"/>
    </row>
    <row r="939">
      <c r="A939" s="4"/>
      <c r="B939" s="18" t="s">
        <v>270</v>
      </c>
      <c r="C939" s="21">
        <f>(7)*(1)*(1)*(1)*(1 + (0))</f>
      </c>
      <c r="D939" s="21" t="s">
        <v>9</v>
      </c>
      <c r="E939" s="21"/>
      <c r="F939" s="21">
        <f>C939*E939</f>
      </c>
    </row>
    <row r="940">
      <c r="A940" s="4"/>
      <c r="B940" s="18" t="s">
        <v>297</v>
      </c>
      <c r="C940" s="21">
        <f>(7)*(1)*(1)*(1)*(1 + (0))</f>
      </c>
      <c r="D940" s="21" t="s">
        <v>9</v>
      </c>
      <c r="E940" s="21"/>
      <c r="F940" s="21">
        <f>C940*E940</f>
      </c>
    </row>
    <row r="941">
      <c r="A941" s="4"/>
      <c r="B941" s="17" t="s">
        <v>929</v>
      </c>
      <c r="C941" s="21"/>
      <c r="D941" s="21"/>
      <c r="E941" s="21"/>
      <c r="F941" s="21"/>
    </row>
    <row r="942">
      <c r="A942" s="4"/>
      <c r="B942" s="18" t="s">
        <v>270</v>
      </c>
      <c r="C942" s="21">
        <f>(9)*(1)*(1)*(1)*(1 + (0))</f>
      </c>
      <c r="D942" s="21" t="s">
        <v>9</v>
      </c>
      <c r="E942" s="21"/>
      <c r="F942" s="21">
        <f>C942*E942</f>
      </c>
    </row>
    <row r="943">
      <c r="A943" s="4"/>
      <c r="B943" s="16" t="s">
        <v>930</v>
      </c>
      <c r="C943" s="21"/>
      <c r="D943" s="21"/>
      <c r="E943" s="21"/>
      <c r="F943" s="21"/>
    </row>
    <row r="944">
      <c r="A944" s="4"/>
      <c r="B944" s="17" t="s">
        <v>910</v>
      </c>
      <c r="C944" s="21"/>
      <c r="D944" s="21"/>
      <c r="E944" s="21"/>
      <c r="F944" s="21"/>
    </row>
    <row r="945">
      <c r="A945" s="4"/>
      <c r="B945" s="18" t="s">
        <v>318</v>
      </c>
      <c r="C945" s="21">
        <f>(33)*(1)*(1)*(1)*(1 + (0))</f>
      </c>
      <c r="D945" s="21" t="s">
        <v>9</v>
      </c>
      <c r="E945" s="21"/>
      <c r="F945" s="21">
        <f>C945*E945</f>
      </c>
    </row>
    <row r="946">
      <c r="A946" s="4"/>
      <c r="B946" s="17" t="s">
        <v>920</v>
      </c>
      <c r="C946" s="21"/>
      <c r="D946" s="21"/>
      <c r="E946" s="21"/>
      <c r="F946" s="21"/>
    </row>
    <row r="947">
      <c r="A947" s="4"/>
      <c r="B947" s="18" t="s">
        <v>297</v>
      </c>
      <c r="C947" s="21">
        <f>(6)*(1)*(1)*(1)*(1 + (0))</f>
      </c>
      <c r="D947" s="21" t="s">
        <v>9</v>
      </c>
      <c r="E947" s="21"/>
      <c r="F947" s="21">
        <f>C947*E947</f>
      </c>
    </row>
    <row r="948">
      <c r="A948" s="4"/>
      <c r="B948" s="17" t="s">
        <v>931</v>
      </c>
      <c r="C948" s="21"/>
      <c r="D948" s="21"/>
      <c r="E948" s="21"/>
      <c r="F948" s="21"/>
    </row>
    <row r="949">
      <c r="A949" s="4"/>
      <c r="B949" s="18" t="s">
        <v>297</v>
      </c>
      <c r="C949" s="21">
        <f>(7)*(1)*(1)*(1)*(1 + (0))</f>
      </c>
      <c r="D949" s="21" t="s">
        <v>9</v>
      </c>
      <c r="E949" s="21"/>
      <c r="F949" s="21">
        <f>C949*E949</f>
      </c>
    </row>
    <row r="950">
      <c r="A950" s="4"/>
      <c r="B950" s="18" t="s">
        <v>318</v>
      </c>
      <c r="C950" s="21">
        <f>(28)*(1)*(1)*(1)*(1 + (0))</f>
      </c>
      <c r="D950" s="21" t="s">
        <v>9</v>
      </c>
      <c r="E950" s="21"/>
      <c r="F950" s="21">
        <f>C950*E950</f>
      </c>
    </row>
    <row r="951">
      <c r="A951" s="4"/>
      <c r="B951" s="16" t="s">
        <v>932</v>
      </c>
      <c r="C951" s="21"/>
      <c r="D951" s="21"/>
      <c r="E951" s="21"/>
      <c r="F951" s="21"/>
    </row>
    <row r="952">
      <c r="A952" s="4"/>
      <c r="B952" s="17" t="s">
        <v>931</v>
      </c>
      <c r="C952" s="21"/>
      <c r="D952" s="21"/>
      <c r="E952" s="21"/>
      <c r="F952" s="21"/>
    </row>
    <row r="953">
      <c r="A953" s="4"/>
      <c r="B953" s="18" t="s">
        <v>297</v>
      </c>
      <c r="C953" s="21">
        <f>(23)*(1)*(1)*(1)*(1 + (0))</f>
      </c>
      <c r="D953" s="21" t="s">
        <v>9</v>
      </c>
      <c r="E953" s="21"/>
      <c r="F953" s="21">
        <f>C953*E953</f>
      </c>
    </row>
    <row r="954">
      <c r="A954" s="4"/>
      <c r="B954" s="17" t="s">
        <v>910</v>
      </c>
      <c r="C954" s="21"/>
      <c r="D954" s="21"/>
      <c r="E954" s="21"/>
      <c r="F954" s="21"/>
    </row>
    <row r="955">
      <c r="A955" s="4"/>
      <c r="B955" s="18" t="s">
        <v>297</v>
      </c>
      <c r="C955" s="21">
        <f>(103)*(1)*(1)*(1)*(1 + (0))</f>
      </c>
      <c r="D955" s="21" t="s">
        <v>9</v>
      </c>
      <c r="E955" s="21"/>
      <c r="F955" s="21">
        <f>C955*E955</f>
      </c>
    </row>
    <row r="956">
      <c r="A956" s="4"/>
      <c r="B956" s="16" t="s">
        <v>933</v>
      </c>
      <c r="C956" s="21"/>
      <c r="D956" s="21"/>
      <c r="E956" s="21"/>
      <c r="F956" s="21"/>
    </row>
    <row r="957">
      <c r="A957" s="4"/>
      <c r="B957" s="17" t="s">
        <v>920</v>
      </c>
      <c r="C957" s="21"/>
      <c r="D957" s="21"/>
      <c r="E957" s="21"/>
      <c r="F957" s="21"/>
    </row>
    <row r="958">
      <c r="A958" s="4"/>
      <c r="B958" s="18" t="s">
        <v>318</v>
      </c>
      <c r="C958" s="21">
        <f>(14)*(1)*(1)*(1)*(1 + (0))</f>
      </c>
      <c r="D958" s="21" t="s">
        <v>9</v>
      </c>
      <c r="E958" s="21"/>
      <c r="F958" s="21">
        <f>C958*E958</f>
      </c>
    </row>
    <row r="959">
      <c r="A959" s="4"/>
      <c r="B959" s="16" t="s">
        <v>934</v>
      </c>
      <c r="C959" s="21"/>
      <c r="D959" s="21"/>
      <c r="E959" s="21"/>
      <c r="F959" s="21"/>
    </row>
    <row r="960">
      <c r="A960" s="4"/>
      <c r="B960" s="17" t="s">
        <v>920</v>
      </c>
      <c r="C960" s="21"/>
      <c r="D960" s="21"/>
      <c r="E960" s="21"/>
      <c r="F960" s="21"/>
    </row>
    <row r="961">
      <c r="A961" s="4"/>
      <c r="B961" s="18" t="s">
        <v>318</v>
      </c>
      <c r="C961" s="21">
        <f>(12)*(1)*(1)*(1)*(1 + (0))</f>
      </c>
      <c r="D961" s="21" t="s">
        <v>9</v>
      </c>
      <c r="E961" s="21"/>
      <c r="F961" s="21">
        <f>C961*E961</f>
      </c>
    </row>
    <row r="962">
      <c r="A962" s="4"/>
      <c r="B962" s="16" t="s">
        <v>935</v>
      </c>
      <c r="C962" s="21"/>
      <c r="D962" s="21"/>
      <c r="E962" s="21"/>
      <c r="F962" s="21"/>
    </row>
    <row r="963">
      <c r="A963" s="4"/>
      <c r="B963" s="17" t="s">
        <v>920</v>
      </c>
      <c r="C963" s="21"/>
      <c r="D963" s="21"/>
      <c r="E963" s="21"/>
      <c r="F963" s="21"/>
    </row>
    <row r="964">
      <c r="A964" s="4"/>
      <c r="B964" s="18" t="s">
        <v>318</v>
      </c>
      <c r="C964" s="21">
        <f>(7)*(1)*(1)*(1)*(1 + (0))</f>
      </c>
      <c r="D964" s="21" t="s">
        <v>9</v>
      </c>
      <c r="E964" s="21"/>
      <c r="F964" s="21">
        <f>C964*E964</f>
      </c>
    </row>
    <row r="965">
      <c r="A965" s="5"/>
      <c r="B965" s="13" t="s">
        <v>936</v>
      </c>
      <c r="C965" s="22"/>
      <c r="D965" s="22"/>
      <c r="E965" s="22"/>
      <c r="F965" s="22"/>
    </row>
    <row r="966">
      <c r="A966" s="6"/>
      <c r="B966" s="15" t="s">
        <v>937</v>
      </c>
      <c r="C966" s="23"/>
      <c r="D966" s="23"/>
      <c r="E966" s="23"/>
      <c r="F966" s="23"/>
    </row>
    <row r="967">
      <c r="A967" s="4"/>
      <c r="B967" s="16" t="s">
        <v>938</v>
      </c>
      <c r="C967" s="21"/>
      <c r="D967" s="21"/>
      <c r="E967" s="21"/>
      <c r="F967" s="21"/>
    </row>
    <row r="968">
      <c r="A968" s="4"/>
      <c r="B968" s="17" t="s">
        <v>939</v>
      </c>
      <c r="C968" s="21"/>
      <c r="D968" s="21"/>
      <c r="E968" s="21"/>
      <c r="F968" s="21"/>
    </row>
    <row r="969">
      <c r="A969" s="4"/>
      <c r="B969" s="18" t="s">
        <v>297</v>
      </c>
      <c r="C969" s="21">
        <f>(1)*(1)*(1)*(1)*(1 + (0))</f>
      </c>
      <c r="D969" s="21" t="s">
        <v>164</v>
      </c>
      <c r="E969" s="21"/>
      <c r="F969" s="21">
        <f>C969*E969</f>
      </c>
    </row>
    <row r="970">
      <c r="A970" s="4"/>
      <c r="B970" s="17" t="s">
        <v>940</v>
      </c>
      <c r="C970" s="21"/>
      <c r="D970" s="21"/>
      <c r="E970" s="21"/>
      <c r="F970" s="21"/>
    </row>
    <row r="971">
      <c r="A971" s="4"/>
      <c r="B971" s="18" t="s">
        <v>270</v>
      </c>
      <c r="C971" s="21">
        <f>(9)*(1)*(1)*(1)*(1 + (0))</f>
      </c>
      <c r="D971" s="21" t="s">
        <v>164</v>
      </c>
      <c r="E971" s="21"/>
      <c r="F971" s="21">
        <f>C971*E971</f>
      </c>
    </row>
    <row r="972">
      <c r="A972" s="4"/>
      <c r="B972" s="18" t="s">
        <v>297</v>
      </c>
      <c r="C972" s="21">
        <f>(7)*(1)*(1)*(1)*(1 + (0))</f>
      </c>
      <c r="D972" s="21" t="s">
        <v>164</v>
      </c>
      <c r="E972" s="21"/>
      <c r="F972" s="21">
        <f>C972*E972</f>
      </c>
    </row>
    <row r="973">
      <c r="A973" s="4"/>
      <c r="B973" s="17" t="s">
        <v>941</v>
      </c>
      <c r="C973" s="21"/>
      <c r="D973" s="21"/>
      <c r="E973" s="21"/>
      <c r="F973" s="21"/>
    </row>
    <row r="974">
      <c r="A974" s="4"/>
      <c r="B974" s="18" t="s">
        <v>270</v>
      </c>
      <c r="C974" s="21">
        <f>(32)*(1)*(1)*(1)*(1 + (0))</f>
      </c>
      <c r="D974" s="21" t="s">
        <v>164</v>
      </c>
      <c r="E974" s="21"/>
      <c r="F974" s="21">
        <f>C974*E974</f>
      </c>
    </row>
    <row r="975">
      <c r="A975" s="4"/>
      <c r="B975" s="17" t="s">
        <v>942</v>
      </c>
      <c r="C975" s="21"/>
      <c r="D975" s="21"/>
      <c r="E975" s="21"/>
      <c r="F975" s="21"/>
    </row>
    <row r="976">
      <c r="A976" s="4"/>
      <c r="B976" s="18" t="s">
        <v>297</v>
      </c>
      <c r="C976" s="21">
        <f>(3)*(1)*(1)*(1)*(1 + (0))</f>
      </c>
      <c r="D976" s="21" t="s">
        <v>164</v>
      </c>
      <c r="E976" s="21"/>
      <c r="F976" s="21">
        <f>C976*E976</f>
      </c>
    </row>
    <row r="977">
      <c r="A977" s="4"/>
      <c r="B977" s="17" t="s">
        <v>943</v>
      </c>
      <c r="C977" s="21"/>
      <c r="D977" s="21"/>
      <c r="E977" s="21"/>
      <c r="F977" s="21"/>
    </row>
    <row r="978">
      <c r="A978" s="4"/>
      <c r="B978" s="18" t="s">
        <v>270</v>
      </c>
      <c r="C978" s="21">
        <f>(2)*(1)*(1)*(1)*(1 + (0))</f>
      </c>
      <c r="D978" s="21" t="s">
        <v>164</v>
      </c>
      <c r="E978" s="21"/>
      <c r="F978" s="21">
        <f>C978*E978</f>
      </c>
    </row>
    <row r="979">
      <c r="A979" s="4"/>
      <c r="B979" s="17" t="s">
        <v>944</v>
      </c>
      <c r="C979" s="21"/>
      <c r="D979" s="21"/>
      <c r="E979" s="21"/>
      <c r="F979" s="21"/>
    </row>
    <row r="980">
      <c r="A980" s="4"/>
      <c r="B980" s="18" t="s">
        <v>270</v>
      </c>
      <c r="C980" s="21">
        <f>(20)*(1)*(1)*(1)*(1 + (0))</f>
      </c>
      <c r="D980" s="21" t="s">
        <v>164</v>
      </c>
      <c r="E980" s="21"/>
      <c r="F980" s="21">
        <f>C980*E980</f>
      </c>
    </row>
    <row r="981">
      <c r="A981" s="4"/>
      <c r="B981" s="16" t="s">
        <v>945</v>
      </c>
      <c r="C981" s="21"/>
      <c r="D981" s="21"/>
      <c r="E981" s="21"/>
      <c r="F981" s="21"/>
    </row>
    <row r="982">
      <c r="A982" s="4"/>
      <c r="B982" s="17" t="s">
        <v>940</v>
      </c>
      <c r="C982" s="21"/>
      <c r="D982" s="21"/>
      <c r="E982" s="21"/>
      <c r="F982" s="21"/>
    </row>
    <row r="983">
      <c r="A983" s="4"/>
      <c r="B983" s="18" t="s">
        <v>318</v>
      </c>
      <c r="C983" s="21">
        <f>(13)*(1)*(1)*(1)*(1 + (0))</f>
      </c>
      <c r="D983" s="21" t="s">
        <v>164</v>
      </c>
      <c r="E983" s="21"/>
      <c r="F983" s="21">
        <f>C983*E983</f>
      </c>
    </row>
    <row r="984">
      <c r="A984" s="4"/>
      <c r="B984" s="17" t="s">
        <v>942</v>
      </c>
      <c r="C984" s="21"/>
      <c r="D984" s="21"/>
      <c r="E984" s="21"/>
      <c r="F984" s="21"/>
    </row>
    <row r="985">
      <c r="A985" s="4"/>
      <c r="B985" s="18" t="s">
        <v>297</v>
      </c>
      <c r="C985" s="21">
        <f>(2)*(1)*(1)*(1)*(1 + (0))</f>
      </c>
      <c r="D985" s="21" t="s">
        <v>164</v>
      </c>
      <c r="E985" s="21"/>
      <c r="F985" s="21">
        <f>C985*E985</f>
      </c>
    </row>
    <row r="986">
      <c r="A986" s="4"/>
      <c r="B986" s="16" t="s">
        <v>946</v>
      </c>
      <c r="C986" s="21"/>
      <c r="D986" s="21"/>
      <c r="E986" s="21"/>
      <c r="F986" s="21"/>
    </row>
    <row r="987">
      <c r="A987" s="4"/>
      <c r="B987" s="17" t="s">
        <v>940</v>
      </c>
      <c r="C987" s="21"/>
      <c r="D987" s="21"/>
      <c r="E987" s="21"/>
      <c r="F987" s="21"/>
    </row>
    <row r="988">
      <c r="A988" s="4"/>
      <c r="B988" s="18" t="s">
        <v>297</v>
      </c>
      <c r="C988" s="21">
        <f>(45)*(1)*(1)*(1)*(1 + (0))</f>
      </c>
      <c r="D988" s="21" t="s">
        <v>164</v>
      </c>
      <c r="E988" s="21"/>
      <c r="F988" s="21">
        <f>C988*E988</f>
      </c>
    </row>
    <row r="989">
      <c r="A989" s="4"/>
      <c r="B989" s="17" t="s">
        <v>942</v>
      </c>
      <c r="C989" s="21"/>
      <c r="D989" s="21"/>
      <c r="E989" s="21"/>
      <c r="F989" s="21"/>
    </row>
    <row r="990">
      <c r="A990" s="4"/>
      <c r="B990" s="18" t="s">
        <v>318</v>
      </c>
      <c r="C990" s="21">
        <f>(2)*(1)*(1)*(1)*(1 + (0))</f>
      </c>
      <c r="D990" s="21" t="s">
        <v>164</v>
      </c>
      <c r="E990" s="21"/>
      <c r="F990" s="21">
        <f>C990*E990</f>
      </c>
    </row>
    <row r="991">
      <c r="A991" s="4"/>
      <c r="B991" s="16" t="s">
        <v>947</v>
      </c>
      <c r="C991" s="21"/>
      <c r="D991" s="21"/>
      <c r="E991" s="21"/>
      <c r="F991" s="21"/>
    </row>
    <row r="992">
      <c r="A992" s="4"/>
      <c r="B992" s="17" t="s">
        <v>942</v>
      </c>
      <c r="C992" s="21"/>
      <c r="D992" s="21"/>
      <c r="E992" s="21"/>
      <c r="F992" s="21"/>
    </row>
    <row r="993">
      <c r="A993" s="4"/>
      <c r="B993" s="18" t="s">
        <v>318</v>
      </c>
      <c r="C993" s="21">
        <f>(3)*(1)*(1)*(1)*(1 + (0))</f>
      </c>
      <c r="D993" s="21" t="s">
        <v>164</v>
      </c>
      <c r="E993" s="21"/>
      <c r="F993" s="21">
        <f>C993*E993</f>
      </c>
    </row>
    <row r="994">
      <c r="A994" s="4"/>
      <c r="B994" s="16" t="s">
        <v>948</v>
      </c>
      <c r="C994" s="21"/>
      <c r="D994" s="21"/>
      <c r="E994" s="21"/>
      <c r="F994" s="21"/>
    </row>
    <row r="995">
      <c r="A995" s="4"/>
      <c r="B995" s="17" t="s">
        <v>942</v>
      </c>
      <c r="C995" s="21"/>
      <c r="D995" s="21"/>
      <c r="E995" s="21"/>
      <c r="F995" s="21"/>
    </row>
    <row r="996">
      <c r="A996" s="4"/>
      <c r="B996" s="18" t="s">
        <v>318</v>
      </c>
      <c r="C996" s="21">
        <f>(5)*(1)*(1)*(1)*(1 + (0))</f>
      </c>
      <c r="D996" s="21" t="s">
        <v>164</v>
      </c>
      <c r="E996" s="21"/>
      <c r="F996" s="21">
        <f>C996*E996</f>
      </c>
    </row>
    <row r="997">
      <c r="A997" s="6"/>
      <c r="B997" s="15" t="s">
        <v>949</v>
      </c>
      <c r="C997" s="23"/>
      <c r="D997" s="23"/>
      <c r="E997" s="23"/>
      <c r="F997" s="23"/>
    </row>
    <row r="998">
      <c r="A998" s="4"/>
      <c r="B998" s="16" t="s">
        <v>950</v>
      </c>
      <c r="C998" s="21"/>
      <c r="D998" s="21"/>
      <c r="E998" s="21"/>
      <c r="F998" s="21"/>
    </row>
    <row r="999">
      <c r="A999" s="4"/>
      <c r="B999" s="17" t="s">
        <v>940</v>
      </c>
      <c r="C999" s="21"/>
      <c r="D999" s="21"/>
      <c r="E999" s="21"/>
      <c r="F999" s="21"/>
    </row>
    <row r="1000">
      <c r="A1000" s="4"/>
      <c r="B1000" s="18" t="s">
        <v>297</v>
      </c>
      <c r="C1000" s="21">
        <f>(2)*(1)*(1)*(1)*(1 + (0))</f>
      </c>
      <c r="D1000" s="21" t="s">
        <v>164</v>
      </c>
      <c r="E1000" s="21"/>
      <c r="F1000" s="21">
        <f>C1000*E1000</f>
      </c>
    </row>
    <row r="1001">
      <c r="A1001" s="4"/>
      <c r="B1001" s="17" t="s">
        <v>942</v>
      </c>
      <c r="C1001" s="21"/>
      <c r="D1001" s="21"/>
      <c r="E1001" s="21"/>
      <c r="F1001" s="21"/>
    </row>
    <row r="1002">
      <c r="A1002" s="4"/>
      <c r="B1002" s="18" t="s">
        <v>270</v>
      </c>
      <c r="C1002" s="21">
        <f>(1)*(1)*(1)*(1)*(1 + (0))</f>
      </c>
      <c r="D1002" s="21" t="s">
        <v>164</v>
      </c>
      <c r="E1002" s="21"/>
      <c r="F1002" s="21">
        <f>C1002*E1002</f>
      </c>
    </row>
    <row r="1003">
      <c r="A1003" s="4"/>
      <c r="B1003" s="18" t="s">
        <v>297</v>
      </c>
      <c r="C1003" s="21">
        <f>(1)*(1)*(1)*(1)*(1 + (0))</f>
      </c>
      <c r="D1003" s="21" t="s">
        <v>164</v>
      </c>
      <c r="E1003" s="21"/>
      <c r="F1003" s="21">
        <f>C1003*E1003</f>
      </c>
    </row>
    <row r="1004">
      <c r="A1004" s="4"/>
      <c r="B1004" s="17" t="s">
        <v>951</v>
      </c>
      <c r="C1004" s="21"/>
      <c r="D1004" s="21"/>
      <c r="E1004" s="21"/>
      <c r="F1004" s="21"/>
    </row>
    <row r="1005">
      <c r="A1005" s="4"/>
      <c r="B1005" s="18" t="s">
        <v>270</v>
      </c>
      <c r="C1005" s="21">
        <f>(2)*(1)*(1)*(1)*(1 + (0))</f>
      </c>
      <c r="D1005" s="21" t="s">
        <v>164</v>
      </c>
      <c r="E1005" s="21"/>
      <c r="F1005" s="21">
        <f>C1005*E1005</f>
      </c>
    </row>
    <row r="1006">
      <c r="A1006" s="4"/>
      <c r="B1006" s="16" t="s">
        <v>952</v>
      </c>
      <c r="C1006" s="21"/>
      <c r="D1006" s="21"/>
      <c r="E1006" s="21"/>
      <c r="F1006" s="21"/>
    </row>
    <row r="1007">
      <c r="A1007" s="4"/>
      <c r="B1007" s="17" t="s">
        <v>940</v>
      </c>
      <c r="C1007" s="21"/>
      <c r="D1007" s="21"/>
      <c r="E1007" s="21"/>
      <c r="F1007" s="21"/>
    </row>
    <row r="1008">
      <c r="A1008" s="4"/>
      <c r="B1008" s="18" t="s">
        <v>318</v>
      </c>
      <c r="C1008" s="21">
        <f>(4)*(1)*(1)*(1)*(1 + (0))</f>
      </c>
      <c r="D1008" s="21" t="s">
        <v>164</v>
      </c>
      <c r="E1008" s="21"/>
      <c r="F1008" s="21">
        <f>C1008*E1008</f>
      </c>
    </row>
    <row r="1009">
      <c r="A1009" s="4"/>
      <c r="B1009" s="17" t="s">
        <v>942</v>
      </c>
      <c r="C1009" s="21"/>
      <c r="D1009" s="21"/>
      <c r="E1009" s="21"/>
      <c r="F1009" s="21"/>
    </row>
    <row r="1010">
      <c r="A1010" s="4"/>
      <c r="B1010" s="18" t="s">
        <v>297</v>
      </c>
      <c r="C1010" s="21">
        <f>(1)*(1)*(1)*(1)*(1 + (0))</f>
      </c>
      <c r="D1010" s="21" t="s">
        <v>164</v>
      </c>
      <c r="E1010" s="21"/>
      <c r="F1010" s="21">
        <f>C1010*E1010</f>
      </c>
    </row>
    <row r="1011">
      <c r="A1011" s="4"/>
      <c r="B1011" s="17" t="s">
        <v>953</v>
      </c>
      <c r="C1011" s="21"/>
      <c r="D1011" s="21"/>
      <c r="E1011" s="21"/>
      <c r="F1011" s="21"/>
    </row>
    <row r="1012">
      <c r="A1012" s="4"/>
      <c r="B1012" s="18" t="s">
        <v>297</v>
      </c>
      <c r="C1012" s="21">
        <f>(1)*(1)*(1)*(1)*(1 + (0))</f>
      </c>
      <c r="D1012" s="21" t="s">
        <v>164</v>
      </c>
      <c r="E1012" s="21"/>
      <c r="F1012" s="21">
        <f>C1012*E1012</f>
      </c>
    </row>
    <row r="1013">
      <c r="A1013" s="4"/>
      <c r="B1013" s="18" t="s">
        <v>318</v>
      </c>
      <c r="C1013" s="21">
        <f>(4)*(1)*(1)*(1)*(1 + (0))</f>
      </c>
      <c r="D1013" s="21" t="s">
        <v>164</v>
      </c>
      <c r="E1013" s="21"/>
      <c r="F1013" s="21">
        <f>C1013*E1013</f>
      </c>
    </row>
    <row r="1014">
      <c r="A1014" s="4"/>
      <c r="B1014" s="16" t="s">
        <v>954</v>
      </c>
      <c r="C1014" s="21"/>
      <c r="D1014" s="21"/>
      <c r="E1014" s="21"/>
      <c r="F1014" s="21"/>
    </row>
    <row r="1015">
      <c r="A1015" s="4"/>
      <c r="B1015" s="17" t="s">
        <v>953</v>
      </c>
      <c r="C1015" s="21"/>
      <c r="D1015" s="21"/>
      <c r="E1015" s="21"/>
      <c r="F1015" s="21"/>
    </row>
    <row r="1016">
      <c r="A1016" s="4"/>
      <c r="B1016" s="18" t="s">
        <v>297</v>
      </c>
      <c r="C1016" s="21">
        <f>(3)*(1)*(1)*(1)*(1 + (0))</f>
      </c>
      <c r="D1016" s="21" t="s">
        <v>164</v>
      </c>
      <c r="E1016" s="21"/>
      <c r="F1016" s="21">
        <f>C1016*E1016</f>
      </c>
    </row>
    <row r="1017">
      <c r="A1017" s="4"/>
      <c r="B1017" s="17" t="s">
        <v>940</v>
      </c>
      <c r="C1017" s="21"/>
      <c r="D1017" s="21"/>
      <c r="E1017" s="21"/>
      <c r="F1017" s="21"/>
    </row>
    <row r="1018">
      <c r="A1018" s="4"/>
      <c r="B1018" s="18" t="s">
        <v>297</v>
      </c>
      <c r="C1018" s="21">
        <f>(13)*(1)*(1)*(1)*(1 + (0))</f>
      </c>
      <c r="D1018" s="21" t="s">
        <v>164</v>
      </c>
      <c r="E1018" s="21"/>
      <c r="F1018" s="21">
        <f>C1018*E1018</f>
      </c>
    </row>
    <row r="1019">
      <c r="A1019" s="4"/>
      <c r="B1019" s="16" t="s">
        <v>955</v>
      </c>
      <c r="C1019" s="21"/>
      <c r="D1019" s="21"/>
      <c r="E1019" s="21"/>
      <c r="F1019" s="21"/>
    </row>
    <row r="1020">
      <c r="A1020" s="4"/>
      <c r="B1020" s="17" t="s">
        <v>942</v>
      </c>
      <c r="C1020" s="21"/>
      <c r="D1020" s="21"/>
      <c r="E1020" s="21"/>
      <c r="F1020" s="21"/>
    </row>
    <row r="1021">
      <c r="A1021" s="4"/>
      <c r="B1021" s="18" t="s">
        <v>318</v>
      </c>
      <c r="C1021" s="21">
        <f>(2)*(1)*(1)*(1)*(1 + (0))</f>
      </c>
      <c r="D1021" s="21" t="s">
        <v>164</v>
      </c>
      <c r="E1021" s="21"/>
      <c r="F1021" s="21">
        <f>C1021*E1021</f>
      </c>
    </row>
    <row r="1022">
      <c r="A1022" s="4"/>
      <c r="B1022" s="16" t="s">
        <v>956</v>
      </c>
      <c r="C1022" s="21"/>
      <c r="D1022" s="21"/>
      <c r="E1022" s="21"/>
      <c r="F1022" s="21"/>
    </row>
    <row r="1023">
      <c r="A1023" s="4"/>
      <c r="B1023" s="17" t="s">
        <v>942</v>
      </c>
      <c r="C1023" s="21"/>
      <c r="D1023" s="21"/>
      <c r="E1023" s="21"/>
      <c r="F1023" s="21"/>
    </row>
    <row r="1024">
      <c r="A1024" s="4"/>
      <c r="B1024" s="18" t="s">
        <v>318</v>
      </c>
      <c r="C1024" s="21">
        <f>(2)*(1)*(1)*(1)*(1 + (0))</f>
      </c>
      <c r="D1024" s="21" t="s">
        <v>164</v>
      </c>
      <c r="E1024" s="21"/>
      <c r="F1024" s="21">
        <f>C1024*E1024</f>
      </c>
    </row>
    <row r="1025">
      <c r="A1025" s="4"/>
      <c r="B1025" s="16" t="s">
        <v>957</v>
      </c>
      <c r="C1025" s="21"/>
      <c r="D1025" s="21"/>
      <c r="E1025" s="21"/>
      <c r="F1025" s="21"/>
    </row>
    <row r="1026">
      <c r="A1026" s="4"/>
      <c r="B1026" s="17" t="s">
        <v>942</v>
      </c>
      <c r="C1026" s="21"/>
      <c r="D1026" s="21"/>
      <c r="E1026" s="21"/>
      <c r="F1026" s="21"/>
    </row>
    <row r="1027">
      <c r="A1027" s="4"/>
      <c r="B1027" s="18" t="s">
        <v>318</v>
      </c>
      <c r="C1027" s="21">
        <f>(1)*(1)*(1)*(1)*(1 + (0))</f>
      </c>
      <c r="D1027" s="21" t="s">
        <v>164</v>
      </c>
      <c r="E1027" s="21"/>
      <c r="F1027" s="21">
        <f>C1027*E1027</f>
      </c>
    </row>
    <row r="1028">
      <c r="A1028" s="5"/>
      <c r="B1028" s="13" t="s">
        <v>958</v>
      </c>
      <c r="C1028" s="22"/>
      <c r="D1028" s="22"/>
      <c r="E1028" s="22"/>
      <c r="F1028" s="22"/>
    </row>
    <row r="1029">
      <c r="A1029" s="6"/>
      <c r="B1029" s="15" t="s">
        <v>959</v>
      </c>
      <c r="C1029" s="23"/>
      <c r="D1029" s="23"/>
      <c r="E1029" s="23"/>
      <c r="F1029" s="23"/>
    </row>
    <row r="1030">
      <c r="A1030" s="4"/>
      <c r="B1030" s="16" t="s">
        <v>960</v>
      </c>
      <c r="C1030" s="21"/>
      <c r="D1030" s="21"/>
      <c r="E1030" s="21"/>
      <c r="F1030" s="21"/>
    </row>
    <row r="1031">
      <c r="A1031" s="4"/>
      <c r="B1031" s="17" t="s">
        <v>297</v>
      </c>
      <c r="C1031" s="21">
        <f>(22)*(1)*(1)*(1)*(1 + (0))</f>
      </c>
      <c r="D1031" s="21" t="s">
        <v>167</v>
      </c>
      <c r="E1031" s="21"/>
      <c r="F1031" s="21">
        <f>C1031*E1031</f>
      </c>
    </row>
    <row r="1032">
      <c r="A1032" s="4"/>
      <c r="B1032" s="17" t="s">
        <v>318</v>
      </c>
      <c r="C1032" s="21">
        <f>(2)*(1)*(1)*(1)*(1 + (0))</f>
      </c>
      <c r="D1032" s="21" t="s">
        <v>167</v>
      </c>
      <c r="E1032" s="21"/>
      <c r="F1032" s="21">
        <f>C1032*E1032</f>
      </c>
    </row>
    <row r="1033">
      <c r="A1033" s="4"/>
      <c r="B1033" s="16" t="s">
        <v>961</v>
      </c>
      <c r="C1033" s="21"/>
      <c r="D1033" s="21"/>
      <c r="E1033" s="21"/>
      <c r="F1033" s="21"/>
    </row>
    <row r="1034">
      <c r="A1034" s="4"/>
      <c r="B1034" s="17" t="s">
        <v>297</v>
      </c>
      <c r="C1034" s="21">
        <f>(28)*(1)*(1)*(1)*(1 + (0))</f>
      </c>
      <c r="D1034" s="21" t="s">
        <v>167</v>
      </c>
      <c r="E1034" s="21"/>
      <c r="F1034" s="21">
        <f>C1034*E1034</f>
      </c>
    </row>
    <row r="1035">
      <c r="A1035" s="4"/>
      <c r="B1035" s="17" t="s">
        <v>318</v>
      </c>
      <c r="C1035" s="21">
        <f>(21)*(1)*(1)*(1)*(1 + (0))</f>
      </c>
      <c r="D1035" s="21" t="s">
        <v>167</v>
      </c>
      <c r="E1035" s="21"/>
      <c r="F1035" s="21">
        <f>C1035*E1035</f>
      </c>
    </row>
    <row r="1036">
      <c r="A1036" s="5"/>
      <c r="B1036" s="13" t="s">
        <v>468</v>
      </c>
      <c r="C1036" s="22"/>
      <c r="D1036" s="22"/>
      <c r="E1036" s="22"/>
      <c r="F1036" s="22"/>
    </row>
    <row r="1037">
      <c r="A1037" s="6"/>
      <c r="B1037" s="15" t="s">
        <v>962</v>
      </c>
      <c r="C1037" s="23"/>
      <c r="D1037" s="23"/>
      <c r="E1037" s="23"/>
      <c r="F1037" s="23"/>
    </row>
    <row r="1038">
      <c r="A1038" s="4"/>
      <c r="B1038" s="16" t="s">
        <v>963</v>
      </c>
      <c r="C1038" s="21"/>
      <c r="D1038" s="21"/>
      <c r="E1038" s="21"/>
      <c r="F1038" s="21"/>
    </row>
    <row r="1039">
      <c r="A1039" s="4"/>
      <c r="B1039" s="17" t="s">
        <v>964</v>
      </c>
      <c r="C1039" s="21"/>
      <c r="D1039" s="21"/>
      <c r="E1039" s="21"/>
      <c r="F1039" s="21"/>
    </row>
    <row r="1040">
      <c r="A1040" s="4"/>
      <c r="B1040" s="18" t="s">
        <v>297</v>
      </c>
      <c r="C1040" s="21">
        <f>(0.205052376)*(1)*(1)*(1)*(1 + (0))</f>
      </c>
      <c r="D1040" s="21" t="s">
        <v>495</v>
      </c>
      <c r="E1040" s="21"/>
      <c r="F1040" s="21">
        <f>C1040*E1040</f>
      </c>
    </row>
    <row r="1041">
      <c r="A1041" s="4"/>
      <c r="B1041" s="17" t="s">
        <v>965</v>
      </c>
      <c r="C1041" s="21"/>
      <c r="D1041" s="21"/>
      <c r="E1041" s="21"/>
      <c r="F1041" s="21"/>
    </row>
    <row r="1042">
      <c r="A1042" s="4"/>
      <c r="B1042" s="18" t="s">
        <v>270</v>
      </c>
      <c r="C1042" s="21">
        <f>(1.19797515992357)*(1)*(1)*(1)*(1 + (0))</f>
      </c>
      <c r="D1042" s="21" t="s">
        <v>495</v>
      </c>
      <c r="E1042" s="21"/>
      <c r="F1042" s="21">
        <f>C1042*E1042</f>
      </c>
    </row>
    <row r="1043">
      <c r="A1043" s="4"/>
      <c r="B1043" s="18" t="s">
        <v>297</v>
      </c>
      <c r="C1043" s="21">
        <f>(0.836944913530165)*(1)*(1)*(1)*(1 + (0))</f>
      </c>
      <c r="D1043" s="21" t="s">
        <v>495</v>
      </c>
      <c r="E1043" s="21"/>
      <c r="F1043" s="21">
        <f>C1043*E1043</f>
      </c>
    </row>
    <row r="1044">
      <c r="A1044" s="4"/>
      <c r="B1044" s="17" t="s">
        <v>966</v>
      </c>
      <c r="C1044" s="21"/>
      <c r="D1044" s="21"/>
      <c r="E1044" s="21"/>
      <c r="F1044" s="21"/>
    </row>
    <row r="1045">
      <c r="A1045" s="4"/>
      <c r="B1045" s="18" t="s">
        <v>270</v>
      </c>
      <c r="C1045" s="21">
        <f>(2.92898159)*(1)*(1)*(1)*(1 + (0))</f>
      </c>
      <c r="D1045" s="21" t="s">
        <v>495</v>
      </c>
      <c r="E1045" s="21"/>
      <c r="F1045" s="21">
        <f>C1045*E1045</f>
      </c>
    </row>
    <row r="1046">
      <c r="A1046" s="4"/>
      <c r="B1046" s="17" t="s">
        <v>967</v>
      </c>
      <c r="C1046" s="21"/>
      <c r="D1046" s="21"/>
      <c r="E1046" s="21"/>
      <c r="F1046" s="21"/>
    </row>
    <row r="1047">
      <c r="A1047" s="4"/>
      <c r="B1047" s="18" t="s">
        <v>297</v>
      </c>
      <c r="C1047" s="21">
        <f>(0.275072251720686)*(1)*(1)*(1)*(1 + (0))</f>
      </c>
      <c r="D1047" s="21" t="s">
        <v>495</v>
      </c>
      <c r="E1047" s="21"/>
      <c r="F1047" s="21">
        <f>C1047*E1047</f>
      </c>
    </row>
    <row r="1048">
      <c r="A1048" s="4"/>
      <c r="B1048" s="17" t="s">
        <v>968</v>
      </c>
      <c r="C1048" s="21"/>
      <c r="D1048" s="21"/>
      <c r="E1048" s="21"/>
      <c r="F1048" s="21"/>
    </row>
    <row r="1049">
      <c r="A1049" s="4"/>
      <c r="B1049" s="18" t="s">
        <v>270</v>
      </c>
      <c r="C1049" s="21">
        <f>(0.17350623)*(1)*(1)*(1)*(1 + (0))</f>
      </c>
      <c r="D1049" s="21" t="s">
        <v>495</v>
      </c>
      <c r="E1049" s="21"/>
      <c r="F1049" s="21">
        <f>C1049*E1049</f>
      </c>
    </row>
    <row r="1050">
      <c r="A1050" s="4"/>
      <c r="B1050" s="17" t="s">
        <v>969</v>
      </c>
      <c r="C1050" s="21"/>
      <c r="D1050" s="21"/>
      <c r="E1050" s="21"/>
      <c r="F1050" s="21"/>
    </row>
    <row r="1051">
      <c r="A1051" s="4"/>
      <c r="B1051" s="18" t="s">
        <v>270</v>
      </c>
      <c r="C1051" s="21">
        <f>(3.434083152)*(1)*(1)*(1)*(1 + (0))</f>
      </c>
      <c r="D1051" s="21" t="s">
        <v>495</v>
      </c>
      <c r="E1051" s="21"/>
      <c r="F1051" s="21">
        <f>C1051*E1051</f>
      </c>
    </row>
    <row r="1052">
      <c r="A1052" s="4"/>
      <c r="B1052" s="16" t="s">
        <v>970</v>
      </c>
      <c r="C1052" s="21"/>
      <c r="D1052" s="21"/>
      <c r="E1052" s="21"/>
      <c r="F1052" s="21"/>
    </row>
    <row r="1053">
      <c r="A1053" s="4"/>
      <c r="B1053" s="17" t="s">
        <v>971</v>
      </c>
      <c r="C1053" s="21"/>
      <c r="D1053" s="21"/>
      <c r="E1053" s="21"/>
      <c r="F1053" s="21"/>
    </row>
    <row r="1054">
      <c r="A1054" s="4"/>
      <c r="B1054" s="18" t="s">
        <v>318</v>
      </c>
      <c r="C1054" s="21">
        <f>(1.50834454606573)*(1)*(1)*(1)*(1 + (0))</f>
      </c>
      <c r="D1054" s="21" t="s">
        <v>495</v>
      </c>
      <c r="E1054" s="21"/>
      <c r="F1054" s="21">
        <f>C1054*E1054</f>
      </c>
    </row>
    <row r="1055">
      <c r="A1055" s="4"/>
      <c r="B1055" s="17" t="s">
        <v>967</v>
      </c>
      <c r="C1055" s="21"/>
      <c r="D1055" s="21"/>
      <c r="E1055" s="21"/>
      <c r="F1055" s="21"/>
    </row>
    <row r="1056">
      <c r="A1056" s="4"/>
      <c r="B1056" s="18" t="s">
        <v>297</v>
      </c>
      <c r="C1056" s="21">
        <f>(0.145478916266036)*(1)*(1)*(1)*(1 + (0))</f>
      </c>
      <c r="D1056" s="21" t="s">
        <v>495</v>
      </c>
      <c r="E1056" s="21"/>
      <c r="F1056" s="21">
        <f>C1056*E1056</f>
      </c>
    </row>
    <row r="1057">
      <c r="A1057" s="4"/>
      <c r="B1057" s="16" t="s">
        <v>972</v>
      </c>
      <c r="C1057" s="21"/>
      <c r="D1057" s="21"/>
      <c r="E1057" s="21"/>
      <c r="F1057" s="21"/>
    </row>
    <row r="1058">
      <c r="A1058" s="4"/>
      <c r="B1058" s="17" t="s">
        <v>965</v>
      </c>
      <c r="C1058" s="21"/>
      <c r="D1058" s="21"/>
      <c r="E1058" s="21"/>
      <c r="F1058" s="21"/>
    </row>
    <row r="1059">
      <c r="A1059" s="4"/>
      <c r="B1059" s="18" t="s">
        <v>297</v>
      </c>
      <c r="C1059" s="21">
        <f>(5.91052125745306)*(1)*(1)*(1)*(1 + (0))</f>
      </c>
      <c r="D1059" s="21" t="s">
        <v>495</v>
      </c>
      <c r="E1059" s="21"/>
      <c r="F1059" s="21">
        <f>C1059*E1059</f>
      </c>
    </row>
    <row r="1060">
      <c r="A1060" s="4"/>
      <c r="B1060" s="17" t="s">
        <v>973</v>
      </c>
      <c r="C1060" s="21"/>
      <c r="D1060" s="21"/>
      <c r="E1060" s="21"/>
      <c r="F1060" s="21"/>
    </row>
    <row r="1061">
      <c r="A1061" s="4"/>
      <c r="B1061" s="18" t="s">
        <v>318</v>
      </c>
      <c r="C1061" s="21">
        <f>(0.212946136406593)*(1)*(1)*(1)*(1 + (0))</f>
      </c>
      <c r="D1061" s="21" t="s">
        <v>495</v>
      </c>
      <c r="E1061" s="21"/>
      <c r="F1061" s="21">
        <f>C1061*E1061</f>
      </c>
    </row>
    <row r="1062">
      <c r="A1062" s="4"/>
      <c r="B1062" s="16" t="s">
        <v>974</v>
      </c>
      <c r="C1062" s="21"/>
      <c r="D1062" s="21"/>
      <c r="E1062" s="21"/>
      <c r="F1062" s="21"/>
    </row>
    <row r="1063">
      <c r="A1063" s="4"/>
      <c r="B1063" s="17" t="s">
        <v>973</v>
      </c>
      <c r="C1063" s="21"/>
      <c r="D1063" s="21"/>
      <c r="E1063" s="21"/>
      <c r="F1063" s="21"/>
    </row>
    <row r="1064">
      <c r="A1064" s="4"/>
      <c r="B1064" s="18" t="s">
        <v>318</v>
      </c>
      <c r="C1064" s="21">
        <f>(0.366154869849481)*(1)*(1)*(1)*(1 + (0))</f>
      </c>
      <c r="D1064" s="21" t="s">
        <v>495</v>
      </c>
      <c r="E1064" s="21"/>
      <c r="F1064" s="21">
        <f>C1064*E1064</f>
      </c>
    </row>
    <row r="1065">
      <c r="A1065" s="4"/>
      <c r="B1065" s="16" t="s">
        <v>975</v>
      </c>
      <c r="C1065" s="21"/>
      <c r="D1065" s="21"/>
      <c r="E1065" s="21"/>
      <c r="F1065" s="21"/>
    </row>
    <row r="1066">
      <c r="A1066" s="4"/>
      <c r="B1066" s="17" t="s">
        <v>973</v>
      </c>
      <c r="C1066" s="21"/>
      <c r="D1066" s="21"/>
      <c r="E1066" s="21"/>
      <c r="F1066" s="21"/>
    </row>
    <row r="1067">
      <c r="A1067" s="4"/>
      <c r="B1067" s="18" t="s">
        <v>318</v>
      </c>
      <c r="C1067" s="21">
        <f>(0.610335359722253)*(1)*(1)*(1)*(1 + (0))</f>
      </c>
      <c r="D1067" s="21" t="s">
        <v>495</v>
      </c>
      <c r="E1067" s="21"/>
      <c r="F1067" s="21">
        <f>C1067*E1067</f>
      </c>
    </row>
    <row r="1068">
      <c r="A1068" s="6"/>
      <c r="B1068" s="15" t="s">
        <v>976</v>
      </c>
      <c r="C1068" s="23"/>
      <c r="D1068" s="23"/>
      <c r="E1068" s="23"/>
      <c r="F1068" s="23"/>
    </row>
    <row r="1069">
      <c r="A1069" s="4"/>
      <c r="B1069" s="16" t="s">
        <v>977</v>
      </c>
      <c r="C1069" s="21"/>
      <c r="D1069" s="21"/>
      <c r="E1069" s="21"/>
      <c r="F1069" s="21"/>
    </row>
    <row r="1070">
      <c r="A1070" s="4"/>
      <c r="B1070" s="17" t="s">
        <v>978</v>
      </c>
      <c r="C1070" s="21"/>
      <c r="D1070" s="21"/>
      <c r="E1070" s="21"/>
      <c r="F1070" s="21"/>
    </row>
    <row r="1071">
      <c r="A1071" s="4"/>
      <c r="B1071" s="18" t="s">
        <v>297</v>
      </c>
      <c r="C1071" s="21">
        <f>(0.249891523736217)*(1)*(1)*(1)*(1 + (0))</f>
      </c>
      <c r="D1071" s="21" t="s">
        <v>495</v>
      </c>
      <c r="E1071" s="21"/>
      <c r="F1071" s="21">
        <f>C1071*E1071</f>
      </c>
    </row>
    <row r="1072">
      <c r="A1072" s="4"/>
      <c r="B1072" s="17" t="s">
        <v>967</v>
      </c>
      <c r="C1072" s="21"/>
      <c r="D1072" s="21"/>
      <c r="E1072" s="21"/>
      <c r="F1072" s="21"/>
    </row>
    <row r="1073">
      <c r="A1073" s="4"/>
      <c r="B1073" s="18" t="s">
        <v>270</v>
      </c>
      <c r="C1073" s="21">
        <f>(0.0970380524691283)*(1)*(1)*(1)*(1 + (0))</f>
      </c>
      <c r="D1073" s="21" t="s">
        <v>495</v>
      </c>
      <c r="E1073" s="21"/>
      <c r="F1073" s="21">
        <f>C1073*E1073</f>
      </c>
    </row>
    <row r="1074">
      <c r="A1074" s="4"/>
      <c r="B1074" s="18" t="s">
        <v>297</v>
      </c>
      <c r="C1074" s="21">
        <f>(0.10628525131055)*(1)*(1)*(1)*(1 + (0))</f>
      </c>
      <c r="D1074" s="21" t="s">
        <v>495</v>
      </c>
      <c r="E1074" s="21"/>
      <c r="F1074" s="21">
        <f>C1074*E1074</f>
      </c>
    </row>
    <row r="1075">
      <c r="A1075" s="4"/>
      <c r="B1075" s="17" t="s">
        <v>979</v>
      </c>
      <c r="C1075" s="21"/>
      <c r="D1075" s="21"/>
      <c r="E1075" s="21"/>
      <c r="F1075" s="21"/>
    </row>
    <row r="1076">
      <c r="A1076" s="4"/>
      <c r="B1076" s="18" t="s">
        <v>270</v>
      </c>
      <c r="C1076" s="21">
        <f>(0.116709576)*(1)*(1)*(1)*(1 + (0))</f>
      </c>
      <c r="D1076" s="21" t="s">
        <v>495</v>
      </c>
      <c r="E1076" s="21"/>
      <c r="F1076" s="21">
        <f>C1076*E1076</f>
      </c>
    </row>
    <row r="1077">
      <c r="A1077" s="4"/>
      <c r="B1077" s="16" t="s">
        <v>980</v>
      </c>
      <c r="C1077" s="21"/>
      <c r="D1077" s="21"/>
      <c r="E1077" s="21"/>
      <c r="F1077" s="21"/>
    </row>
    <row r="1078">
      <c r="A1078" s="4"/>
      <c r="B1078" s="17" t="s">
        <v>971</v>
      </c>
      <c r="C1078" s="21"/>
      <c r="D1078" s="21"/>
      <c r="E1078" s="21"/>
      <c r="F1078" s="21"/>
    </row>
    <row r="1079">
      <c r="A1079" s="4"/>
      <c r="B1079" s="18" t="s">
        <v>318</v>
      </c>
      <c r="C1079" s="21">
        <f>(0.488943682466166)*(1)*(1)*(1)*(1 + (0))</f>
      </c>
      <c r="D1079" s="21" t="s">
        <v>495</v>
      </c>
      <c r="E1079" s="21"/>
      <c r="F1079" s="21">
        <f>C1079*E1079</f>
      </c>
    </row>
    <row r="1080">
      <c r="A1080" s="4"/>
      <c r="B1080" s="17" t="s">
        <v>967</v>
      </c>
      <c r="C1080" s="21"/>
      <c r="D1080" s="21"/>
      <c r="E1080" s="21"/>
      <c r="F1080" s="21"/>
    </row>
    <row r="1081">
      <c r="A1081" s="4"/>
      <c r="B1081" s="18" t="s">
        <v>297</v>
      </c>
      <c r="C1081" s="21">
        <f>(0.0957842229769761)*(1)*(1)*(1)*(1 + (0))</f>
      </c>
      <c r="D1081" s="21" t="s">
        <v>495</v>
      </c>
      <c r="E1081" s="21"/>
      <c r="F1081" s="21">
        <f>C1081*E1081</f>
      </c>
    </row>
    <row r="1082">
      <c r="A1082" s="4"/>
      <c r="B1082" s="17" t="s">
        <v>981</v>
      </c>
      <c r="C1082" s="21"/>
      <c r="D1082" s="21"/>
      <c r="E1082" s="21"/>
      <c r="F1082" s="21"/>
    </row>
    <row r="1083">
      <c r="A1083" s="4"/>
      <c r="B1083" s="18" t="s">
        <v>297</v>
      </c>
      <c r="C1083" s="21">
        <f>(0.093598064)*(1)*(1)*(1)*(1 + (0))</f>
      </c>
      <c r="D1083" s="21" t="s">
        <v>495</v>
      </c>
      <c r="E1083" s="21"/>
      <c r="F1083" s="21">
        <f>C1083*E1083</f>
      </c>
    </row>
    <row r="1084">
      <c r="A1084" s="4"/>
      <c r="B1084" s="18" t="s">
        <v>318</v>
      </c>
      <c r="C1084" s="21">
        <f>(0.327081936)*(1)*(1)*(1)*(1 + (0))</f>
      </c>
      <c r="D1084" s="21" t="s">
        <v>495</v>
      </c>
      <c r="E1084" s="21"/>
      <c r="F1084" s="21">
        <f>C1084*E1084</f>
      </c>
    </row>
    <row r="1085">
      <c r="A1085" s="4"/>
      <c r="B1085" s="16" t="s">
        <v>982</v>
      </c>
      <c r="C1085" s="21"/>
      <c r="D1085" s="21"/>
      <c r="E1085" s="21"/>
      <c r="F1085" s="21"/>
    </row>
    <row r="1086">
      <c r="A1086" s="4"/>
      <c r="B1086" s="17" t="s">
        <v>981</v>
      </c>
      <c r="C1086" s="21"/>
      <c r="D1086" s="21"/>
      <c r="E1086" s="21"/>
      <c r="F1086" s="21"/>
    </row>
    <row r="1087">
      <c r="A1087" s="4"/>
      <c r="B1087" s="18" t="s">
        <v>297</v>
      </c>
      <c r="C1087" s="21">
        <f>(0.222924804)*(1)*(1)*(1)*(1 + (0))</f>
      </c>
      <c r="D1087" s="21" t="s">
        <v>495</v>
      </c>
      <c r="E1087" s="21"/>
      <c r="F1087" s="21">
        <f>C1087*E1087</f>
      </c>
    </row>
    <row r="1088">
      <c r="A1088" s="4"/>
      <c r="B1088" s="17" t="s">
        <v>965</v>
      </c>
      <c r="C1088" s="21"/>
      <c r="D1088" s="21"/>
      <c r="E1088" s="21"/>
      <c r="F1088" s="21"/>
    </row>
    <row r="1089">
      <c r="A1089" s="4"/>
      <c r="B1089" s="18" t="s">
        <v>297</v>
      </c>
      <c r="C1089" s="21">
        <f>(1.63757193486683)*(1)*(1)*(1)*(1 + (0))</f>
      </c>
      <c r="D1089" s="21" t="s">
        <v>495</v>
      </c>
      <c r="E1089" s="21"/>
      <c r="F1089" s="21">
        <f>C1089*E1089</f>
      </c>
    </row>
    <row r="1090">
      <c r="A1090" s="4"/>
      <c r="B1090" s="16" t="s">
        <v>983</v>
      </c>
      <c r="C1090" s="21"/>
      <c r="D1090" s="21"/>
      <c r="E1090" s="21"/>
      <c r="F1090" s="21"/>
    </row>
    <row r="1091">
      <c r="A1091" s="4"/>
      <c r="B1091" s="17" t="s">
        <v>973</v>
      </c>
      <c r="C1091" s="21"/>
      <c r="D1091" s="21"/>
      <c r="E1091" s="21"/>
      <c r="F1091" s="21"/>
    </row>
    <row r="1092">
      <c r="A1092" s="4"/>
      <c r="B1092" s="18" t="s">
        <v>318</v>
      </c>
      <c r="C1092" s="21">
        <f>(0.205774850197525)*(1)*(1)*(1)*(1 + (0))</f>
      </c>
      <c r="D1092" s="21" t="s">
        <v>495</v>
      </c>
      <c r="E1092" s="21"/>
      <c r="F1092" s="21">
        <f>C1092*E1092</f>
      </c>
    </row>
    <row r="1093">
      <c r="A1093" s="4"/>
      <c r="B1093" s="16" t="s">
        <v>984</v>
      </c>
      <c r="C1093" s="21"/>
      <c r="D1093" s="21"/>
      <c r="E1093" s="21"/>
      <c r="F1093" s="21"/>
    </row>
    <row r="1094">
      <c r="A1094" s="4"/>
      <c r="B1094" s="17" t="s">
        <v>973</v>
      </c>
      <c r="C1094" s="21"/>
      <c r="D1094" s="21"/>
      <c r="E1094" s="21"/>
      <c r="F1094" s="21"/>
    </row>
    <row r="1095">
      <c r="A1095" s="4"/>
      <c r="B1095" s="18" t="s">
        <v>318</v>
      </c>
      <c r="C1095" s="21">
        <f>(0.177835029174791)*(1)*(1)*(1)*(1 + (0))</f>
      </c>
      <c r="D1095" s="21" t="s">
        <v>495</v>
      </c>
      <c r="E1095" s="21"/>
      <c r="F1095" s="21">
        <f>C1095*E1095</f>
      </c>
    </row>
    <row r="1096">
      <c r="A1096" s="4"/>
      <c r="B1096" s="16" t="s">
        <v>985</v>
      </c>
      <c r="C1096" s="21"/>
      <c r="D1096" s="21"/>
      <c r="E1096" s="21"/>
      <c r="F1096" s="21"/>
    </row>
    <row r="1097">
      <c r="A1097" s="4"/>
      <c r="B1097" s="17" t="s">
        <v>973</v>
      </c>
      <c r="C1097" s="21"/>
      <c r="D1097" s="21"/>
      <c r="E1097" s="21"/>
      <c r="F1097" s="21"/>
    </row>
    <row r="1098">
      <c r="A1098" s="4"/>
      <c r="B1098" s="18" t="s">
        <v>318</v>
      </c>
      <c r="C1098" s="21">
        <f>(0.101640056213167)*(1)*(1)*(1)*(1 + (0))</f>
      </c>
      <c r="D1098" s="21" t="s">
        <v>495</v>
      </c>
      <c r="E1098" s="21"/>
      <c r="F1098" s="21">
        <f>C1098*E1098</f>
      </c>
    </row>
    <row r="1099">
      <c r="A1099" s="6"/>
      <c r="B1099" s="15" t="s">
        <v>986</v>
      </c>
      <c r="C1099" s="23"/>
      <c r="D1099" s="23"/>
      <c r="E1099" s="23"/>
      <c r="F1099" s="23"/>
    </row>
    <row r="1100">
      <c r="A1100" s="4"/>
      <c r="B1100" s="16" t="s">
        <v>987</v>
      </c>
      <c r="C1100" s="21"/>
      <c r="D1100" s="21"/>
      <c r="E1100" s="21"/>
      <c r="F1100" s="21"/>
    </row>
    <row r="1101">
      <c r="A1101" s="4"/>
      <c r="B1101" s="17" t="s">
        <v>297</v>
      </c>
      <c r="C1101" s="21">
        <f>(0.1064288)*(1)*(1)*(1)*(1 + (0))</f>
      </c>
      <c r="D1101" s="21" t="s">
        <v>495</v>
      </c>
      <c r="E1101" s="21"/>
      <c r="F1101" s="21">
        <f>C1101*E1101</f>
      </c>
    </row>
    <row r="1102">
      <c r="A1102" s="4"/>
      <c r="B1102" s="17" t="s">
        <v>318</v>
      </c>
      <c r="C1102" s="21">
        <f>(0.00768512)*(1)*(1)*(1)*(1 + (0))</f>
      </c>
      <c r="D1102" s="21" t="s">
        <v>495</v>
      </c>
      <c r="E1102" s="21"/>
      <c r="F1102" s="21">
        <f>C1102*E1102</f>
      </c>
    </row>
    <row r="1103">
      <c r="A1103" s="4"/>
      <c r="B1103" s="16" t="s">
        <v>988</v>
      </c>
      <c r="C1103" s="21"/>
      <c r="D1103" s="21"/>
      <c r="E1103" s="21"/>
      <c r="F1103" s="21"/>
    </row>
    <row r="1104">
      <c r="A1104" s="4"/>
      <c r="B1104" s="17" t="s">
        <v>297</v>
      </c>
      <c r="C1104" s="21">
        <f>(0.13861544)*(1)*(1)*(1)*(1 + (0))</f>
      </c>
      <c r="D1104" s="21" t="s">
        <v>495</v>
      </c>
      <c r="E1104" s="21"/>
      <c r="F1104" s="21">
        <f>C1104*E1104</f>
      </c>
    </row>
    <row r="1105">
      <c r="A1105" s="4"/>
      <c r="B1105" s="17" t="s">
        <v>318</v>
      </c>
      <c r="C1105" s="21">
        <f>(0.10526592)*(1)*(1)*(1)*(1 + (0))</f>
      </c>
      <c r="D1105" s="21" t="s">
        <v>495</v>
      </c>
      <c r="E1105" s="21"/>
      <c r="F1105" s="21">
        <f>C1105*E1105</f>
      </c>
    </row>
    <row r="1106">
      <c r="A1106" s="5"/>
      <c r="B1106" s="13" t="s">
        <v>989</v>
      </c>
      <c r="C1106" s="22"/>
      <c r="D1106" s="22"/>
      <c r="E1106" s="22"/>
      <c r="F1106" s="22"/>
    </row>
    <row r="1107">
      <c r="A1107" s="4"/>
      <c r="B1107" s="14" t="s">
        <v>990</v>
      </c>
      <c r="C1107" s="21">
        <f>(9)*(1)*(1)*(1)*(1 + (0))</f>
      </c>
      <c r="D1107" s="21" t="s">
        <v>167</v>
      </c>
      <c r="E1107" s="21"/>
      <c r="F1107" s="21">
        <f>C1107*E1107</f>
      </c>
    </row>
    <row r="1108">
      <c r="A1108" s="4"/>
      <c r="B1108" s="14" t="s">
        <v>991</v>
      </c>
      <c r="C1108" s="21">
        <f>(49)*(1)*(1)*(1)*(1 + (0))</f>
      </c>
      <c r="D1108" s="21" t="s">
        <v>167</v>
      </c>
      <c r="E1108" s="21"/>
      <c r="F1108" s="21">
        <f>C1108*E1108</f>
      </c>
    </row>
    <row r="1109">
      <c r="A1109" s="4"/>
      <c r="B1109" s="14" t="s">
        <v>992</v>
      </c>
      <c r="C1109" s="21">
        <f>(49)*(1)*(1)*(1)*(1 + (0))</f>
      </c>
      <c r="D1109" s="21" t="s">
        <v>167</v>
      </c>
      <c r="E1109" s="21"/>
      <c r="F1109" s="21">
        <f>C1109*E1109</f>
      </c>
    </row>
    <row r="1110">
      <c r="A1110" s="4"/>
      <c r="B1110" s="14" t="s">
        <v>993</v>
      </c>
      <c r="C1110" s="21">
        <f>(395)*(1)*(1)*(1)*(1 + (0))</f>
      </c>
      <c r="D1110" s="21" t="s">
        <v>9</v>
      </c>
      <c r="E1110" s="21"/>
      <c r="F1110" s="21">
        <f>C1110*E1110</f>
      </c>
    </row>
    <row r="1111">
      <c r="A1111" s="4"/>
      <c r="B1111" s="14" t="s">
        <v>994</v>
      </c>
      <c r="C1111" s="21">
        <f>(266)*(1)*(1)*(1)*(1 + (0))</f>
      </c>
      <c r="D1111" s="21" t="s">
        <v>167</v>
      </c>
      <c r="E1111" s="21"/>
      <c r="F1111" s="21">
        <f>C1111*E1111</f>
      </c>
    </row>
    <row r="1112">
      <c r="A1112" s="3"/>
      <c r="B1112" s="11" t="s">
        <v>995</v>
      </c>
      <c r="C1112" s="20"/>
      <c r="D1112" s="20"/>
      <c r="E1112" s="20"/>
      <c r="F1112" s="20"/>
    </row>
    <row r="1113">
      <c r="A1113" s="5"/>
      <c r="B1113" s="13" t="s">
        <v>996</v>
      </c>
      <c r="C1113" s="22"/>
      <c r="D1113" s="22"/>
      <c r="E1113" s="22"/>
      <c r="F1113" s="22"/>
    </row>
    <row r="1114">
      <c r="A1114" s="4"/>
      <c r="B1114" s="14" t="s">
        <v>997</v>
      </c>
      <c r="C1114" s="21">
        <f>(66)*(1)*(1)*(1)*(1 + (0))</f>
      </c>
      <c r="D1114" s="21" t="s">
        <v>9</v>
      </c>
      <c r="E1114" s="21"/>
      <c r="F1114" s="21">
        <f>C1114*E1114</f>
      </c>
    </row>
    <row r="1115">
      <c r="A1115" s="5"/>
      <c r="B1115" s="13" t="s">
        <v>998</v>
      </c>
      <c r="C1115" s="22"/>
      <c r="D1115" s="22"/>
      <c r="E1115" s="22"/>
      <c r="F1115" s="22"/>
    </row>
    <row r="1116">
      <c r="A1116" s="4"/>
      <c r="B1116" s="14" t="s">
        <v>999</v>
      </c>
      <c r="C1116" s="21">
        <f>(209)*(1)*(1)*(1)*(1 + (0))</f>
      </c>
      <c r="D1116" s="21" t="s">
        <v>9</v>
      </c>
      <c r="E1116" s="21"/>
      <c r="F1116" s="21">
        <f>C1116*E1116</f>
      </c>
    </row>
    <row r="1117">
      <c r="A1117" s="2"/>
      <c r="B1117" s="10" t="s">
        <v>1000</v>
      </c>
      <c r="C1117" s="19"/>
      <c r="D1117" s="19"/>
      <c r="E1117" s="19"/>
      <c r="F1117" s="19"/>
    </row>
    <row r="1118">
      <c r="A1118" s="3"/>
      <c r="B1118" s="11" t="s">
        <v>14</v>
      </c>
      <c r="C1118" s="20"/>
      <c r="D1118" s="20"/>
      <c r="E1118" s="20"/>
      <c r="F1118" s="20"/>
    </row>
    <row r="1119">
      <c r="A1119" s="4" t="s">
        <v>1001</v>
      </c>
      <c r="B1119" s="12" t="s">
        <v>16</v>
      </c>
      <c r="C1119" s="21"/>
      <c r="D1119" s="21" t="s">
        <v>17</v>
      </c>
      <c r="E1119" s="21"/>
      <c r="F1119" s="21">
        <f>C1119*E1119</f>
      </c>
    </row>
    <row r="1120">
      <c r="A1120" s="4" t="s">
        <v>1002</v>
      </c>
      <c r="B1120" s="12" t="s">
        <v>19</v>
      </c>
      <c r="C1120" s="21"/>
      <c r="D1120" s="21" t="s">
        <v>17</v>
      </c>
      <c r="E1120" s="21"/>
      <c r="F1120" s="21">
        <f>C1120*E1120</f>
      </c>
    </row>
    <row r="1121">
      <c r="A1121" s="3"/>
      <c r="B1121" s="11" t="s">
        <v>22</v>
      </c>
      <c r="C1121" s="20"/>
      <c r="D1121" s="20"/>
      <c r="E1121" s="20"/>
      <c r="F1121" s="20"/>
    </row>
    <row r="1122">
      <c r="A1122" s="4"/>
      <c r="B1122" s="12" t="s">
        <v>1003</v>
      </c>
      <c r="C1122" s="21"/>
      <c r="D1122" s="21" t="s">
        <v>17</v>
      </c>
      <c r="E1122" s="21"/>
      <c r="F1122" s="21">
        <f>C1122*E1122</f>
      </c>
    </row>
    <row r="1123">
      <c r="A1123" s="4"/>
      <c r="B1123" s="12" t="s">
        <v>803</v>
      </c>
      <c r="C1123" s="21"/>
      <c r="D1123" s="21" t="s">
        <v>17</v>
      </c>
      <c r="E1123" s="21"/>
      <c r="F1123" s="21">
        <f>C1123*E1123</f>
      </c>
    </row>
    <row r="1124">
      <c r="A1124" s="4"/>
      <c r="B1124" s="12" t="s">
        <v>1004</v>
      </c>
      <c r="C1124" s="21"/>
      <c r="D1124" s="21" t="s">
        <v>17</v>
      </c>
      <c r="E1124" s="21"/>
      <c r="F1124" s="21">
        <f>C1124*E1124</f>
      </c>
    </row>
    <row r="1125">
      <c r="A1125" s="4"/>
      <c r="B1125" s="12" t="s">
        <v>1005</v>
      </c>
      <c r="C1125" s="21"/>
      <c r="D1125" s="21" t="s">
        <v>17</v>
      </c>
      <c r="E1125" s="21"/>
      <c r="F1125" s="21">
        <f>C1125*E1125</f>
      </c>
    </row>
    <row r="1126">
      <c r="A1126" s="3"/>
      <c r="B1126" s="11" t="s">
        <v>24</v>
      </c>
      <c r="C1126" s="20"/>
      <c r="D1126" s="20"/>
      <c r="E1126" s="20"/>
      <c r="F1126" s="20"/>
    </row>
    <row r="1127">
      <c r="A1127" s="5"/>
      <c r="B1127" s="13" t="s">
        <v>25</v>
      </c>
      <c r="C1127" s="22"/>
      <c r="D1127" s="22"/>
      <c r="E1127" s="22"/>
      <c r="F1127" s="22"/>
    </row>
    <row r="1128">
      <c r="A1128" s="4" t="s">
        <v>1006</v>
      </c>
      <c r="B1128" s="14" t="s">
        <v>617</v>
      </c>
      <c r="C1128" s="21"/>
      <c r="D1128" s="21" t="s">
        <v>17</v>
      </c>
      <c r="E1128" s="21"/>
      <c r="F1128" s="21">
        <f>C1128*E1128</f>
      </c>
    </row>
    <row r="1129">
      <c r="A1129" s="4" t="s">
        <v>1007</v>
      </c>
      <c r="B1129" s="14" t="s">
        <v>619</v>
      </c>
      <c r="C1129" s="21"/>
      <c r="D1129" s="21" t="s">
        <v>17</v>
      </c>
      <c r="E1129" s="21"/>
      <c r="F1129" s="21">
        <f>C1129*E1129</f>
      </c>
    </row>
    <row r="1130">
      <c r="A1130" s="4" t="s">
        <v>1008</v>
      </c>
      <c r="B1130" s="14" t="s">
        <v>1009</v>
      </c>
      <c r="C1130" s="21"/>
      <c r="D1130" s="21" t="s">
        <v>17</v>
      </c>
      <c r="E1130" s="21"/>
      <c r="F1130" s="21">
        <f>C1130*E1130</f>
      </c>
    </row>
    <row r="1131">
      <c r="A1131" s="4" t="s">
        <v>1010</v>
      </c>
      <c r="B1131" s="14" t="s">
        <v>1011</v>
      </c>
      <c r="C1131" s="21"/>
      <c r="D1131" s="21" t="s">
        <v>17</v>
      </c>
      <c r="E1131" s="21"/>
      <c r="F1131" s="21">
        <f>C1131*E1131</f>
      </c>
    </row>
    <row r="1132">
      <c r="A1132" s="4" t="s">
        <v>1012</v>
      </c>
      <c r="B1132" s="14" t="s">
        <v>627</v>
      </c>
      <c r="C1132" s="21"/>
      <c r="D1132" s="21" t="s">
        <v>17</v>
      </c>
      <c r="E1132" s="21"/>
      <c r="F1132" s="21">
        <f>C1132*E1132</f>
      </c>
    </row>
    <row r="1133">
      <c r="A1133" s="4" t="s">
        <v>1013</v>
      </c>
      <c r="B1133" s="14" t="s">
        <v>194</v>
      </c>
      <c r="C1133" s="21"/>
      <c r="D1133" s="21" t="s">
        <v>17</v>
      </c>
      <c r="E1133" s="21"/>
      <c r="F1133" s="21">
        <f>C1133*E1133</f>
      </c>
    </row>
    <row r="1134">
      <c r="A1134" s="3"/>
      <c r="B1134" s="11" t="s">
        <v>42</v>
      </c>
      <c r="C1134" s="20"/>
      <c r="D1134" s="20"/>
      <c r="E1134" s="20"/>
      <c r="F1134" s="20"/>
    </row>
    <row r="1135">
      <c r="A1135" s="4" t="s">
        <v>1014</v>
      </c>
      <c r="B1135" s="12" t="s">
        <v>632</v>
      </c>
      <c r="C1135" s="21">
        <f>(1)*(1)*(1)*(1)*(1 + (0))</f>
      </c>
      <c r="D1135" s="21" t="s">
        <v>45</v>
      </c>
      <c r="E1135" s="21"/>
      <c r="F1135" s="21">
        <f>C1135*E1135</f>
      </c>
    </row>
    <row r="1136">
      <c r="A1136" s="4" t="s">
        <v>1015</v>
      </c>
      <c r="B1136" s="12" t="s">
        <v>207</v>
      </c>
      <c r="C1136" s="21">
        <f>(1)*(1)*(1)*(1)*(1 + (0))</f>
      </c>
      <c r="D1136" s="21" t="s">
        <v>45</v>
      </c>
      <c r="E1136" s="21"/>
      <c r="F1136" s="21">
        <f>C1136*E1136</f>
      </c>
    </row>
    <row r="1137">
      <c r="A1137" s="4" t="s">
        <v>1016</v>
      </c>
      <c r="B1137" s="12" t="s">
        <v>1017</v>
      </c>
      <c r="C1137" s="21">
        <f>(1)*(1)*(1)*(1)*(1 + (0))</f>
      </c>
      <c r="D1137" s="21" t="s">
        <v>45</v>
      </c>
      <c r="E1137" s="21"/>
      <c r="F1137" s="21">
        <f>C1137*E1137</f>
      </c>
    </row>
    <row r="1138">
      <c r="A1138" s="4" t="s">
        <v>1018</v>
      </c>
      <c r="B1138" s="12" t="s">
        <v>1019</v>
      </c>
      <c r="C1138" s="21">
        <f>(1)*(1)*(1)*(1)*(1 + (0))</f>
      </c>
      <c r="D1138" s="21" t="s">
        <v>45</v>
      </c>
      <c r="E1138" s="21"/>
      <c r="F1138" s="21">
        <f>C1138*E1138</f>
      </c>
    </row>
    <row r="1139">
      <c r="A1139" s="4" t="s">
        <v>1020</v>
      </c>
      <c r="B1139" s="12" t="s">
        <v>59</v>
      </c>
      <c r="C1139" s="21">
        <f>(1)*(1)*(1)*(1)*(1 + (0))</f>
      </c>
      <c r="D1139" s="21" t="s">
        <v>45</v>
      </c>
      <c r="E1139" s="21"/>
      <c r="F1139" s="21">
        <f>C1139*E1139</f>
      </c>
    </row>
    <row r="1140">
      <c r="A1140" s="4" t="s">
        <v>1021</v>
      </c>
      <c r="B1140" s="12" t="s">
        <v>832</v>
      </c>
      <c r="C1140" s="21">
        <f>(1)*(1)*(1)*(1)*(1 + (0))</f>
      </c>
      <c r="D1140" s="21" t="s">
        <v>45</v>
      </c>
      <c r="E1140" s="21"/>
      <c r="F1140" s="21">
        <f>C1140*E1140</f>
      </c>
    </row>
    <row r="1141">
      <c r="A1141" s="3"/>
      <c r="B1141" s="11" t="s">
        <v>1022</v>
      </c>
      <c r="C1141" s="20"/>
      <c r="D1141" s="20"/>
      <c r="E1141" s="20"/>
      <c r="F1141" s="20"/>
    </row>
    <row r="1142">
      <c r="A1142" s="5"/>
      <c r="B1142" s="13" t="s">
        <v>1023</v>
      </c>
      <c r="C1142" s="22"/>
      <c r="D1142" s="22"/>
      <c r="E1142" s="22"/>
      <c r="F1142" s="22"/>
    </row>
    <row r="1143">
      <c r="A1143" s="4"/>
      <c r="B1143" s="14" t="s">
        <v>1024</v>
      </c>
      <c r="C1143" s="21">
        <f>(25)*(1)*(1)*(1)*(1 + (0))</f>
      </c>
      <c r="D1143" s="21" t="s">
        <v>167</v>
      </c>
      <c r="E1143" s="21"/>
      <c r="F1143" s="21">
        <f>C1143*E1143</f>
      </c>
    </row>
    <row r="1144">
      <c r="A1144" s="5"/>
      <c r="B1144" s="13" t="s">
        <v>1025</v>
      </c>
      <c r="C1144" s="22"/>
      <c r="D1144" s="22"/>
      <c r="E1144" s="22"/>
      <c r="F1144" s="22"/>
    </row>
    <row r="1145">
      <c r="A1145" s="4"/>
      <c r="B1145" s="14" t="s">
        <v>1024</v>
      </c>
      <c r="C1145" s="21">
        <f>(127)*(1)*(1)*(1)*(1 + (0))</f>
      </c>
      <c r="D1145" s="21" t="s">
        <v>167</v>
      </c>
      <c r="E1145" s="21"/>
      <c r="F1145" s="21">
        <f>C1145*E1145</f>
      </c>
    </row>
    <row r="1146">
      <c r="A1146" s="5"/>
      <c r="B1146" s="13" t="s">
        <v>1026</v>
      </c>
      <c r="C1146" s="22"/>
      <c r="D1146" s="22"/>
      <c r="E1146" s="22"/>
      <c r="F1146" s="22"/>
    </row>
    <row r="1147">
      <c r="A1147" s="4"/>
      <c r="B1147" s="14" t="s">
        <v>1024</v>
      </c>
      <c r="C1147" s="21">
        <f>(64)*(1)*(1)*(1)*(1 + (0))</f>
      </c>
      <c r="D1147" s="21" t="s">
        <v>167</v>
      </c>
      <c r="E1147" s="21"/>
      <c r="F1147" s="21">
        <f>C1147*E1147</f>
      </c>
    </row>
    <row r="1148">
      <c r="A1148" s="5"/>
      <c r="B1148" s="13" t="s">
        <v>1027</v>
      </c>
      <c r="C1148" s="22"/>
      <c r="D1148" s="22"/>
      <c r="E1148" s="22"/>
      <c r="F1148" s="22"/>
    </row>
    <row r="1149">
      <c r="A1149" s="4"/>
      <c r="B1149" s="14" t="s">
        <v>1024</v>
      </c>
      <c r="C1149" s="21">
        <f>(43)*(1)*(1)*(1)*(1 + (0))</f>
      </c>
      <c r="D1149" s="21" t="s">
        <v>167</v>
      </c>
      <c r="E1149" s="21"/>
      <c r="F1149" s="21">
        <f>C1149*E1149</f>
      </c>
    </row>
    <row r="1150">
      <c r="A1150" s="5"/>
      <c r="B1150" s="13" t="s">
        <v>1028</v>
      </c>
      <c r="C1150" s="22"/>
      <c r="D1150" s="22"/>
      <c r="E1150" s="22"/>
      <c r="F1150" s="22"/>
    </row>
    <row r="1151">
      <c r="A1151" s="4"/>
      <c r="B1151" s="14" t="s">
        <v>1029</v>
      </c>
      <c r="C1151" s="21">
        <f>(7)*(1)*(1)*(1)*(1 + (0))</f>
      </c>
      <c r="D1151" s="21" t="s">
        <v>167</v>
      </c>
      <c r="E1151" s="21"/>
      <c r="F1151" s="21">
        <f>C1151*E1151</f>
      </c>
    </row>
    <row r="1152">
      <c r="A1152" s="5"/>
      <c r="B1152" s="13" t="s">
        <v>1030</v>
      </c>
      <c r="C1152" s="22"/>
      <c r="D1152" s="22"/>
      <c r="E1152" s="22"/>
      <c r="F1152" s="22"/>
    </row>
    <row r="1153">
      <c r="A1153" s="4"/>
      <c r="B1153" s="14" t="s">
        <v>1024</v>
      </c>
      <c r="C1153" s="21">
        <f>(9)*(1)*(1)*(1)*(1 + (0))</f>
      </c>
      <c r="D1153" s="21" t="s">
        <v>167</v>
      </c>
      <c r="E1153" s="21"/>
      <c r="F1153" s="21">
        <f>C1153*E1153</f>
      </c>
    </row>
    <row r="1154">
      <c r="A1154" s="5"/>
      <c r="B1154" s="13" t="s">
        <v>1031</v>
      </c>
      <c r="C1154" s="22"/>
      <c r="D1154" s="22"/>
      <c r="E1154" s="22"/>
      <c r="F1154" s="22"/>
    </row>
    <row r="1155">
      <c r="A1155" s="4"/>
      <c r="B1155" s="14" t="s">
        <v>1024</v>
      </c>
      <c r="C1155" s="21">
        <f>(14)*(1)*(1)*(1)*(1 + (0))</f>
      </c>
      <c r="D1155" s="21" t="s">
        <v>167</v>
      </c>
      <c r="E1155" s="21"/>
      <c r="F1155" s="21">
        <f>C1155*E1155</f>
      </c>
    </row>
    <row r="1156">
      <c r="A1156" s="5"/>
      <c r="B1156" s="13" t="s">
        <v>1032</v>
      </c>
      <c r="C1156" s="22"/>
      <c r="D1156" s="22"/>
      <c r="E1156" s="22"/>
      <c r="F1156" s="22"/>
    </row>
    <row r="1157">
      <c r="A1157" s="4"/>
      <c r="B1157" s="14" t="s">
        <v>1024</v>
      </c>
      <c r="C1157" s="21">
        <f>(18)*(1)*(1)*(1)*(1 + (0))</f>
      </c>
      <c r="D1157" s="21" t="s">
        <v>167</v>
      </c>
      <c r="E1157" s="21"/>
      <c r="F1157" s="21">
        <f>C1157*E1157</f>
      </c>
    </row>
    <row r="1158">
      <c r="A1158" s="3"/>
      <c r="B1158" s="11" t="s">
        <v>1033</v>
      </c>
      <c r="C1158" s="20"/>
      <c r="D1158" s="20"/>
      <c r="E1158" s="20"/>
      <c r="F1158" s="20"/>
    </row>
    <row r="1159">
      <c r="A1159" s="5"/>
      <c r="B1159" s="13" t="s">
        <v>1034</v>
      </c>
      <c r="C1159" s="22"/>
      <c r="D1159" s="22"/>
      <c r="E1159" s="22"/>
      <c r="F1159" s="22"/>
    </row>
    <row r="1160">
      <c r="A1160" s="4"/>
      <c r="B1160" s="14" t="s">
        <v>1024</v>
      </c>
      <c r="C1160" s="21">
        <f>(2)*(1)*(1)*(1)*(1 + (0))</f>
      </c>
      <c r="D1160" s="21" t="s">
        <v>1035</v>
      </c>
      <c r="E1160" s="21"/>
      <c r="F1160" s="21">
        <f>C1160*E1160</f>
      </c>
    </row>
    <row r="1161">
      <c r="A1161" s="5"/>
      <c r="B1161" s="13" t="s">
        <v>1036</v>
      </c>
      <c r="C1161" s="22"/>
      <c r="D1161" s="22"/>
      <c r="E1161" s="22"/>
      <c r="F1161" s="22"/>
    </row>
    <row r="1162">
      <c r="A1162" s="4"/>
      <c r="B1162" s="14" t="s">
        <v>1029</v>
      </c>
      <c r="C1162" s="21">
        <f>(1)*(1)*(1)*(1)*(1 + (0))</f>
      </c>
      <c r="D1162" s="21" t="s">
        <v>1035</v>
      </c>
      <c r="E1162" s="21"/>
      <c r="F1162" s="21">
        <f>C1162*E1162</f>
      </c>
    </row>
    <row r="1163">
      <c r="A1163" s="3"/>
      <c r="B1163" s="11" t="s">
        <v>1037</v>
      </c>
      <c r="C1163" s="20"/>
      <c r="D1163" s="20"/>
      <c r="E1163" s="20"/>
      <c r="F1163" s="20"/>
    </row>
    <row r="1164">
      <c r="A1164" s="5"/>
      <c r="B1164" s="13" t="s">
        <v>1038</v>
      </c>
      <c r="C1164" s="22"/>
      <c r="D1164" s="22"/>
      <c r="E1164" s="22"/>
      <c r="F1164" s="22"/>
    </row>
    <row r="1165">
      <c r="A1165" s="4"/>
      <c r="B1165" s="14" t="s">
        <v>1024</v>
      </c>
      <c r="C1165" s="21">
        <f>(57)*(1)*(1)*(1)*(1 + (0))</f>
      </c>
      <c r="D1165" s="21" t="s">
        <v>167</v>
      </c>
      <c r="E1165" s="21"/>
      <c r="F1165" s="21">
        <f>C1165*E1165</f>
      </c>
    </row>
    <row r="1166">
      <c r="A1166" s="5"/>
      <c r="B1166" s="13" t="s">
        <v>1039</v>
      </c>
      <c r="C1166" s="22"/>
      <c r="D1166" s="22"/>
      <c r="E1166" s="22"/>
      <c r="F1166" s="22"/>
    </row>
    <row r="1167">
      <c r="A1167" s="4"/>
      <c r="B1167" s="14" t="s">
        <v>1024</v>
      </c>
      <c r="C1167" s="21">
        <f>(10)*(1)*(1)*(1)*(1 + (0))</f>
      </c>
      <c r="D1167" s="21" t="s">
        <v>167</v>
      </c>
      <c r="E1167" s="21"/>
      <c r="F1167" s="21">
        <f>C1167*E1167</f>
      </c>
    </row>
    <row r="1168">
      <c r="A1168" s="3"/>
      <c r="B1168" s="11" t="s">
        <v>1040</v>
      </c>
      <c r="C1168" s="20"/>
      <c r="D1168" s="20"/>
      <c r="E1168" s="20"/>
      <c r="F1168" s="20"/>
    </row>
    <row r="1169">
      <c r="A1169" s="5"/>
      <c r="B1169" s="13" t="s">
        <v>1041</v>
      </c>
      <c r="C1169" s="22"/>
      <c r="D1169" s="22"/>
      <c r="E1169" s="22"/>
      <c r="F1169" s="22"/>
    </row>
    <row r="1170">
      <c r="A1170" s="4"/>
      <c r="B1170" s="14" t="s">
        <v>1029</v>
      </c>
      <c r="C1170" s="21">
        <f>(63)*(1)*(1)*(1)*(1 + (0))</f>
      </c>
      <c r="D1170" s="21" t="s">
        <v>9</v>
      </c>
      <c r="E1170" s="21"/>
      <c r="F1170" s="21">
        <f>C1170*E1170</f>
      </c>
    </row>
    <row r="1171">
      <c r="A1171" s="3"/>
      <c r="B1171" s="11" t="s">
        <v>1042</v>
      </c>
      <c r="C1171" s="20"/>
      <c r="D1171" s="20"/>
      <c r="E1171" s="20"/>
      <c r="F1171" s="20"/>
    </row>
    <row r="1172">
      <c r="A1172" s="5"/>
      <c r="B1172" s="13" t="s">
        <v>1043</v>
      </c>
      <c r="C1172" s="22"/>
      <c r="D1172" s="22"/>
      <c r="E1172" s="22"/>
      <c r="F1172" s="22"/>
    </row>
    <row r="1173">
      <c r="A1173" s="4"/>
      <c r="B1173" s="14" t="s">
        <v>1024</v>
      </c>
      <c r="C1173" s="21">
        <f>(14)*(1)*(1)*(1)*(1 + (0))</f>
      </c>
      <c r="D1173" s="21" t="s">
        <v>167</v>
      </c>
      <c r="E1173" s="21"/>
      <c r="F1173" s="21">
        <f>C1173*E1173</f>
      </c>
    </row>
    <row r="1174">
      <c r="A1174" s="3"/>
      <c r="B1174" s="11" t="s">
        <v>1044</v>
      </c>
      <c r="C1174" s="20"/>
      <c r="D1174" s="20"/>
      <c r="E1174" s="20"/>
      <c r="F1174" s="20"/>
    </row>
    <row r="1175">
      <c r="A1175" s="5"/>
      <c r="B1175" s="13" t="s">
        <v>1045</v>
      </c>
      <c r="C1175" s="22"/>
      <c r="D1175" s="22"/>
      <c r="E1175" s="22"/>
      <c r="F1175" s="22"/>
    </row>
    <row r="1176">
      <c r="A1176" s="6"/>
      <c r="B1176" s="15" t="s">
        <v>840</v>
      </c>
      <c r="C1176" s="23"/>
      <c r="D1176" s="23"/>
      <c r="E1176" s="23"/>
      <c r="F1176" s="23"/>
    </row>
    <row r="1177">
      <c r="A1177" s="4"/>
      <c r="B1177" s="16" t="s">
        <v>1046</v>
      </c>
      <c r="C1177" s="21">
        <f>(10)*(1)*(1)*(1)*(1 + (0))</f>
      </c>
      <c r="D1177" s="21" t="s">
        <v>167</v>
      </c>
      <c r="E1177" s="21"/>
      <c r="F1177" s="21">
        <f>C1177*E1177</f>
      </c>
    </row>
    <row r="1178">
      <c r="A1178" s="6"/>
      <c r="B1178" s="15" t="s">
        <v>841</v>
      </c>
      <c r="C1178" s="23"/>
      <c r="D1178" s="23"/>
      <c r="E1178" s="23"/>
      <c r="F1178" s="23"/>
    </row>
    <row r="1179">
      <c r="A1179" s="4"/>
      <c r="B1179" s="16" t="s">
        <v>1046</v>
      </c>
      <c r="C1179" s="21">
        <f>(3)*(1)*(1)*(1)*(1 + (0))</f>
      </c>
      <c r="D1179" s="21" t="s">
        <v>167</v>
      </c>
      <c r="E1179" s="21"/>
      <c r="F1179" s="21">
        <f>C1179*E1179</f>
      </c>
    </row>
    <row r="1180">
      <c r="A1180" s="3"/>
      <c r="B1180" s="11" t="s">
        <v>1047</v>
      </c>
      <c r="C1180" s="20"/>
      <c r="D1180" s="20"/>
      <c r="E1180" s="20"/>
      <c r="F1180" s="20"/>
    </row>
    <row r="1181">
      <c r="A1181" s="5"/>
      <c r="B1181" s="13" t="s">
        <v>1048</v>
      </c>
      <c r="C1181" s="22"/>
      <c r="D1181" s="22"/>
      <c r="E1181" s="22"/>
      <c r="F1181" s="22"/>
    </row>
    <row r="1182">
      <c r="A1182" s="6"/>
      <c r="B1182" s="15" t="s">
        <v>1049</v>
      </c>
      <c r="C1182" s="23"/>
      <c r="D1182" s="23"/>
      <c r="E1182" s="23"/>
      <c r="F1182" s="23"/>
    </row>
    <row r="1183">
      <c r="A1183" s="4"/>
      <c r="B1183" s="16" t="s">
        <v>840</v>
      </c>
      <c r="C1183" s="21">
        <f>(2)*(1)*(1)*(1)*(1 + (0))</f>
      </c>
      <c r="D1183" s="21" t="s">
        <v>167</v>
      </c>
      <c r="E1183" s="21"/>
      <c r="F1183" s="21">
        <f>C1183*E1183</f>
      </c>
    </row>
    <row r="1184">
      <c r="A1184" s="6"/>
      <c r="B1184" s="15" t="s">
        <v>1050</v>
      </c>
      <c r="C1184" s="23"/>
      <c r="D1184" s="23"/>
      <c r="E1184" s="23"/>
      <c r="F1184" s="23"/>
    </row>
    <row r="1185">
      <c r="A1185" s="4"/>
      <c r="B1185" s="16" t="s">
        <v>840</v>
      </c>
      <c r="C1185" s="21">
        <f>(1)*(1)*(1)*(1)*(1 + (0))</f>
      </c>
      <c r="D1185" s="21" t="s">
        <v>167</v>
      </c>
      <c r="E1185" s="21"/>
      <c r="F1185" s="21">
        <f>C1185*E1185</f>
      </c>
    </row>
    <row r="1186">
      <c r="A1186" s="6"/>
      <c r="B1186" s="15" t="s">
        <v>1051</v>
      </c>
      <c r="C1186" s="23"/>
      <c r="D1186" s="23"/>
      <c r="E1186" s="23"/>
      <c r="F1186" s="23"/>
    </row>
    <row r="1187">
      <c r="A1187" s="4"/>
      <c r="B1187" s="16" t="s">
        <v>840</v>
      </c>
      <c r="C1187" s="21">
        <f>(1)*(1)*(1)*(1)*(1 + (0))</f>
      </c>
      <c r="D1187" s="21" t="s">
        <v>167</v>
      </c>
      <c r="E1187" s="21"/>
      <c r="F1187" s="21">
        <f>C1187*E1187</f>
      </c>
    </row>
    <row r="1188">
      <c r="A1188" s="6"/>
      <c r="B1188" s="15" t="s">
        <v>1052</v>
      </c>
      <c r="C1188" s="23"/>
      <c r="D1188" s="23"/>
      <c r="E1188" s="23"/>
      <c r="F1188" s="23"/>
    </row>
    <row r="1189">
      <c r="A1189" s="4"/>
      <c r="B1189" s="16" t="s">
        <v>840</v>
      </c>
      <c r="C1189" s="21">
        <f>(4)*(1)*(1)*(1)*(1 + (0))</f>
      </c>
      <c r="D1189" s="21" t="s">
        <v>167</v>
      </c>
      <c r="E1189" s="21"/>
      <c r="F1189" s="21">
        <f>C1189*E1189</f>
      </c>
    </row>
    <row r="1190">
      <c r="A1190" s="6"/>
      <c r="B1190" s="15" t="s">
        <v>1053</v>
      </c>
      <c r="C1190" s="23"/>
      <c r="D1190" s="23"/>
      <c r="E1190" s="23"/>
      <c r="F1190" s="23"/>
    </row>
    <row r="1191">
      <c r="A1191" s="4"/>
      <c r="B1191" s="16" t="s">
        <v>840</v>
      </c>
      <c r="C1191" s="21">
        <f>(4)*(1)*(1)*(1)*(1 + (0))</f>
      </c>
      <c r="D1191" s="21" t="s">
        <v>167</v>
      </c>
      <c r="E1191" s="21"/>
      <c r="F1191" s="21">
        <f>C1191*E1191</f>
      </c>
    </row>
    <row r="1192">
      <c r="A1192" s="6"/>
      <c r="B1192" s="15" t="s">
        <v>1054</v>
      </c>
      <c r="C1192" s="23"/>
      <c r="D1192" s="23"/>
      <c r="E1192" s="23"/>
      <c r="F1192" s="23"/>
    </row>
    <row r="1193">
      <c r="A1193" s="4"/>
      <c r="B1193" s="16" t="s">
        <v>841</v>
      </c>
      <c r="C1193" s="21">
        <f>(1)*(1)*(1)*(1)*(1 + (0))</f>
      </c>
      <c r="D1193" s="21" t="s">
        <v>167</v>
      </c>
      <c r="E1193" s="21"/>
      <c r="F1193" s="21">
        <f>C1193*E1193</f>
      </c>
    </row>
    <row r="1194">
      <c r="A1194" s="3"/>
      <c r="B1194" s="11" t="s">
        <v>1055</v>
      </c>
      <c r="C1194" s="20"/>
      <c r="D1194" s="20"/>
      <c r="E1194" s="20"/>
      <c r="F1194" s="20"/>
    </row>
    <row r="1195">
      <c r="A1195" s="5"/>
      <c r="B1195" s="13" t="s">
        <v>1056</v>
      </c>
      <c r="C1195" s="22"/>
      <c r="D1195" s="22"/>
      <c r="E1195" s="22"/>
      <c r="F1195" s="22"/>
    </row>
    <row r="1196">
      <c r="A1196" s="4"/>
      <c r="B1196" s="14" t="s">
        <v>1024</v>
      </c>
      <c r="C1196" s="21">
        <f>(9)*(1)*(1)*(1)*(1 + (0))</f>
      </c>
      <c r="D1196" s="21" t="s">
        <v>167</v>
      </c>
      <c r="E1196" s="21"/>
      <c r="F1196" s="21">
        <f>C1196*E1196</f>
      </c>
    </row>
    <row r="1197">
      <c r="A1197" s="2"/>
      <c r="B1197" s="10" t="s">
        <v>1057</v>
      </c>
      <c r="C1197" s="19"/>
      <c r="D1197" s="19"/>
      <c r="E1197" s="19"/>
      <c r="F1197" s="19"/>
    </row>
    <row r="1198">
      <c r="A1198" s="3"/>
      <c r="B1198" s="11" t="s">
        <v>14</v>
      </c>
      <c r="C1198" s="20"/>
      <c r="D1198" s="20"/>
      <c r="E1198" s="20"/>
      <c r="F1198" s="20"/>
    </row>
    <row r="1199">
      <c r="A1199" s="4" t="s">
        <v>1058</v>
      </c>
      <c r="B1199" s="12" t="s">
        <v>16</v>
      </c>
      <c r="C1199" s="21"/>
      <c r="D1199" s="21" t="s">
        <v>17</v>
      </c>
      <c r="E1199" s="21"/>
      <c r="F1199" s="21">
        <f>C1199*E1199</f>
      </c>
    </row>
    <row r="1200">
      <c r="A1200" s="4" t="s">
        <v>1059</v>
      </c>
      <c r="B1200" s="12" t="s">
        <v>19</v>
      </c>
      <c r="C1200" s="21"/>
      <c r="D1200" s="21" t="s">
        <v>17</v>
      </c>
      <c r="E1200" s="21"/>
      <c r="F1200" s="21">
        <f>C1200*E1200</f>
      </c>
    </row>
    <row r="1201">
      <c r="A1201" s="3"/>
      <c r="B1201" s="11" t="s">
        <v>22</v>
      </c>
      <c r="C1201" s="20"/>
      <c r="D1201" s="20"/>
      <c r="E1201" s="20"/>
      <c r="F1201" s="20"/>
    </row>
    <row r="1202">
      <c r="A1202" s="4"/>
      <c r="B1202" s="12" t="s">
        <v>1060</v>
      </c>
      <c r="C1202" s="21"/>
      <c r="D1202" s="21" t="s">
        <v>17</v>
      </c>
      <c r="E1202" s="21"/>
      <c r="F1202" s="21">
        <f>C1202*E1202</f>
      </c>
    </row>
    <row r="1203">
      <c r="A1203" s="4"/>
      <c r="B1203" s="12" t="s">
        <v>1061</v>
      </c>
      <c r="C1203" s="21"/>
      <c r="D1203" s="21" t="s">
        <v>17</v>
      </c>
      <c r="E1203" s="21"/>
      <c r="F1203" s="21">
        <f>C1203*E1203</f>
      </c>
    </row>
    <row r="1204">
      <c r="A1204" s="3"/>
      <c r="B1204" s="11" t="s">
        <v>24</v>
      </c>
      <c r="C1204" s="20"/>
      <c r="D1204" s="20"/>
      <c r="E1204" s="20"/>
      <c r="F1204" s="20"/>
    </row>
    <row r="1205">
      <c r="A1205" s="5"/>
      <c r="B1205" s="13" t="s">
        <v>25</v>
      </c>
      <c r="C1205" s="22"/>
      <c r="D1205" s="22"/>
      <c r="E1205" s="22"/>
      <c r="F1205" s="22"/>
    </row>
    <row r="1206">
      <c r="A1206" s="4" t="s">
        <v>1062</v>
      </c>
      <c r="B1206" s="14" t="s">
        <v>1063</v>
      </c>
      <c r="C1206" s="21"/>
      <c r="D1206" s="21" t="s">
        <v>17</v>
      </c>
      <c r="E1206" s="21"/>
      <c r="F1206" s="21">
        <f>C1206*E1206</f>
      </c>
    </row>
    <row r="1207">
      <c r="A1207" s="4" t="s">
        <v>1064</v>
      </c>
      <c r="B1207" s="14" t="s">
        <v>1065</v>
      </c>
      <c r="C1207" s="21"/>
      <c r="D1207" s="21" t="s">
        <v>17</v>
      </c>
      <c r="E1207" s="21"/>
      <c r="F1207" s="21">
        <f>C1207*E1207</f>
      </c>
    </row>
    <row r="1208">
      <c r="A1208" s="4" t="s">
        <v>1066</v>
      </c>
      <c r="B1208" s="14" t="s">
        <v>1067</v>
      </c>
      <c r="C1208" s="21"/>
      <c r="D1208" s="21" t="s">
        <v>17</v>
      </c>
      <c r="E1208" s="21"/>
      <c r="F1208" s="21">
        <f>C1208*E1208</f>
      </c>
    </row>
    <row r="1209">
      <c r="A1209" s="4" t="s">
        <v>1068</v>
      </c>
      <c r="B1209" s="14" t="s">
        <v>814</v>
      </c>
      <c r="C1209" s="21"/>
      <c r="D1209" s="21" t="s">
        <v>17</v>
      </c>
      <c r="E1209" s="21"/>
      <c r="F1209" s="21">
        <f>C1209*E1209</f>
      </c>
    </row>
    <row r="1210">
      <c r="A1210" s="4" t="s">
        <v>1069</v>
      </c>
      <c r="B1210" s="14" t="s">
        <v>816</v>
      </c>
      <c r="C1210" s="21"/>
      <c r="D1210" s="21" t="s">
        <v>17</v>
      </c>
      <c r="E1210" s="21"/>
      <c r="F1210" s="21">
        <f>C1210*E1210</f>
      </c>
    </row>
    <row r="1211">
      <c r="A1211" s="4" t="s">
        <v>1070</v>
      </c>
      <c r="B1211" s="14" t="s">
        <v>1071</v>
      </c>
      <c r="C1211" s="21"/>
      <c r="D1211" s="21" t="s">
        <v>17</v>
      </c>
      <c r="E1211" s="21"/>
      <c r="F1211" s="21">
        <f>C1211*E1211</f>
      </c>
    </row>
    <row r="1212">
      <c r="A1212" s="4" t="s">
        <v>1072</v>
      </c>
      <c r="B1212" s="14" t="s">
        <v>194</v>
      </c>
      <c r="C1212" s="21"/>
      <c r="D1212" s="21" t="s">
        <v>17</v>
      </c>
      <c r="E1212" s="21"/>
      <c r="F1212" s="21">
        <f>C1212*E1212</f>
      </c>
    </row>
    <row r="1213">
      <c r="A1213" s="3"/>
      <c r="B1213" s="11" t="s">
        <v>42</v>
      </c>
      <c r="C1213" s="20"/>
      <c r="D1213" s="20"/>
      <c r="E1213" s="20"/>
      <c r="F1213" s="20"/>
    </row>
    <row r="1214">
      <c r="A1214" s="4" t="s">
        <v>1073</v>
      </c>
      <c r="B1214" s="12" t="s">
        <v>1074</v>
      </c>
      <c r="C1214" s="21">
        <f>(1)*(1)*(1)*(1)*(1 + (0))</f>
      </c>
      <c r="D1214" s="21" t="s">
        <v>45</v>
      </c>
      <c r="E1214" s="21"/>
      <c r="F1214" s="21">
        <f>C1214*E1214</f>
      </c>
    </row>
    <row r="1215">
      <c r="A1215" s="4" t="s">
        <v>1075</v>
      </c>
      <c r="B1215" s="12" t="s">
        <v>1076</v>
      </c>
      <c r="C1215" s="21">
        <f>(1)*(1)*(1)*(1)*(1 + (0))</f>
      </c>
      <c r="D1215" s="21" t="s">
        <v>45</v>
      </c>
      <c r="E1215" s="21"/>
      <c r="F1215" s="21">
        <f>C1215*E1215</f>
      </c>
    </row>
    <row r="1216">
      <c r="A1216" s="4" t="s">
        <v>1077</v>
      </c>
      <c r="B1216" s="12" t="s">
        <v>1078</v>
      </c>
      <c r="C1216" s="21">
        <f>(1)*(1)*(1)*(1)*(1 + (0))</f>
      </c>
      <c r="D1216" s="21" t="s">
        <v>45</v>
      </c>
      <c r="E1216" s="21"/>
      <c r="F1216" s="21">
        <f>C1216*E1216</f>
      </c>
    </row>
    <row r="1217">
      <c r="A1217" s="4" t="s">
        <v>1079</v>
      </c>
      <c r="B1217" s="12" t="s">
        <v>132</v>
      </c>
      <c r="C1217" s="21">
        <f>(1)*(1)*(1)*(1)*(1 + (0))</f>
      </c>
      <c r="D1217" s="21" t="s">
        <v>45</v>
      </c>
      <c r="E1217" s="21"/>
      <c r="F1217" s="21">
        <f>C1217*E1217</f>
      </c>
    </row>
    <row r="1218">
      <c r="A1218" s="4" t="s">
        <v>1080</v>
      </c>
      <c r="B1218" s="12" t="s">
        <v>1081</v>
      </c>
      <c r="C1218" s="21">
        <f>(1)*(1)*(1)*(1)*(1 + (0))</f>
      </c>
      <c r="D1218" s="21" t="s">
        <v>45</v>
      </c>
      <c r="E1218" s="21"/>
      <c r="F1218" s="21">
        <f>C1218*E1218</f>
      </c>
    </row>
    <row r="1219">
      <c r="A1219" s="4" t="s">
        <v>1082</v>
      </c>
      <c r="B1219" s="12" t="s">
        <v>1083</v>
      </c>
      <c r="C1219" s="21">
        <f>(1)*(1)*(1)*(1)*(1 + (0))</f>
      </c>
      <c r="D1219" s="21" t="s">
        <v>45</v>
      </c>
      <c r="E1219" s="21"/>
      <c r="F1219" s="21">
        <f>C1219*E1219</f>
      </c>
    </row>
    <row r="1220">
      <c r="A1220" s="4" t="s">
        <v>1084</v>
      </c>
      <c r="B1220" s="12" t="s">
        <v>1085</v>
      </c>
      <c r="C1220" s="21">
        <f>(1)*(1)*(1)*(1)*(1 + (0))</f>
      </c>
      <c r="D1220" s="21" t="s">
        <v>45</v>
      </c>
      <c r="E1220" s="21"/>
      <c r="F1220" s="21">
        <f>C1220*E1220</f>
      </c>
    </row>
    <row r="1221">
      <c r="A1221" s="4" t="s">
        <v>1086</v>
      </c>
      <c r="B1221" s="12" t="s">
        <v>1087</v>
      </c>
      <c r="C1221" s="21">
        <f>(1)*(1)*(1)*(1)*(1 + (0))</f>
      </c>
      <c r="D1221" s="21" t="s">
        <v>45</v>
      </c>
      <c r="E1221" s="21"/>
      <c r="F1221" s="21">
        <f>C1221*E1221</f>
      </c>
    </row>
    <row r="1222">
      <c r="A1222" s="3"/>
      <c r="B1222" s="11" t="s">
        <v>82</v>
      </c>
      <c r="C1222" s="20"/>
      <c r="D1222" s="20"/>
      <c r="E1222" s="20"/>
      <c r="F1222" s="20"/>
    </row>
    <row r="1223">
      <c r="A1223" s="4"/>
      <c r="B1223" s="12" t="s">
        <v>1088</v>
      </c>
      <c r="C1223" s="21"/>
      <c r="D1223" s="21" t="s">
        <v>17</v>
      </c>
      <c r="E1223" s="21"/>
      <c r="F1223" s="21">
        <f>C1223*E1223</f>
      </c>
    </row>
    <row r="1224">
      <c r="A1224" s="3"/>
      <c r="B1224" s="11" t="s">
        <v>1089</v>
      </c>
      <c r="C1224" s="20"/>
      <c r="D1224" s="20"/>
      <c r="E1224" s="20"/>
      <c r="F1224" s="20"/>
    </row>
    <row r="1225">
      <c r="A1225" s="4"/>
      <c r="B1225" s="12" t="s">
        <v>1090</v>
      </c>
      <c r="C1225" s="21">
        <f>(309)*(1)*(1)*(1)*(1 + (0))</f>
      </c>
      <c r="D1225" s="21" t="s">
        <v>9</v>
      </c>
      <c r="E1225" s="21"/>
      <c r="F1225" s="21">
        <f>C1225*E1225</f>
      </c>
    </row>
    <row r="1226">
      <c r="A1226" s="4"/>
      <c r="B1226" s="12" t="s">
        <v>1091</v>
      </c>
      <c r="C1226" s="21">
        <f>(1427)*(1)*(1)*(1)*(1 + (0))</f>
      </c>
      <c r="D1226" s="21" t="s">
        <v>9</v>
      </c>
      <c r="E1226" s="21"/>
      <c r="F1226" s="21">
        <f>C1226*E1226</f>
      </c>
    </row>
    <row r="1227">
      <c r="A1227" s="4"/>
      <c r="B1227" s="12" t="s">
        <v>1092</v>
      </c>
      <c r="C1227" s="21">
        <f>(999)*(1)*(1)*(1)*(1 + (0))</f>
      </c>
      <c r="D1227" s="21" t="s">
        <v>9</v>
      </c>
      <c r="E1227" s="21"/>
      <c r="F1227" s="21">
        <f>C1227*E1227</f>
      </c>
    </row>
    <row r="1228">
      <c r="A1228" s="3"/>
      <c r="B1228" s="11" t="s">
        <v>1093</v>
      </c>
      <c r="C1228" s="20"/>
      <c r="D1228" s="20"/>
      <c r="E1228" s="20"/>
      <c r="F1228" s="20"/>
    </row>
    <row r="1229">
      <c r="A1229" s="4"/>
      <c r="B1229" s="12" t="s">
        <v>1094</v>
      </c>
      <c r="C1229" s="21">
        <f>(312)*(1)*(1)*(1)*(1 + (0))</f>
      </c>
      <c r="D1229" s="21" t="s">
        <v>9</v>
      </c>
      <c r="E1229" s="21"/>
      <c r="F1229" s="21">
        <f>C1229*E1229</f>
      </c>
    </row>
    <row r="1230">
      <c r="A1230" s="4"/>
      <c r="B1230" s="12" t="s">
        <v>1095</v>
      </c>
      <c r="C1230" s="21">
        <f>(386)*(1)*(1)*(1)*(1 + (0))</f>
      </c>
      <c r="D1230" s="21" t="s">
        <v>9</v>
      </c>
      <c r="E1230" s="21"/>
      <c r="F1230" s="21">
        <f>C1230*E1230</f>
      </c>
    </row>
    <row r="1231">
      <c r="A1231" s="4"/>
      <c r="B1231" s="12" t="s">
        <v>1096</v>
      </c>
      <c r="C1231" s="21">
        <f>(370)*(1)*(1)*(1)*(1 + (0))</f>
      </c>
      <c r="D1231" s="21" t="s">
        <v>9</v>
      </c>
      <c r="E1231" s="21"/>
      <c r="F1231" s="21">
        <f>C1231*E1231</f>
      </c>
    </row>
    <row r="1232">
      <c r="A1232" s="4"/>
      <c r="B1232" s="12" t="s">
        <v>1097</v>
      </c>
      <c r="C1232" s="21">
        <f>(67)*(1)*(1)*(1)*(1 + (0))</f>
      </c>
      <c r="D1232" s="21" t="s">
        <v>9</v>
      </c>
      <c r="E1232" s="21"/>
      <c r="F1232" s="21">
        <f>C1232*E1232</f>
      </c>
    </row>
    <row r="1233">
      <c r="A1233" s="4"/>
      <c r="B1233" s="12" t="s">
        <v>1098</v>
      </c>
      <c r="C1233" s="21">
        <f>(71)*(1)*(1)*(1)*(1 + (0))</f>
      </c>
      <c r="D1233" s="21" t="s">
        <v>167</v>
      </c>
      <c r="E1233" s="21"/>
      <c r="F1233" s="21">
        <f>C1233*E1233</f>
      </c>
    </row>
    <row r="1234">
      <c r="A1234" s="3"/>
      <c r="B1234" s="11" t="s">
        <v>1099</v>
      </c>
      <c r="C1234" s="20"/>
      <c r="D1234" s="20"/>
      <c r="E1234" s="20"/>
      <c r="F1234" s="20"/>
    </row>
    <row r="1235">
      <c r="A1235" s="4"/>
      <c r="B1235" s="12" t="s">
        <v>1100</v>
      </c>
      <c r="C1235" s="21">
        <f>(312)*(1)*(1)*(1)*(1 + (0))</f>
      </c>
      <c r="D1235" s="21" t="s">
        <v>9</v>
      </c>
      <c r="E1235" s="21"/>
      <c r="F1235" s="21">
        <f>C1235*E1235</f>
      </c>
    </row>
    <row r="1236">
      <c r="A1236" s="4"/>
      <c r="B1236" s="12" t="s">
        <v>1101</v>
      </c>
      <c r="C1236" s="21">
        <f>(256)*(1)*(1)*(1)*(1 + (0))</f>
      </c>
      <c r="D1236" s="21" t="s">
        <v>9</v>
      </c>
      <c r="E1236" s="21"/>
      <c r="F1236" s="21">
        <f>C1236*E1236</f>
      </c>
    </row>
    <row r="1237">
      <c r="A1237" s="3"/>
      <c r="B1237" s="11" t="s">
        <v>1102</v>
      </c>
      <c r="C1237" s="20"/>
      <c r="D1237" s="20"/>
      <c r="E1237" s="20"/>
      <c r="F1237" s="20"/>
    </row>
    <row r="1238">
      <c r="A1238" s="4"/>
      <c r="B1238" s="12" t="s">
        <v>1103</v>
      </c>
      <c r="C1238" s="21">
        <f>(312)*(1)*(1)*(1)*(1 + (0))</f>
      </c>
      <c r="D1238" s="21" t="s">
        <v>9</v>
      </c>
      <c r="E1238" s="21"/>
      <c r="F1238" s="21">
        <f>C1238*E1238</f>
      </c>
    </row>
    <row r="1239">
      <c r="A1239" s="3"/>
      <c r="B1239" s="11" t="s">
        <v>1104</v>
      </c>
      <c r="C1239" s="20"/>
      <c r="D1239" s="20"/>
      <c r="E1239" s="20"/>
      <c r="F1239" s="20"/>
    </row>
    <row r="1240">
      <c r="A1240" s="5"/>
      <c r="B1240" s="13" t="s">
        <v>1105</v>
      </c>
      <c r="C1240" s="22"/>
      <c r="D1240" s="22"/>
      <c r="E1240" s="22"/>
      <c r="F1240" s="22"/>
    </row>
    <row r="1241">
      <c r="A1241" s="6"/>
      <c r="B1241" s="15" t="s">
        <v>1106</v>
      </c>
      <c r="C1241" s="23"/>
      <c r="D1241" s="23"/>
      <c r="E1241" s="23"/>
      <c r="F1241" s="23"/>
    </row>
    <row r="1242">
      <c r="A1242" s="4"/>
      <c r="B1242" s="16" t="s">
        <v>1107</v>
      </c>
      <c r="C1242" s="21">
        <f>(108)*(1)*(1)*(1)*(1 + (0))</f>
      </c>
      <c r="D1242" s="21" t="s">
        <v>167</v>
      </c>
      <c r="E1242" s="21"/>
      <c r="F1242" s="21">
        <f>C1242*E1242</f>
      </c>
    </row>
    <row r="1243">
      <c r="A1243" s="6"/>
      <c r="B1243" s="15" t="s">
        <v>1108</v>
      </c>
      <c r="C1243" s="23"/>
      <c r="D1243" s="23"/>
      <c r="E1243" s="23"/>
      <c r="F1243" s="23"/>
    </row>
    <row r="1244">
      <c r="A1244" s="4"/>
      <c r="B1244" s="16" t="s">
        <v>1109</v>
      </c>
      <c r="C1244" s="21">
        <f>(166)*(1)*(1)*(1)*(1 + (0))</f>
      </c>
      <c r="D1244" s="21" t="s">
        <v>167</v>
      </c>
      <c r="E1244" s="21"/>
      <c r="F1244" s="21">
        <f>C1244*E1244</f>
      </c>
    </row>
    <row r="1245">
      <c r="A1245" s="4"/>
      <c r="B1245" s="16" t="s">
        <v>1110</v>
      </c>
      <c r="C1245" s="21">
        <f>(122)*(1)*(1)*(1)*(1 + (0))</f>
      </c>
      <c r="D1245" s="21" t="s">
        <v>167</v>
      </c>
      <c r="E1245" s="21"/>
      <c r="F1245" s="21">
        <f>C1245*E1245</f>
      </c>
    </row>
    <row r="1246">
      <c r="A1246" s="4"/>
      <c r="B1246" s="16" t="s">
        <v>1111</v>
      </c>
      <c r="C1246" s="21">
        <f>(71)*(1)*(1)*(1)*(1 + (0))</f>
      </c>
      <c r="D1246" s="21" t="s">
        <v>167</v>
      </c>
      <c r="E1246" s="21"/>
      <c r="F1246" s="21">
        <f>C1246*E1246</f>
      </c>
    </row>
    <row r="1247">
      <c r="A1247" s="4"/>
      <c r="B1247" s="16" t="s">
        <v>1112</v>
      </c>
      <c r="C1247" s="21">
        <f>(80)*(1)*(1)*(1)*(1 + (0))</f>
      </c>
      <c r="D1247" s="21" t="s">
        <v>167</v>
      </c>
      <c r="E1247" s="21"/>
      <c r="F1247" s="21">
        <f>C1247*E1247</f>
      </c>
    </row>
    <row r="1248">
      <c r="A1248" s="4"/>
      <c r="B1248" s="16" t="s">
        <v>1113</v>
      </c>
      <c r="C1248" s="21">
        <f>(9)*(1)*(1)*(1)*(1 + (0))</f>
      </c>
      <c r="D1248" s="21" t="s">
        <v>167</v>
      </c>
      <c r="E1248" s="21"/>
      <c r="F1248" s="21">
        <f>C1248*E1248</f>
      </c>
    </row>
    <row r="1249">
      <c r="A1249" s="5"/>
      <c r="B1249" s="13" t="s">
        <v>1114</v>
      </c>
      <c r="C1249" s="22"/>
      <c r="D1249" s="22"/>
      <c r="E1249" s="22"/>
      <c r="F1249" s="22"/>
    </row>
    <row r="1250">
      <c r="A1250" s="4"/>
      <c r="B1250" s="14" t="s">
        <v>1115</v>
      </c>
      <c r="C1250" s="21">
        <f>(87)*(1)*(1)*(1)*(1 + (0))</f>
      </c>
      <c r="D1250" s="21" t="s">
        <v>167</v>
      </c>
      <c r="E1250" s="21"/>
      <c r="F1250" s="21">
        <f>C1250*E1250</f>
      </c>
    </row>
    <row r="1251">
      <c r="A1251" s="3"/>
      <c r="B1251" s="11" t="s">
        <v>1116</v>
      </c>
      <c r="C1251" s="20"/>
      <c r="D1251" s="20"/>
      <c r="E1251" s="20"/>
      <c r="F1251" s="20"/>
    </row>
    <row r="1252">
      <c r="A1252" s="4"/>
      <c r="B1252" s="12" t="s">
        <v>1117</v>
      </c>
      <c r="C1252" s="21">
        <f>(87)*(1)*(1)*(1)*(1 + (0))</f>
      </c>
      <c r="D1252" s="21" t="s">
        <v>167</v>
      </c>
      <c r="E1252" s="21"/>
      <c r="F1252" s="21">
        <f>C1252*E1252</f>
      </c>
    </row>
    <row r="1253">
      <c r="A1253" s="4"/>
      <c r="B1253" s="12" t="s">
        <v>1118</v>
      </c>
      <c r="C1253" s="21">
        <f>(7)*(1)*(1)*(1)*(1 + (0))</f>
      </c>
      <c r="D1253" s="21" t="s">
        <v>167</v>
      </c>
      <c r="E1253" s="21"/>
      <c r="F1253" s="21">
        <f>C1253*E1253</f>
      </c>
    </row>
    <row r="1254">
      <c r="A1254" s="4"/>
      <c r="B1254" s="12" t="s">
        <v>1119</v>
      </c>
      <c r="C1254" s="21">
        <f>(35)*(1)*(1)*(1)*(1 + (0))</f>
      </c>
      <c r="D1254" s="21" t="s">
        <v>167</v>
      </c>
      <c r="E1254" s="21"/>
      <c r="F1254" s="21">
        <f>C1254*E1254</f>
      </c>
    </row>
    <row r="1255">
      <c r="A1255" s="4"/>
      <c r="B1255" s="12" t="s">
        <v>1120</v>
      </c>
      <c r="C1255" s="21">
        <f>(24)*(1)*(1)*(1)*(1 + (0))</f>
      </c>
      <c r="D1255" s="21" t="s">
        <v>167</v>
      </c>
      <c r="E1255" s="21"/>
      <c r="F1255" s="21">
        <f>C1255*E1255</f>
      </c>
    </row>
    <row r="1256">
      <c r="A1256" s="4"/>
      <c r="B1256" s="12" t="s">
        <v>1121</v>
      </c>
      <c r="C1256" s="21">
        <f>(24)*(1)*(1)*(1)*(1 + (0))</f>
      </c>
      <c r="D1256" s="21" t="s">
        <v>167</v>
      </c>
      <c r="E1256" s="21"/>
      <c r="F1256" s="21">
        <f>C1256*E1256</f>
      </c>
    </row>
    <row r="1257">
      <c r="A1257" s="4"/>
      <c r="B1257" s="12" t="s">
        <v>1122</v>
      </c>
      <c r="C1257" s="21">
        <f>(37)*(1)*(1)*(1)*(1 + (0))</f>
      </c>
      <c r="D1257" s="21" t="s">
        <v>167</v>
      </c>
      <c r="E1257" s="21"/>
      <c r="F1257" s="21">
        <f>C1257*E1257</f>
      </c>
    </row>
    <row r="1258">
      <c r="A1258" s="4"/>
      <c r="B1258" s="12" t="s">
        <v>1123</v>
      </c>
      <c r="C1258" s="21">
        <f>(13)*(1)*(1)*(1)*(1 + (0))</f>
      </c>
      <c r="D1258" s="21" t="s">
        <v>167</v>
      </c>
      <c r="E1258" s="21"/>
      <c r="F1258" s="21">
        <f>C1258*E1258</f>
      </c>
    </row>
    <row r="1259">
      <c r="A1259" s="4"/>
      <c r="B1259" s="12" t="s">
        <v>1124</v>
      </c>
      <c r="C1259" s="21">
        <f>(114)*(1)*(1)*(1)*(1 + (0))</f>
      </c>
      <c r="D1259" s="21" t="s">
        <v>167</v>
      </c>
      <c r="E1259" s="21"/>
      <c r="F1259" s="21">
        <f>C1259*E1259</f>
      </c>
    </row>
    <row r="1260">
      <c r="A1260" s="4"/>
      <c r="B1260" s="12" t="s">
        <v>1125</v>
      </c>
      <c r="C1260" s="21">
        <f>(45)*(1)*(1)*(1)*(1 + (0))</f>
      </c>
      <c r="D1260" s="21" t="s">
        <v>167</v>
      </c>
      <c r="E1260" s="21"/>
      <c r="F1260" s="21">
        <f>C1260*E1260</f>
      </c>
    </row>
    <row r="1261">
      <c r="A1261" s="4"/>
      <c r="B1261" s="12" t="s">
        <v>1126</v>
      </c>
      <c r="C1261" s="21">
        <f>(2)*(1)*(1)*(1)*(1 + (0))</f>
      </c>
      <c r="D1261" s="21" t="s">
        <v>170</v>
      </c>
      <c r="E1261" s="21"/>
      <c r="F1261" s="21">
        <f>C1261*E1261</f>
      </c>
    </row>
    <row r="1262">
      <c r="A1262" s="3"/>
      <c r="B1262" s="11" t="s">
        <v>1127</v>
      </c>
      <c r="C1262" s="20"/>
      <c r="D1262" s="20"/>
      <c r="E1262" s="20"/>
      <c r="F1262" s="20"/>
    </row>
    <row r="1263">
      <c r="A1263" s="4"/>
      <c r="B1263" s="12" t="s">
        <v>1128</v>
      </c>
      <c r="C1263" s="21">
        <f>(1)*(1)*(1)*(1)*(1 + (0))</f>
      </c>
      <c r="D1263" s="21" t="s">
        <v>45</v>
      </c>
      <c r="E1263" s="21"/>
      <c r="F1263" s="21">
        <f>C1263*E1263</f>
      </c>
    </row>
    <row r="1264">
      <c r="A1264" s="2"/>
      <c r="B1264" s="10" t="s">
        <v>1129</v>
      </c>
      <c r="C1264" s="19"/>
      <c r="D1264" s="19"/>
      <c r="E1264" s="19"/>
      <c r="F1264" s="19"/>
    </row>
    <row r="1265">
      <c r="A1265" s="3"/>
      <c r="B1265" s="11" t="s">
        <v>14</v>
      </c>
      <c r="C1265" s="20"/>
      <c r="D1265" s="20"/>
      <c r="E1265" s="20"/>
      <c r="F1265" s="20"/>
    </row>
    <row r="1266">
      <c r="A1266" s="4" t="s">
        <v>1130</v>
      </c>
      <c r="B1266" s="12" t="s">
        <v>1131</v>
      </c>
      <c r="C1266" s="21"/>
      <c r="D1266" s="21" t="s">
        <v>17</v>
      </c>
      <c r="E1266" s="21"/>
      <c r="F1266" s="21">
        <f>C1266*E1266</f>
      </c>
    </row>
    <row r="1267">
      <c r="A1267" s="4" t="s">
        <v>1132</v>
      </c>
      <c r="B1267" s="12" t="s">
        <v>19</v>
      </c>
      <c r="C1267" s="21"/>
      <c r="D1267" s="21" t="s">
        <v>17</v>
      </c>
      <c r="E1267" s="21"/>
      <c r="F1267" s="21">
        <f>C1267*E1267</f>
      </c>
    </row>
    <row r="1268">
      <c r="A1268" s="3"/>
      <c r="B1268" s="11" t="s">
        <v>22</v>
      </c>
      <c r="C1268" s="20"/>
      <c r="D1268" s="20"/>
      <c r="E1268" s="20"/>
      <c r="F1268" s="20"/>
    </row>
    <row r="1269">
      <c r="A1269" s="4"/>
      <c r="B1269" s="12" t="s">
        <v>1133</v>
      </c>
      <c r="C1269" s="21"/>
      <c r="D1269" s="21" t="s">
        <v>17</v>
      </c>
      <c r="E1269" s="21"/>
      <c r="F1269" s="21">
        <f>C1269*E1269</f>
      </c>
    </row>
    <row r="1270">
      <c r="A1270" s="4"/>
      <c r="B1270" s="12" t="s">
        <v>1134</v>
      </c>
      <c r="C1270" s="21"/>
      <c r="D1270" s="21" t="s">
        <v>17</v>
      </c>
      <c r="E1270" s="21"/>
      <c r="F1270" s="21">
        <f>C1270*E1270</f>
      </c>
    </row>
    <row r="1271">
      <c r="A1271" s="3"/>
      <c r="B1271" s="11" t="s">
        <v>24</v>
      </c>
      <c r="C1271" s="20"/>
      <c r="D1271" s="20"/>
      <c r="E1271" s="20"/>
      <c r="F1271" s="20"/>
    </row>
    <row r="1272">
      <c r="A1272" s="5"/>
      <c r="B1272" s="13" t="s">
        <v>25</v>
      </c>
      <c r="C1272" s="22"/>
      <c r="D1272" s="22"/>
      <c r="E1272" s="22"/>
      <c r="F1272" s="22"/>
    </row>
    <row r="1273">
      <c r="A1273" s="4" t="s">
        <v>1135</v>
      </c>
      <c r="B1273" s="14" t="s">
        <v>1063</v>
      </c>
      <c r="C1273" s="21"/>
      <c r="D1273" s="21" t="s">
        <v>17</v>
      </c>
      <c r="E1273" s="21"/>
      <c r="F1273" s="21">
        <f>C1273*E1273</f>
      </c>
    </row>
    <row r="1274">
      <c r="A1274" s="4" t="s">
        <v>1136</v>
      </c>
      <c r="B1274" s="14" t="s">
        <v>1137</v>
      </c>
      <c r="C1274" s="21"/>
      <c r="D1274" s="21" t="s">
        <v>17</v>
      </c>
      <c r="E1274" s="21"/>
      <c r="F1274" s="21">
        <f>C1274*E1274</f>
      </c>
    </row>
    <row r="1275">
      <c r="A1275" s="4" t="s">
        <v>1138</v>
      </c>
      <c r="B1275" s="14" t="s">
        <v>1139</v>
      </c>
      <c r="C1275" s="21"/>
      <c r="D1275" s="21" t="s">
        <v>17</v>
      </c>
      <c r="E1275" s="21"/>
      <c r="F1275" s="21">
        <f>C1275*E1275</f>
      </c>
    </row>
    <row r="1276">
      <c r="A1276" s="4" t="s">
        <v>1140</v>
      </c>
      <c r="B1276" s="14" t="s">
        <v>41</v>
      </c>
      <c r="C1276" s="21"/>
      <c r="D1276" s="21" t="s">
        <v>17</v>
      </c>
      <c r="E1276" s="21"/>
      <c r="F1276" s="21">
        <f>C1276*E1276</f>
      </c>
    </row>
    <row r="1277">
      <c r="A1277" s="6"/>
      <c r="B1277" s="15" t="s">
        <v>1141</v>
      </c>
      <c r="C1277" s="23"/>
      <c r="D1277" s="23"/>
      <c r="E1277" s="23"/>
      <c r="F1277" s="23"/>
    </row>
    <row r="1278">
      <c r="A1278" s="4" t="s">
        <v>1142</v>
      </c>
      <c r="B1278" s="16" t="s">
        <v>617</v>
      </c>
      <c r="C1278" s="21"/>
      <c r="D1278" s="21" t="s">
        <v>17</v>
      </c>
      <c r="E1278" s="21"/>
      <c r="F1278" s="21">
        <f>C1278*E1278</f>
      </c>
    </row>
    <row r="1279">
      <c r="A1279" s="4" t="s">
        <v>1143</v>
      </c>
      <c r="B1279" s="16" t="s">
        <v>619</v>
      </c>
      <c r="C1279" s="21"/>
      <c r="D1279" s="21" t="s">
        <v>17</v>
      </c>
      <c r="E1279" s="21"/>
      <c r="F1279" s="21">
        <f>C1279*E1279</f>
      </c>
    </row>
    <row r="1280">
      <c r="A1280" s="4" t="s">
        <v>1144</v>
      </c>
      <c r="B1280" s="16" t="s">
        <v>621</v>
      </c>
      <c r="C1280" s="21"/>
      <c r="D1280" s="21" t="s">
        <v>17</v>
      </c>
      <c r="E1280" s="21"/>
      <c r="F1280" s="21">
        <f>C1280*E1280</f>
      </c>
    </row>
    <row r="1281">
      <c r="A1281" s="4" t="s">
        <v>1145</v>
      </c>
      <c r="B1281" s="16" t="s">
        <v>625</v>
      </c>
      <c r="C1281" s="21"/>
      <c r="D1281" s="21" t="s">
        <v>17</v>
      </c>
      <c r="E1281" s="21"/>
      <c r="F1281" s="21">
        <f>C1281*E1281</f>
      </c>
    </row>
    <row r="1282">
      <c r="A1282" s="4" t="s">
        <v>1146</v>
      </c>
      <c r="B1282" s="16" t="s">
        <v>1147</v>
      </c>
      <c r="C1282" s="21"/>
      <c r="D1282" s="21" t="s">
        <v>17</v>
      </c>
      <c r="E1282" s="21"/>
      <c r="F1282" s="21">
        <f>C1282*E1282</f>
      </c>
    </row>
    <row r="1283">
      <c r="A1283" s="6"/>
      <c r="B1283" s="15" t="s">
        <v>1148</v>
      </c>
      <c r="C1283" s="23"/>
      <c r="D1283" s="23"/>
      <c r="E1283" s="23"/>
      <c r="F1283" s="23"/>
    </row>
    <row r="1284">
      <c r="A1284" s="4" t="s">
        <v>1149</v>
      </c>
      <c r="B1284" s="16" t="s">
        <v>1150</v>
      </c>
      <c r="C1284" s="21"/>
      <c r="D1284" s="21" t="s">
        <v>17</v>
      </c>
      <c r="E1284" s="21"/>
      <c r="F1284" s="21">
        <f>C1284*E1284</f>
      </c>
    </row>
    <row r="1285">
      <c r="A1285" s="4" t="s">
        <v>1151</v>
      </c>
      <c r="B1285" s="16" t="s">
        <v>1152</v>
      </c>
      <c r="C1285" s="21"/>
      <c r="D1285" s="21" t="s">
        <v>17</v>
      </c>
      <c r="E1285" s="21"/>
      <c r="F1285" s="21">
        <f>C1285*E1285</f>
      </c>
    </row>
    <row r="1286">
      <c r="A1286" s="4" t="s">
        <v>1153</v>
      </c>
      <c r="B1286" s="16" t="s">
        <v>1154</v>
      </c>
      <c r="C1286" s="21"/>
      <c r="D1286" s="21" t="s">
        <v>17</v>
      </c>
      <c r="E1286" s="21"/>
      <c r="F1286" s="21">
        <f>C1286*E1286</f>
      </c>
    </row>
    <row r="1287">
      <c r="A1287" s="4" t="s">
        <v>1155</v>
      </c>
      <c r="B1287" s="16" t="s">
        <v>1156</v>
      </c>
      <c r="C1287" s="21"/>
      <c r="D1287" s="21" t="s">
        <v>17</v>
      </c>
      <c r="E1287" s="21"/>
      <c r="F1287" s="21">
        <f>C1287*E1287</f>
      </c>
    </row>
    <row r="1288">
      <c r="A1288" s="4" t="s">
        <v>1157</v>
      </c>
      <c r="B1288" s="16" t="s">
        <v>1158</v>
      </c>
      <c r="C1288" s="21"/>
      <c r="D1288" s="21" t="s">
        <v>17</v>
      </c>
      <c r="E1288" s="21"/>
      <c r="F1288" s="21">
        <f>C1288*E1288</f>
      </c>
    </row>
    <row r="1289">
      <c r="A1289" s="4" t="s">
        <v>1159</v>
      </c>
      <c r="B1289" s="16" t="s">
        <v>1139</v>
      </c>
      <c r="C1289" s="21"/>
      <c r="D1289" s="21" t="s">
        <v>17</v>
      </c>
      <c r="E1289" s="21"/>
      <c r="F1289" s="21">
        <f>C1289*E1289</f>
      </c>
    </row>
    <row r="1290">
      <c r="A1290" s="6"/>
      <c r="B1290" s="15" t="s">
        <v>1160</v>
      </c>
      <c r="C1290" s="23"/>
      <c r="D1290" s="23"/>
      <c r="E1290" s="23"/>
      <c r="F1290" s="23"/>
    </row>
    <row r="1291">
      <c r="A1291" s="4" t="s">
        <v>1161</v>
      </c>
      <c r="B1291" s="16" t="s">
        <v>820</v>
      </c>
      <c r="C1291" s="21"/>
      <c r="D1291" s="21" t="s">
        <v>17</v>
      </c>
      <c r="E1291" s="21"/>
      <c r="F1291" s="21">
        <f>C1291*E1291</f>
      </c>
    </row>
    <row r="1292">
      <c r="A1292" s="4" t="s">
        <v>1162</v>
      </c>
      <c r="B1292" s="16" t="s">
        <v>1067</v>
      </c>
      <c r="C1292" s="21"/>
      <c r="D1292" s="21" t="s">
        <v>17</v>
      </c>
      <c r="E1292" s="21"/>
      <c r="F1292" s="21">
        <f>C1292*E1292</f>
      </c>
    </row>
    <row r="1293">
      <c r="A1293" s="4" t="s">
        <v>1163</v>
      </c>
      <c r="B1293" s="16" t="s">
        <v>818</v>
      </c>
      <c r="C1293" s="21"/>
      <c r="D1293" s="21" t="s">
        <v>17</v>
      </c>
      <c r="E1293" s="21"/>
      <c r="F1293" s="21">
        <f>C1293*E1293</f>
      </c>
    </row>
    <row r="1294">
      <c r="A1294" s="3"/>
      <c r="B1294" s="11" t="s">
        <v>42</v>
      </c>
      <c r="C1294" s="20"/>
      <c r="D1294" s="20"/>
      <c r="E1294" s="20"/>
      <c r="F1294" s="20"/>
    </row>
    <row r="1295">
      <c r="A1295" s="4" t="s">
        <v>1164</v>
      </c>
      <c r="B1295" s="12" t="s">
        <v>59</v>
      </c>
      <c r="C1295" s="21">
        <f>(1)*(1)*(1)*(1)*(1 + (0))</f>
      </c>
      <c r="D1295" s="21" t="s">
        <v>45</v>
      </c>
      <c r="E1295" s="21"/>
      <c r="F1295" s="21">
        <f>C1295*E1295</f>
      </c>
    </row>
    <row r="1296">
      <c r="A1296" s="4" t="s">
        <v>1165</v>
      </c>
      <c r="B1296" s="12" t="s">
        <v>1166</v>
      </c>
      <c r="C1296" s="21">
        <f>(1)*(1)*(1)*(1)*(1 + (0))</f>
      </c>
      <c r="D1296" s="21" t="s">
        <v>45</v>
      </c>
      <c r="E1296" s="21"/>
      <c r="F1296" s="21">
        <f>C1296*E1296</f>
      </c>
    </row>
    <row r="1297">
      <c r="A1297" s="4" t="s">
        <v>1167</v>
      </c>
      <c r="B1297" s="12" t="s">
        <v>1019</v>
      </c>
      <c r="C1297" s="21">
        <f>(1)*(1)*(1)*(1)*(1 + (0))</f>
      </c>
      <c r="D1297" s="21" t="s">
        <v>45</v>
      </c>
      <c r="E1297" s="21"/>
      <c r="F1297" s="21">
        <f>C1297*E1297</f>
      </c>
    </row>
    <row r="1298">
      <c r="A1298" s="4" t="s">
        <v>1168</v>
      </c>
      <c r="B1298" s="12" t="s">
        <v>1169</v>
      </c>
      <c r="C1298" s="21">
        <f>(1)*(1)*(1)*(1)*(1 + (0))</f>
      </c>
      <c r="D1298" s="21" t="s">
        <v>45</v>
      </c>
      <c r="E1298" s="21"/>
      <c r="F1298" s="21">
        <f>C1298*E1298</f>
      </c>
    </row>
    <row r="1299">
      <c r="A1299" s="4" t="s">
        <v>1170</v>
      </c>
      <c r="B1299" s="12" t="s">
        <v>61</v>
      </c>
      <c r="C1299" s="21">
        <f>(1)*(1)*(1)*(1)*(1 + (0))</f>
      </c>
      <c r="D1299" s="21" t="s">
        <v>45</v>
      </c>
      <c r="E1299" s="21"/>
      <c r="F1299" s="21">
        <f>C1299*E1299</f>
      </c>
    </row>
    <row r="1300">
      <c r="A1300" s="4" t="s">
        <v>1171</v>
      </c>
      <c r="B1300" s="12" t="s">
        <v>1172</v>
      </c>
      <c r="C1300" s="21">
        <f>(1)*(1)*(1)*(1)*(1 + (0))</f>
      </c>
      <c r="D1300" s="21" t="s">
        <v>45</v>
      </c>
      <c r="E1300" s="21"/>
      <c r="F1300" s="21">
        <f>C1300*E1300</f>
      </c>
    </row>
    <row r="1301">
      <c r="A1301" s="4" t="s">
        <v>1173</v>
      </c>
      <c r="B1301" s="12" t="s">
        <v>605</v>
      </c>
      <c r="C1301" s="21">
        <f>(1)*(1)*(1)*(1)*(1 + (0))</f>
      </c>
      <c r="D1301" s="21" t="s">
        <v>45</v>
      </c>
      <c r="E1301" s="21"/>
      <c r="F1301" s="21">
        <f>C1301*E1301</f>
      </c>
    </row>
    <row r="1302">
      <c r="A1302" s="4" t="s">
        <v>1174</v>
      </c>
      <c r="B1302" s="12" t="s">
        <v>251</v>
      </c>
      <c r="C1302" s="21">
        <f>(1)*(1)*(1)*(1)*(1 + (0))</f>
      </c>
      <c r="D1302" s="21" t="s">
        <v>45</v>
      </c>
      <c r="E1302" s="21"/>
      <c r="F1302" s="21">
        <f>C1302*E1302</f>
      </c>
    </row>
    <row r="1303">
      <c r="A1303" s="4" t="s">
        <v>1175</v>
      </c>
      <c r="B1303" s="12" t="s">
        <v>1176</v>
      </c>
      <c r="C1303" s="21">
        <f>(1)*(1)*(1)*(1)*(1 + (0))</f>
      </c>
      <c r="D1303" s="21" t="s">
        <v>45</v>
      </c>
      <c r="E1303" s="21"/>
      <c r="F1303" s="21">
        <f>C1303*E1303</f>
      </c>
    </row>
    <row r="1304">
      <c r="A1304" s="4" t="s">
        <v>1177</v>
      </c>
      <c r="B1304" s="12" t="s">
        <v>1178</v>
      </c>
      <c r="C1304" s="21">
        <f>(1)*(1)*(1)*(1)*(1 + (0))</f>
      </c>
      <c r="D1304" s="21" t="s">
        <v>45</v>
      </c>
      <c r="E1304" s="21"/>
      <c r="F1304" s="21">
        <f>C1304*E1304</f>
      </c>
    </row>
    <row r="1305">
      <c r="A1305" s="4" t="s">
        <v>1179</v>
      </c>
      <c r="B1305" s="12" t="s">
        <v>894</v>
      </c>
      <c r="C1305" s="21">
        <f>(1)*(1)*(1)*(1)*(1 + (0))</f>
      </c>
      <c r="D1305" s="21" t="s">
        <v>45</v>
      </c>
      <c r="E1305" s="21"/>
      <c r="F1305" s="21">
        <f>C1305*E1305</f>
      </c>
    </row>
    <row r="1306">
      <c r="A1306" s="4" t="s">
        <v>1180</v>
      </c>
      <c r="B1306" s="12" t="s">
        <v>1181</v>
      </c>
      <c r="C1306" s="21">
        <f>(1)*(1)*(1)*(1)*(1 + (0))</f>
      </c>
      <c r="D1306" s="21" t="s">
        <v>45</v>
      </c>
      <c r="E1306" s="21"/>
      <c r="F1306" s="21">
        <f>C1306*E1306</f>
      </c>
    </row>
    <row r="1307">
      <c r="A1307" s="4" t="s">
        <v>1182</v>
      </c>
      <c r="B1307" s="12" t="s">
        <v>1183</v>
      </c>
      <c r="C1307" s="21">
        <f>(1)*(1)*(1)*(1)*(1 + (0))</f>
      </c>
      <c r="D1307" s="21" t="s">
        <v>45</v>
      </c>
      <c r="E1307" s="21"/>
      <c r="F1307" s="21">
        <f>C1307*E1307</f>
      </c>
    </row>
    <row r="1308">
      <c r="A1308" s="4" t="s">
        <v>1184</v>
      </c>
      <c r="B1308" s="12" t="s">
        <v>834</v>
      </c>
      <c r="C1308" s="21">
        <f>(1)*(1)*(1)*(1)*(1 + (0))</f>
      </c>
      <c r="D1308" s="21" t="s">
        <v>45</v>
      </c>
      <c r="E1308" s="21"/>
      <c r="F1308" s="21">
        <f>C1308*E1308</f>
      </c>
    </row>
    <row r="1309">
      <c r="A1309" s="3"/>
      <c r="B1309" s="11" t="s">
        <v>1185</v>
      </c>
      <c r="C1309" s="20"/>
      <c r="D1309" s="20"/>
      <c r="E1309" s="20"/>
      <c r="F1309" s="20"/>
    </row>
    <row r="1310">
      <c r="A1310" s="5"/>
      <c r="B1310" s="13" t="s">
        <v>1186</v>
      </c>
      <c r="C1310" s="22"/>
      <c r="D1310" s="22"/>
      <c r="E1310" s="22"/>
      <c r="F1310" s="22"/>
    </row>
    <row r="1311">
      <c r="A1311" s="4"/>
      <c r="B1311" s="14" t="s">
        <v>841</v>
      </c>
      <c r="C1311" s="21">
        <f>(57)*(1)*(1)*(1)*(1 + (0))</f>
      </c>
      <c r="D1311" s="21" t="s">
        <v>9</v>
      </c>
      <c r="E1311" s="21"/>
      <c r="F1311" s="21">
        <f>C1311*E1311</f>
      </c>
    </row>
    <row r="1312">
      <c r="A1312" s="5"/>
      <c r="B1312" s="13" t="s">
        <v>1187</v>
      </c>
      <c r="C1312" s="22"/>
      <c r="D1312" s="22"/>
      <c r="E1312" s="22"/>
      <c r="F1312" s="22"/>
    </row>
    <row r="1313">
      <c r="A1313" s="4"/>
      <c r="B1313" s="14" t="s">
        <v>1188</v>
      </c>
      <c r="C1313" s="21">
        <f>(231)*(1)*(1)*(1)*(1 + (0))</f>
      </c>
      <c r="D1313" s="21" t="s">
        <v>9</v>
      </c>
      <c r="E1313" s="21"/>
      <c r="F1313" s="21">
        <f>C1313*E1313</f>
      </c>
    </row>
    <row r="1314">
      <c r="A1314" s="4"/>
      <c r="B1314" s="14" t="s">
        <v>841</v>
      </c>
      <c r="C1314" s="21">
        <f>(133)*(1)*(1)*(1)*(1 + (0))</f>
      </c>
      <c r="D1314" s="21" t="s">
        <v>9</v>
      </c>
      <c r="E1314" s="21"/>
      <c r="F1314" s="21">
        <f>C1314*E1314</f>
      </c>
    </row>
    <row r="1315">
      <c r="A1315" s="5"/>
      <c r="B1315" s="13" t="s">
        <v>1189</v>
      </c>
      <c r="C1315" s="22"/>
      <c r="D1315" s="22"/>
      <c r="E1315" s="22"/>
      <c r="F1315" s="22"/>
    </row>
    <row r="1316">
      <c r="A1316" s="4"/>
      <c r="B1316" s="14" t="s">
        <v>1188</v>
      </c>
      <c r="C1316" s="21">
        <f>(540)*(1)*(1)*(1)*(1 + (0))</f>
      </c>
      <c r="D1316" s="21" t="s">
        <v>9</v>
      </c>
      <c r="E1316" s="21"/>
      <c r="F1316" s="21">
        <f>C1316*E1316</f>
      </c>
    </row>
    <row r="1317">
      <c r="A1317" s="4"/>
      <c r="B1317" s="14" t="s">
        <v>841</v>
      </c>
      <c r="C1317" s="21">
        <f>(329)*(1)*(1)*(1)*(1 + (0))</f>
      </c>
      <c r="D1317" s="21" t="s">
        <v>9</v>
      </c>
      <c r="E1317" s="21"/>
      <c r="F1317" s="21">
        <f>C1317*E1317</f>
      </c>
    </row>
    <row r="1318">
      <c r="A1318" s="3"/>
      <c r="B1318" s="11" t="s">
        <v>1190</v>
      </c>
      <c r="C1318" s="20"/>
      <c r="D1318" s="20"/>
      <c r="E1318" s="20"/>
      <c r="F1318" s="20"/>
    </row>
    <row r="1319">
      <c r="A1319" s="5"/>
      <c r="B1319" s="13" t="s">
        <v>1191</v>
      </c>
      <c r="C1319" s="22"/>
      <c r="D1319" s="22"/>
      <c r="E1319" s="22"/>
      <c r="F1319" s="22"/>
    </row>
    <row r="1320">
      <c r="A1320" s="4"/>
      <c r="B1320" s="14" t="s">
        <v>1029</v>
      </c>
      <c r="C1320" s="21">
        <f>(6)*(1)*(1)*(1)*(1 + (0))</f>
      </c>
      <c r="D1320" s="21" t="s">
        <v>170</v>
      </c>
      <c r="E1320" s="21"/>
      <c r="F1320" s="21">
        <f>C1320*E1320</f>
      </c>
    </row>
    <row r="1321">
      <c r="A1321" s="5"/>
      <c r="B1321" s="13" t="s">
        <v>1192</v>
      </c>
      <c r="C1321" s="22"/>
      <c r="D1321" s="22"/>
      <c r="E1321" s="22"/>
      <c r="F1321" s="22"/>
    </row>
    <row r="1322">
      <c r="A1322" s="4"/>
      <c r="B1322" s="14" t="s">
        <v>1024</v>
      </c>
      <c r="C1322" s="21">
        <f>(1)*(1)*(1)*(1)*(1 + (0))</f>
      </c>
      <c r="D1322" s="21" t="s">
        <v>170</v>
      </c>
      <c r="E1322" s="21"/>
      <c r="F1322" s="21">
        <f>C1322*E1322</f>
      </c>
    </row>
    <row r="1323">
      <c r="A1323" s="5"/>
      <c r="B1323" s="13" t="s">
        <v>1193</v>
      </c>
      <c r="C1323" s="22"/>
      <c r="D1323" s="22"/>
      <c r="E1323" s="22"/>
      <c r="F1323" s="22"/>
    </row>
    <row r="1324">
      <c r="A1324" s="4"/>
      <c r="B1324" s="14" t="s">
        <v>1029</v>
      </c>
      <c r="C1324" s="21">
        <f>(1)*(1)*(1)*(1)*(1 + (0))</f>
      </c>
      <c r="D1324" s="21" t="s">
        <v>170</v>
      </c>
      <c r="E1324" s="21"/>
      <c r="F1324" s="21">
        <f>C1324*E1324</f>
      </c>
    </row>
    <row r="1325">
      <c r="A1325" s="5"/>
      <c r="B1325" s="13" t="s">
        <v>1194</v>
      </c>
      <c r="C1325" s="22"/>
      <c r="D1325" s="22"/>
      <c r="E1325" s="22"/>
      <c r="F1325" s="22"/>
    </row>
    <row r="1326">
      <c r="A1326" s="4"/>
      <c r="B1326" s="14" t="s">
        <v>1029</v>
      </c>
      <c r="C1326" s="21">
        <f>(6)*(1)*(1)*(1)*(1 + (0))</f>
      </c>
      <c r="D1326" s="21" t="s">
        <v>170</v>
      </c>
      <c r="E1326" s="21"/>
      <c r="F1326" s="21">
        <f>C1326*E1326</f>
      </c>
    </row>
    <row r="1327">
      <c r="A1327" s="5"/>
      <c r="B1327" s="13" t="s">
        <v>1195</v>
      </c>
      <c r="C1327" s="22"/>
      <c r="D1327" s="22"/>
      <c r="E1327" s="22"/>
      <c r="F1327" s="22"/>
    </row>
    <row r="1328">
      <c r="A1328" s="4"/>
      <c r="B1328" s="14" t="s">
        <v>1029</v>
      </c>
      <c r="C1328" s="21">
        <f>(1)*(1)*(1)*(1)*(1 + (0))</f>
      </c>
      <c r="D1328" s="21" t="s">
        <v>170</v>
      </c>
      <c r="E1328" s="21"/>
      <c r="F1328" s="21">
        <f>C1328*E1328</f>
      </c>
    </row>
    <row r="1329">
      <c r="A1329" s="5"/>
      <c r="B1329" s="13" t="s">
        <v>1196</v>
      </c>
      <c r="C1329" s="22"/>
      <c r="D1329" s="22"/>
      <c r="E1329" s="22"/>
      <c r="F1329" s="22"/>
    </row>
    <row r="1330">
      <c r="A1330" s="4"/>
      <c r="B1330" s="14" t="s">
        <v>1029</v>
      </c>
      <c r="C1330" s="21">
        <f>(4)*(1)*(1)*(1)*(1 + (0))</f>
      </c>
      <c r="D1330" s="21" t="s">
        <v>170</v>
      </c>
      <c r="E1330" s="21"/>
      <c r="F1330" s="21">
        <f>C1330*E1330</f>
      </c>
    </row>
    <row r="1331">
      <c r="A1331" s="5"/>
      <c r="B1331" s="13" t="s">
        <v>1197</v>
      </c>
      <c r="C1331" s="22"/>
      <c r="D1331" s="22"/>
      <c r="E1331" s="22"/>
      <c r="F1331" s="22"/>
    </row>
    <row r="1332">
      <c r="A1332" s="4"/>
      <c r="B1332" s="14" t="s">
        <v>1029</v>
      </c>
      <c r="C1332" s="21">
        <f>(1)*(1)*(1)*(1)*(1 + (0))</f>
      </c>
      <c r="D1332" s="21" t="s">
        <v>170</v>
      </c>
      <c r="E1332" s="21"/>
      <c r="F1332" s="21">
        <f>C1332*E1332</f>
      </c>
    </row>
    <row r="1333">
      <c r="A1333" s="2"/>
      <c r="B1333" s="10" t="s">
        <v>1198</v>
      </c>
      <c r="C1333" s="19"/>
      <c r="D1333" s="19"/>
      <c r="E1333" s="19"/>
      <c r="F1333" s="19"/>
    </row>
    <row r="1334">
      <c r="A1334" s="3"/>
      <c r="B1334" s="11" t="s">
        <v>22</v>
      </c>
      <c r="C1334" s="20"/>
      <c r="D1334" s="20"/>
      <c r="E1334" s="20"/>
      <c r="F1334" s="20"/>
    </row>
    <row r="1335">
      <c r="A1335" s="4"/>
      <c r="B1335" s="12" t="s">
        <v>1199</v>
      </c>
      <c r="C1335" s="21"/>
      <c r="D1335" s="21" t="s">
        <v>17</v>
      </c>
      <c r="E1335" s="21"/>
      <c r="F1335" s="21">
        <f>C1335*E1335</f>
      </c>
    </row>
    <row r="1336">
      <c r="A1336" s="4"/>
      <c r="B1336" s="12" t="s">
        <v>1200</v>
      </c>
      <c r="C1336" s="21"/>
      <c r="D1336" s="21" t="s">
        <v>17</v>
      </c>
      <c r="E1336" s="21"/>
      <c r="F1336" s="21">
        <f>C1336*E1336</f>
      </c>
    </row>
    <row r="1337">
      <c r="A1337" s="3"/>
      <c r="B1337" s="11" t="s">
        <v>14</v>
      </c>
      <c r="C1337" s="20"/>
      <c r="D1337" s="20"/>
      <c r="E1337" s="20"/>
      <c r="F1337" s="20"/>
    </row>
    <row r="1338">
      <c r="A1338" s="4" t="s">
        <v>1201</v>
      </c>
      <c r="B1338" s="12" t="s">
        <v>16</v>
      </c>
      <c r="C1338" s="21"/>
      <c r="D1338" s="21" t="s">
        <v>17</v>
      </c>
      <c r="E1338" s="21"/>
      <c r="F1338" s="21">
        <f>C1338*E1338</f>
      </c>
    </row>
    <row r="1339">
      <c r="A1339" s="4" t="s">
        <v>1202</v>
      </c>
      <c r="B1339" s="12" t="s">
        <v>19</v>
      </c>
      <c r="C1339" s="21"/>
      <c r="D1339" s="21" t="s">
        <v>17</v>
      </c>
      <c r="E1339" s="21"/>
      <c r="F1339" s="21">
        <f>C1339*E1339</f>
      </c>
    </row>
    <row r="1340">
      <c r="A1340" s="3"/>
      <c r="B1340" s="11" t="s">
        <v>24</v>
      </c>
      <c r="C1340" s="20"/>
      <c r="D1340" s="20"/>
      <c r="E1340" s="20"/>
      <c r="F1340" s="20"/>
    </row>
    <row r="1341">
      <c r="A1341" s="5"/>
      <c r="B1341" s="13" t="s">
        <v>25</v>
      </c>
      <c r="C1341" s="22"/>
      <c r="D1341" s="22"/>
      <c r="E1341" s="22"/>
      <c r="F1341" s="22"/>
    </row>
    <row r="1342">
      <c r="A1342" s="4" t="s">
        <v>1203</v>
      </c>
      <c r="B1342" s="14" t="s">
        <v>1204</v>
      </c>
      <c r="C1342" s="21"/>
      <c r="D1342" s="21" t="s">
        <v>17</v>
      </c>
      <c r="E1342" s="21"/>
      <c r="F1342" s="21">
        <f>C1342*E1342</f>
      </c>
    </row>
    <row r="1343">
      <c r="A1343" s="4" t="s">
        <v>1205</v>
      </c>
      <c r="B1343" s="14" t="s">
        <v>619</v>
      </c>
      <c r="C1343" s="21"/>
      <c r="D1343" s="21" t="s">
        <v>17</v>
      </c>
      <c r="E1343" s="21"/>
      <c r="F1343" s="21">
        <f>C1343*E1343</f>
      </c>
    </row>
    <row r="1344">
      <c r="A1344" s="4" t="s">
        <v>1206</v>
      </c>
      <c r="B1344" s="14" t="s">
        <v>1207</v>
      </c>
      <c r="C1344" s="21"/>
      <c r="D1344" s="21" t="s">
        <v>17</v>
      </c>
      <c r="E1344" s="21"/>
      <c r="F1344" s="21">
        <f>C1344*E1344</f>
      </c>
    </row>
    <row r="1345">
      <c r="A1345" s="4" t="s">
        <v>1208</v>
      </c>
      <c r="B1345" s="14" t="s">
        <v>1209</v>
      </c>
      <c r="C1345" s="21"/>
      <c r="D1345" s="21" t="s">
        <v>17</v>
      </c>
      <c r="E1345" s="21"/>
      <c r="F1345" s="21">
        <f>C1345*E1345</f>
      </c>
    </row>
    <row r="1346">
      <c r="A1346" s="4" t="s">
        <v>1210</v>
      </c>
      <c r="B1346" s="14" t="s">
        <v>1211</v>
      </c>
      <c r="C1346" s="21"/>
      <c r="D1346" s="21" t="s">
        <v>17</v>
      </c>
      <c r="E1346" s="21"/>
      <c r="F1346" s="21">
        <f>C1346*E1346</f>
      </c>
    </row>
    <row r="1347">
      <c r="A1347" s="4" t="s">
        <v>1212</v>
      </c>
      <c r="B1347" s="14" t="s">
        <v>1213</v>
      </c>
      <c r="C1347" s="21"/>
      <c r="D1347" s="21" t="s">
        <v>17</v>
      </c>
      <c r="E1347" s="21"/>
      <c r="F1347" s="21">
        <f>C1347*E1347</f>
      </c>
    </row>
    <row r="1348">
      <c r="A1348" s="4" t="s">
        <v>1214</v>
      </c>
      <c r="B1348" s="14" t="s">
        <v>1215</v>
      </c>
      <c r="C1348" s="21"/>
      <c r="D1348" s="21" t="s">
        <v>17</v>
      </c>
      <c r="E1348" s="21"/>
      <c r="F1348" s="21">
        <f>C1348*E1348</f>
      </c>
    </row>
    <row r="1349">
      <c r="A1349" s="4" t="s">
        <v>1216</v>
      </c>
      <c r="B1349" s="14" t="s">
        <v>1217</v>
      </c>
      <c r="C1349" s="21"/>
      <c r="D1349" s="21" t="s">
        <v>17</v>
      </c>
      <c r="E1349" s="21"/>
      <c r="F1349" s="21">
        <f>C1349*E1349</f>
      </c>
    </row>
    <row r="1350">
      <c r="A1350" s="4" t="s">
        <v>1218</v>
      </c>
      <c r="B1350" s="14" t="s">
        <v>1219</v>
      </c>
      <c r="C1350" s="21"/>
      <c r="D1350" s="21" t="s">
        <v>17</v>
      </c>
      <c r="E1350" s="21"/>
      <c r="F1350" s="21">
        <f>C1350*E1350</f>
      </c>
    </row>
    <row r="1351">
      <c r="A1351" s="4" t="s">
        <v>1220</v>
      </c>
      <c r="B1351" s="14" t="s">
        <v>1221</v>
      </c>
      <c r="C1351" s="21"/>
      <c r="D1351" s="21" t="s">
        <v>17</v>
      </c>
      <c r="E1351" s="21"/>
      <c r="F1351" s="21">
        <f>C1351*E1351</f>
      </c>
    </row>
    <row r="1352">
      <c r="A1352" s="4" t="s">
        <v>1222</v>
      </c>
      <c r="B1352" s="14" t="s">
        <v>1223</v>
      </c>
      <c r="C1352" s="21"/>
      <c r="D1352" s="21" t="s">
        <v>17</v>
      </c>
      <c r="E1352" s="21"/>
      <c r="F1352" s="21">
        <f>C1352*E1352</f>
      </c>
    </row>
    <row r="1353">
      <c r="A1353" s="4" t="s">
        <v>1224</v>
      </c>
      <c r="B1353" s="14" t="s">
        <v>1011</v>
      </c>
      <c r="C1353" s="21"/>
      <c r="D1353" s="21" t="s">
        <v>17</v>
      </c>
      <c r="E1353" s="21"/>
      <c r="F1353" s="21">
        <f>C1353*E1353</f>
      </c>
    </row>
    <row r="1354">
      <c r="A1354" s="4" t="s">
        <v>1225</v>
      </c>
      <c r="B1354" s="14" t="s">
        <v>194</v>
      </c>
      <c r="C1354" s="21"/>
      <c r="D1354" s="21" t="s">
        <v>17</v>
      </c>
      <c r="E1354" s="21"/>
      <c r="F1354" s="21">
        <f>C1354*E1354</f>
      </c>
    </row>
    <row r="1355">
      <c r="A1355" s="3"/>
      <c r="B1355" s="11" t="s">
        <v>42</v>
      </c>
      <c r="C1355" s="20"/>
      <c r="D1355" s="20"/>
      <c r="E1355" s="20"/>
      <c r="F1355" s="20"/>
    </row>
    <row r="1356">
      <c r="A1356" s="4" t="s">
        <v>1226</v>
      </c>
      <c r="B1356" s="12" t="s">
        <v>1227</v>
      </c>
      <c r="C1356" s="21">
        <f>(1)*(1)*(1)*(1)*(1 + (0))</f>
      </c>
      <c r="D1356" s="21" t="s">
        <v>45</v>
      </c>
      <c r="E1356" s="21"/>
      <c r="F1356" s="21">
        <f>C1356*E1356</f>
      </c>
    </row>
    <row r="1357">
      <c r="A1357" s="4" t="s">
        <v>1228</v>
      </c>
      <c r="B1357" s="12" t="s">
        <v>207</v>
      </c>
      <c r="C1357" s="21">
        <f>(1)*(1)*(1)*(1)*(1 + (0))</f>
      </c>
      <c r="D1357" s="21" t="s">
        <v>45</v>
      </c>
      <c r="E1357" s="21"/>
      <c r="F1357" s="21">
        <f>C1357*E1357</f>
      </c>
    </row>
    <row r="1358">
      <c r="A1358" s="4" t="s">
        <v>1229</v>
      </c>
      <c r="B1358" s="12" t="s">
        <v>130</v>
      </c>
      <c r="C1358" s="21">
        <f>(1)*(1)*(1)*(1)*(1 + (0))</f>
      </c>
      <c r="D1358" s="21" t="s">
        <v>45</v>
      </c>
      <c r="E1358" s="21"/>
      <c r="F1358" s="21">
        <f>C1358*E1358</f>
      </c>
    </row>
    <row r="1359">
      <c r="A1359" s="4" t="s">
        <v>1230</v>
      </c>
      <c r="B1359" s="12" t="s">
        <v>59</v>
      </c>
      <c r="C1359" s="21">
        <f>(1)*(1)*(1)*(1)*(1 + (0))</f>
      </c>
      <c r="D1359" s="21" t="s">
        <v>45</v>
      </c>
      <c r="E1359" s="21"/>
      <c r="F1359" s="21">
        <f>C1359*E1359</f>
      </c>
    </row>
    <row r="1360">
      <c r="A1360" s="4" t="s">
        <v>1231</v>
      </c>
      <c r="B1360" s="12" t="s">
        <v>1232</v>
      </c>
      <c r="C1360" s="21">
        <f>(1)*(1)*(1)*(1)*(1 + (0))</f>
      </c>
      <c r="D1360" s="21" t="s">
        <v>45</v>
      </c>
      <c r="E1360" s="21"/>
      <c r="F1360" s="21">
        <f>C1360*E1360</f>
      </c>
    </row>
    <row r="1361">
      <c r="A1361" s="4" t="s">
        <v>1233</v>
      </c>
      <c r="B1361" s="12" t="s">
        <v>1183</v>
      </c>
      <c r="C1361" s="21">
        <f>(1)*(1)*(1)*(1)*(1 + (0))</f>
      </c>
      <c r="D1361" s="21" t="s">
        <v>45</v>
      </c>
      <c r="E1361" s="21"/>
      <c r="F1361" s="21">
        <f>C1361*E1361</f>
      </c>
    </row>
    <row r="1362">
      <c r="A1362" s="4" t="s">
        <v>1234</v>
      </c>
      <c r="B1362" s="12" t="s">
        <v>1019</v>
      </c>
      <c r="C1362" s="21">
        <f>(1)*(1)*(1)*(1)*(1 + (0))</f>
      </c>
      <c r="D1362" s="21" t="s">
        <v>45</v>
      </c>
      <c r="E1362" s="21"/>
      <c r="F1362" s="21">
        <f>C1362*E1362</f>
      </c>
    </row>
    <row r="1363">
      <c r="A1363" s="4" t="s">
        <v>1235</v>
      </c>
      <c r="B1363" s="12" t="s">
        <v>251</v>
      </c>
      <c r="C1363" s="21">
        <f>(1)*(1)*(1)*(1)*(1 + (0))</f>
      </c>
      <c r="D1363" s="21" t="s">
        <v>45</v>
      </c>
      <c r="E1363" s="21"/>
      <c r="F1363" s="21">
        <f>C1363*E1363</f>
      </c>
    </row>
    <row r="1364">
      <c r="A1364" s="4" t="s">
        <v>1236</v>
      </c>
      <c r="B1364" s="12" t="s">
        <v>832</v>
      </c>
      <c r="C1364" s="21">
        <f>(1)*(1)*(1)*(1)*(1 + (0))</f>
      </c>
      <c r="D1364" s="21" t="s">
        <v>45</v>
      </c>
      <c r="E1364" s="21"/>
      <c r="F1364" s="21">
        <f>C1364*E1364</f>
      </c>
    </row>
    <row r="1365">
      <c r="A1365" s="3"/>
      <c r="B1365" s="11" t="s">
        <v>1237</v>
      </c>
      <c r="C1365" s="20"/>
      <c r="D1365" s="20"/>
      <c r="E1365" s="20"/>
      <c r="F1365" s="20"/>
    </row>
    <row r="1366">
      <c r="A1366" s="5"/>
      <c r="B1366" s="13" t="s">
        <v>1238</v>
      </c>
      <c r="C1366" s="22"/>
      <c r="D1366" s="22"/>
      <c r="E1366" s="22"/>
      <c r="F1366" s="22"/>
    </row>
    <row r="1367">
      <c r="A1367" s="6"/>
      <c r="B1367" s="15" t="s">
        <v>1239</v>
      </c>
      <c r="C1367" s="23"/>
      <c r="D1367" s="23"/>
      <c r="E1367" s="23"/>
      <c r="F1367" s="23"/>
    </row>
    <row r="1368">
      <c r="A1368" s="4"/>
      <c r="B1368" s="16" t="s">
        <v>1240</v>
      </c>
      <c r="C1368" s="21">
        <f>(1)*(1)*(1)*(1)*(1 + (0))</f>
      </c>
      <c r="D1368" s="21" t="s">
        <v>170</v>
      </c>
      <c r="E1368" s="21"/>
      <c r="F1368" s="21">
        <f>C1368*E1368</f>
      </c>
    </row>
    <row r="1369">
      <c r="A1369" s="4"/>
      <c r="B1369" s="16" t="s">
        <v>1241</v>
      </c>
      <c r="C1369" s="21">
        <f>(1)*(1)*(1)*(1)*(1 + (0))</f>
      </c>
      <c r="D1369" s="21" t="s">
        <v>170</v>
      </c>
      <c r="E1369" s="21"/>
      <c r="F1369" s="21">
        <f>C1369*E1369</f>
      </c>
    </row>
    <row r="1370">
      <c r="A1370" s="6"/>
      <c r="B1370" s="15" t="s">
        <v>1242</v>
      </c>
      <c r="C1370" s="23"/>
      <c r="D1370" s="23"/>
      <c r="E1370" s="23"/>
      <c r="F1370" s="23"/>
    </row>
    <row r="1371">
      <c r="A1371" s="4"/>
      <c r="B1371" s="16" t="s">
        <v>1243</v>
      </c>
      <c r="C1371" s="21">
        <f>(1)*(1)*(1)*(1)*(1 + (0))</f>
      </c>
      <c r="D1371" s="21" t="s">
        <v>170</v>
      </c>
      <c r="E1371" s="21"/>
      <c r="F1371" s="21">
        <f>C1371*E1371</f>
      </c>
    </row>
    <row r="1372">
      <c r="A1372" s="6"/>
      <c r="B1372" s="15" t="s">
        <v>1244</v>
      </c>
      <c r="C1372" s="23"/>
      <c r="D1372" s="23"/>
      <c r="E1372" s="23"/>
      <c r="F1372" s="23"/>
    </row>
    <row r="1373">
      <c r="A1373" s="4"/>
      <c r="B1373" s="16" t="s">
        <v>1245</v>
      </c>
      <c r="C1373" s="21">
        <f>(1)*(1)*(1)*(1)*(1 + (0))</f>
      </c>
      <c r="D1373" s="21" t="s">
        <v>170</v>
      </c>
      <c r="E1373" s="21"/>
      <c r="F1373" s="21">
        <f>C1373*E1373</f>
      </c>
    </row>
    <row r="1374">
      <c r="A1374" s="4"/>
      <c r="B1374" s="16" t="s">
        <v>1246</v>
      </c>
      <c r="C1374" s="21">
        <f>(1)*(1)*(1)*(1)*(1 + (0))</f>
      </c>
      <c r="D1374" s="21" t="s">
        <v>170</v>
      </c>
      <c r="E1374" s="21"/>
      <c r="F1374" s="21">
        <f>C1374*E1374</f>
      </c>
    </row>
    <row r="1375">
      <c r="A1375" s="4"/>
      <c r="B1375" s="16" t="s">
        <v>1247</v>
      </c>
      <c r="C1375" s="21">
        <f>(1)*(1)*(1)*(1)*(1 + (0))</f>
      </c>
      <c r="D1375" s="21" t="s">
        <v>170</v>
      </c>
      <c r="E1375" s="21"/>
      <c r="F1375" s="21">
        <f>C1375*E1375</f>
      </c>
    </row>
    <row r="1376">
      <c r="A1376" s="4"/>
      <c r="B1376" s="16" t="s">
        <v>1248</v>
      </c>
      <c r="C1376" s="21">
        <f>(1)*(1)*(1)*(1)*(1 + (0))</f>
      </c>
      <c r="D1376" s="21" t="s">
        <v>170</v>
      </c>
      <c r="E1376" s="21"/>
      <c r="F1376" s="21">
        <f>C1376*E1376</f>
      </c>
    </row>
    <row r="1377">
      <c r="A1377" s="4"/>
      <c r="B1377" s="16" t="s">
        <v>1249</v>
      </c>
      <c r="C1377" s="21">
        <f>(2)*(1)*(1)*(1)*(1 + (0))</f>
      </c>
      <c r="D1377" s="21" t="s">
        <v>170</v>
      </c>
      <c r="E1377" s="21"/>
      <c r="F1377" s="21">
        <f>C1377*E1377</f>
      </c>
    </row>
    <row r="1378">
      <c r="A1378" s="4"/>
      <c r="B1378" s="16" t="s">
        <v>1250</v>
      </c>
      <c r="C1378" s="21">
        <f>(1)*(1)*(1)*(1)*(1 + (0))</f>
      </c>
      <c r="D1378" s="21" t="s">
        <v>170</v>
      </c>
      <c r="E1378" s="21"/>
      <c r="F1378" s="21">
        <f>C1378*E1378</f>
      </c>
    </row>
    <row r="1379">
      <c r="A1379" s="4"/>
      <c r="B1379" s="16" t="s">
        <v>1251</v>
      </c>
      <c r="C1379" s="21">
        <f>(1)*(1)*(1)*(1)*(1 + (0))</f>
      </c>
      <c r="D1379" s="21" t="s">
        <v>170</v>
      </c>
      <c r="E1379" s="21"/>
      <c r="F1379" s="21">
        <f>C1379*E1379</f>
      </c>
    </row>
    <row r="1380">
      <c r="A1380" s="6"/>
      <c r="B1380" s="15" t="s">
        <v>1252</v>
      </c>
      <c r="C1380" s="23"/>
      <c r="D1380" s="23"/>
      <c r="E1380" s="23"/>
      <c r="F1380" s="23"/>
    </row>
    <row r="1381">
      <c r="A1381" s="4"/>
      <c r="B1381" s="16" t="s">
        <v>1253</v>
      </c>
      <c r="C1381" s="21">
        <f>(5)*(1)*(1)*(1)*(1 + (0))</f>
      </c>
      <c r="D1381" s="21" t="s">
        <v>170</v>
      </c>
      <c r="E1381" s="21"/>
      <c r="F1381" s="21">
        <f>C1381*E1381</f>
      </c>
    </row>
    <row r="1382">
      <c r="A1382" s="6"/>
      <c r="B1382" s="15" t="s">
        <v>1254</v>
      </c>
      <c r="C1382" s="23"/>
      <c r="D1382" s="23"/>
      <c r="E1382" s="23"/>
      <c r="F1382" s="23"/>
    </row>
    <row r="1383">
      <c r="A1383" s="4"/>
      <c r="B1383" s="16" t="s">
        <v>1255</v>
      </c>
      <c r="C1383" s="21">
        <f>(1)*(1)*(1)*(1)*(1 + (0))</f>
      </c>
      <c r="D1383" s="21" t="s">
        <v>170</v>
      </c>
      <c r="E1383" s="21"/>
      <c r="F1383" s="21">
        <f>C1383*E1383</f>
      </c>
    </row>
    <row r="1384">
      <c r="A1384" s="4"/>
      <c r="B1384" s="16" t="s">
        <v>1256</v>
      </c>
      <c r="C1384" s="21">
        <f>(6)*(1)*(1)*(1)*(1 + (0))</f>
      </c>
      <c r="D1384" s="21" t="s">
        <v>170</v>
      </c>
      <c r="E1384" s="21"/>
      <c r="F1384" s="21">
        <f>C1384*E1384</f>
      </c>
    </row>
    <row r="1385">
      <c r="A1385" s="5"/>
      <c r="B1385" s="13" t="s">
        <v>1257</v>
      </c>
      <c r="C1385" s="22"/>
      <c r="D1385" s="22"/>
      <c r="E1385" s="22"/>
      <c r="F1385" s="22"/>
    </row>
    <row r="1386">
      <c r="A1386" s="6"/>
      <c r="B1386" s="15" t="s">
        <v>1254</v>
      </c>
      <c r="C1386" s="23"/>
      <c r="D1386" s="23"/>
      <c r="E1386" s="23"/>
      <c r="F1386" s="23"/>
    </row>
    <row r="1387">
      <c r="A1387" s="4"/>
      <c r="B1387" s="16" t="s">
        <v>1258</v>
      </c>
      <c r="C1387" s="21">
        <f>(4)*(1)*(1)*(1)*(1 + (0))</f>
      </c>
      <c r="D1387" s="21" t="s">
        <v>170</v>
      </c>
      <c r="E1387" s="21"/>
      <c r="F1387" s="21">
        <f>C1387*E1387</f>
      </c>
    </row>
    <row r="1388">
      <c r="A1388" s="4"/>
      <c r="B1388" s="16" t="s">
        <v>1259</v>
      </c>
      <c r="C1388" s="21">
        <f>(1)*(1)*(1)*(1)*(1 + (0))</f>
      </c>
      <c r="D1388" s="21" t="s">
        <v>170</v>
      </c>
      <c r="E1388" s="21"/>
      <c r="F1388" s="21">
        <f>C1388*E1388</f>
      </c>
    </row>
    <row r="1389">
      <c r="A1389" s="4"/>
      <c r="B1389" s="16" t="s">
        <v>1260</v>
      </c>
      <c r="C1389" s="21">
        <f>(1)*(1)*(1)*(1)*(1 + (0))</f>
      </c>
      <c r="D1389" s="21" t="s">
        <v>170</v>
      </c>
      <c r="E1389" s="21"/>
      <c r="F1389" s="21">
        <f>C1389*E1389</f>
      </c>
    </row>
    <row r="1390">
      <c r="A1390" s="4"/>
      <c r="B1390" s="16" t="s">
        <v>1261</v>
      </c>
      <c r="C1390" s="21">
        <f>(1)*(1)*(1)*(1)*(1 + (0))</f>
      </c>
      <c r="D1390" s="21" t="s">
        <v>170</v>
      </c>
      <c r="E1390" s="21"/>
      <c r="F1390" s="21">
        <f>C1390*E1390</f>
      </c>
    </row>
    <row r="1391">
      <c r="A1391" s="6"/>
      <c r="B1391" s="15" t="s">
        <v>1244</v>
      </c>
      <c r="C1391" s="23"/>
      <c r="D1391" s="23"/>
      <c r="E1391" s="23"/>
      <c r="F1391" s="23"/>
    </row>
    <row r="1392">
      <c r="A1392" s="4"/>
      <c r="B1392" s="16" t="s">
        <v>1251</v>
      </c>
      <c r="C1392" s="21">
        <f>(1)*(1)*(1)*(1)*(1 + (0))</f>
      </c>
      <c r="D1392" s="21" t="s">
        <v>170</v>
      </c>
      <c r="E1392" s="21"/>
      <c r="F1392" s="21">
        <f>C1392*E1392</f>
      </c>
    </row>
    <row r="1393">
      <c r="A1393" s="4"/>
      <c r="B1393" s="16" t="s">
        <v>1262</v>
      </c>
      <c r="C1393" s="21">
        <f>(3)*(1)*(1)*(1)*(1 + (0))</f>
      </c>
      <c r="D1393" s="21" t="s">
        <v>170</v>
      </c>
      <c r="E1393" s="21"/>
      <c r="F1393" s="21">
        <f>C1393*E1393</f>
      </c>
    </row>
    <row r="1394">
      <c r="A1394" s="4"/>
      <c r="B1394" s="16" t="s">
        <v>1263</v>
      </c>
      <c r="C1394" s="21">
        <f>(1)*(1)*(1)*(1)*(1 + (0))</f>
      </c>
      <c r="D1394" s="21" t="s">
        <v>170</v>
      </c>
      <c r="E1394" s="21"/>
      <c r="F1394" s="21">
        <f>C1394*E1394</f>
      </c>
    </row>
    <row r="1395">
      <c r="A1395" s="4"/>
      <c r="B1395" s="16" t="s">
        <v>1264</v>
      </c>
      <c r="C1395" s="21">
        <f>(1)*(1)*(1)*(1)*(1 + (0))</f>
      </c>
      <c r="D1395" s="21" t="s">
        <v>170</v>
      </c>
      <c r="E1395" s="21"/>
      <c r="F1395" s="21">
        <f>C1395*E1395</f>
      </c>
    </row>
    <row r="1396">
      <c r="A1396" s="4"/>
      <c r="B1396" s="16" t="s">
        <v>1265</v>
      </c>
      <c r="C1396" s="21">
        <f>(1)*(1)*(1)*(1)*(1 + (0))</f>
      </c>
      <c r="D1396" s="21" t="s">
        <v>170</v>
      </c>
      <c r="E1396" s="21"/>
      <c r="F1396" s="21">
        <f>C1396*E1396</f>
      </c>
    </row>
    <row r="1397">
      <c r="A1397" s="6"/>
      <c r="B1397" s="15" t="s">
        <v>1266</v>
      </c>
      <c r="C1397" s="23"/>
      <c r="D1397" s="23"/>
      <c r="E1397" s="23"/>
      <c r="F1397" s="23"/>
    </row>
    <row r="1398">
      <c r="A1398" s="4"/>
      <c r="B1398" s="16" t="s">
        <v>1267</v>
      </c>
      <c r="C1398" s="21">
        <f>(1)*(1)*(1)*(1)*(1 + (0))</f>
      </c>
      <c r="D1398" s="21" t="s">
        <v>170</v>
      </c>
      <c r="E1398" s="21"/>
      <c r="F1398" s="21">
        <f>C1398*E1398</f>
      </c>
    </row>
    <row r="1399">
      <c r="A1399" s="3"/>
      <c r="B1399" s="11" t="s">
        <v>1268</v>
      </c>
      <c r="C1399" s="20"/>
      <c r="D1399" s="20"/>
      <c r="E1399" s="20"/>
      <c r="F1399" s="20"/>
    </row>
    <row r="1400">
      <c r="A1400" s="5"/>
      <c r="B1400" s="13" t="s">
        <v>1238</v>
      </c>
      <c r="C1400" s="22"/>
      <c r="D1400" s="22"/>
      <c r="E1400" s="22"/>
      <c r="F1400" s="22"/>
    </row>
    <row r="1401">
      <c r="A1401" s="6"/>
      <c r="B1401" s="15" t="s">
        <v>1244</v>
      </c>
      <c r="C1401" s="23"/>
      <c r="D1401" s="23"/>
      <c r="E1401" s="23"/>
      <c r="F1401" s="23"/>
    </row>
    <row r="1402">
      <c r="A1402" s="4"/>
      <c r="B1402" s="16" t="s">
        <v>1269</v>
      </c>
      <c r="C1402" s="21">
        <f>(1)*(1)*(1)*(1)*(1 + (0))</f>
      </c>
      <c r="D1402" s="21" t="s">
        <v>170</v>
      </c>
      <c r="E1402" s="21"/>
      <c r="F1402" s="21">
        <f>C1402*E1402</f>
      </c>
    </row>
    <row r="1403">
      <c r="A1403" s="4"/>
      <c r="B1403" s="16" t="s">
        <v>1270</v>
      </c>
      <c r="C1403" s="21">
        <f>(2)*(1)*(1)*(1)*(1 + (0))</f>
      </c>
      <c r="D1403" s="21" t="s">
        <v>170</v>
      </c>
      <c r="E1403" s="21"/>
      <c r="F1403" s="21">
        <f>C1403*E1403</f>
      </c>
    </row>
    <row r="1404">
      <c r="A1404" s="6"/>
      <c r="B1404" s="15" t="s">
        <v>1242</v>
      </c>
      <c r="C1404" s="23"/>
      <c r="D1404" s="23"/>
      <c r="E1404" s="23"/>
      <c r="F1404" s="23"/>
    </row>
    <row r="1405">
      <c r="A1405" s="4"/>
      <c r="B1405" s="16" t="s">
        <v>1243</v>
      </c>
      <c r="C1405" s="21">
        <f>(2)*(1)*(1)*(1)*(1 + (0))</f>
      </c>
      <c r="D1405" s="21" t="s">
        <v>170</v>
      </c>
      <c r="E1405" s="21"/>
      <c r="F1405" s="21">
        <f>C1405*E1405</f>
      </c>
    </row>
    <row r="1406">
      <c r="A1406" s="5"/>
      <c r="B1406" s="13" t="s">
        <v>1257</v>
      </c>
      <c r="C1406" s="22"/>
      <c r="D1406" s="22"/>
      <c r="E1406" s="22"/>
      <c r="F1406" s="22"/>
    </row>
    <row r="1407">
      <c r="A1407" s="6"/>
      <c r="B1407" s="15" t="s">
        <v>1271</v>
      </c>
      <c r="C1407" s="23"/>
      <c r="D1407" s="23"/>
      <c r="E1407" s="23"/>
      <c r="F1407" s="23"/>
    </row>
    <row r="1408">
      <c r="A1408" s="4"/>
      <c r="B1408" s="16" t="s">
        <v>1272</v>
      </c>
      <c r="C1408" s="21">
        <f>(1)*(1)*(1)*(1)*(1 + (0))</f>
      </c>
      <c r="D1408" s="21" t="s">
        <v>170</v>
      </c>
      <c r="E1408" s="21"/>
      <c r="F1408" s="21">
        <f>C1408*E1408</f>
      </c>
    </row>
    <row r="1409">
      <c r="A1409" s="6"/>
      <c r="B1409" s="15" t="s">
        <v>1244</v>
      </c>
      <c r="C1409" s="23"/>
      <c r="D1409" s="23"/>
      <c r="E1409" s="23"/>
      <c r="F1409" s="23"/>
    </row>
    <row r="1410">
      <c r="A1410" s="4"/>
      <c r="B1410" s="16" t="s">
        <v>1251</v>
      </c>
      <c r="C1410" s="21">
        <f>(1)*(1)*(1)*(1)*(1 + (0))</f>
      </c>
      <c r="D1410" s="21" t="s">
        <v>170</v>
      </c>
      <c r="E1410" s="21"/>
      <c r="F1410" s="21">
        <f>C1410*E1410</f>
      </c>
    </row>
    <row r="1411">
      <c r="A1411" s="4"/>
      <c r="B1411" s="16" t="s">
        <v>1262</v>
      </c>
      <c r="C1411" s="21">
        <f>(3)*(1)*(1)*(1)*(1 + (0))</f>
      </c>
      <c r="D1411" s="21" t="s">
        <v>170</v>
      </c>
      <c r="E1411" s="21"/>
      <c r="F1411" s="21">
        <f>C1411*E1411</f>
      </c>
    </row>
    <row r="1412">
      <c r="A1412" s="4"/>
      <c r="B1412" s="16" t="s">
        <v>1273</v>
      </c>
      <c r="C1412" s="21">
        <f>(1)*(1)*(1)*(1)*(1 + (0))</f>
      </c>
      <c r="D1412" s="21" t="s">
        <v>170</v>
      </c>
      <c r="E1412" s="21"/>
      <c r="F1412" s="21">
        <f>C1412*E1412</f>
      </c>
    </row>
    <row r="1413">
      <c r="A1413" s="4"/>
      <c r="B1413" s="16" t="s">
        <v>1274</v>
      </c>
      <c r="C1413" s="21">
        <f>(1)*(1)*(1)*(1)*(1 + (0))</f>
      </c>
      <c r="D1413" s="21" t="s">
        <v>170</v>
      </c>
      <c r="E1413" s="21"/>
      <c r="F1413" s="21">
        <f>C1413*E1413</f>
      </c>
    </row>
    <row r="1414">
      <c r="A1414" s="4"/>
      <c r="B1414" s="16" t="s">
        <v>1275</v>
      </c>
      <c r="C1414" s="21">
        <f>(1)*(1)*(1)*(1)*(1 + (0))</f>
      </c>
      <c r="D1414" s="21" t="s">
        <v>170</v>
      </c>
      <c r="E1414" s="21"/>
      <c r="F1414" s="21">
        <f>C1414*E1414</f>
      </c>
    </row>
    <row r="1415">
      <c r="A1415" s="4"/>
      <c r="B1415" s="16" t="s">
        <v>1276</v>
      </c>
      <c r="C1415" s="21">
        <f>(1)*(1)*(1)*(1)*(1 + (0))</f>
      </c>
      <c r="D1415" s="21" t="s">
        <v>170</v>
      </c>
      <c r="E1415" s="21"/>
      <c r="F1415" s="21">
        <f>C1415*E1415</f>
      </c>
    </row>
    <row r="1416">
      <c r="A1416" s="4"/>
      <c r="B1416" s="16" t="s">
        <v>1277</v>
      </c>
      <c r="C1416" s="21">
        <f>(3)*(1)*(1)*(1)*(1 + (0))</f>
      </c>
      <c r="D1416" s="21" t="s">
        <v>170</v>
      </c>
      <c r="E1416" s="21"/>
      <c r="F1416" s="21">
        <f>C1416*E1416</f>
      </c>
    </row>
    <row r="1417">
      <c r="A1417" s="4"/>
      <c r="B1417" s="16" t="s">
        <v>1278</v>
      </c>
      <c r="C1417" s="21">
        <f>(1)*(1)*(1)*(1)*(1 + (0))</f>
      </c>
      <c r="D1417" s="21" t="s">
        <v>170</v>
      </c>
      <c r="E1417" s="21"/>
      <c r="F1417" s="21">
        <f>C1417*E1417</f>
      </c>
    </row>
    <row r="1418">
      <c r="A1418" s="4"/>
      <c r="B1418" s="16" t="s">
        <v>1279</v>
      </c>
      <c r="C1418" s="21">
        <f>(1)*(1)*(1)*(1)*(1 + (0))</f>
      </c>
      <c r="D1418" s="21" t="s">
        <v>170</v>
      </c>
      <c r="E1418" s="21"/>
      <c r="F1418" s="21">
        <f>C1418*E1418</f>
      </c>
    </row>
    <row r="1419">
      <c r="A1419" s="4"/>
      <c r="B1419" s="16" t="s">
        <v>1280</v>
      </c>
      <c r="C1419" s="21">
        <f>(1)*(1)*(1)*(1)*(1 + (0))</f>
      </c>
      <c r="D1419" s="21" t="s">
        <v>170</v>
      </c>
      <c r="E1419" s="21"/>
      <c r="F1419" s="21">
        <f>C1419*E1419</f>
      </c>
    </row>
    <row r="1420">
      <c r="A1420" s="4"/>
      <c r="B1420" s="16" t="s">
        <v>1281</v>
      </c>
      <c r="C1420" s="21">
        <f>(1)*(1)*(1)*(1)*(1 + (0))</f>
      </c>
      <c r="D1420" s="21" t="s">
        <v>170</v>
      </c>
      <c r="E1420" s="21"/>
      <c r="F1420" s="21">
        <f>C1420*E1420</f>
      </c>
    </row>
    <row r="1421">
      <c r="A1421" s="4"/>
      <c r="B1421" s="16" t="s">
        <v>1282</v>
      </c>
      <c r="C1421" s="21">
        <f>(1)*(1)*(1)*(1)*(1 + (0))</f>
      </c>
      <c r="D1421" s="21" t="s">
        <v>170</v>
      </c>
      <c r="E1421" s="21"/>
      <c r="F1421" s="21">
        <f>C1421*E1421</f>
      </c>
    </row>
    <row r="1422">
      <c r="A1422" s="4"/>
      <c r="B1422" s="16" t="s">
        <v>1283</v>
      </c>
      <c r="C1422" s="21">
        <f>(2)*(1)*(1)*(1)*(1 + (0))</f>
      </c>
      <c r="D1422" s="21" t="s">
        <v>170</v>
      </c>
      <c r="E1422" s="21"/>
      <c r="F1422" s="21">
        <f>C1422*E1422</f>
      </c>
    </row>
    <row r="1423">
      <c r="A1423" s="4"/>
      <c r="B1423" s="16" t="s">
        <v>1284</v>
      </c>
      <c r="C1423" s="21">
        <f>(1)*(1)*(1)*(1)*(1 + (0))</f>
      </c>
      <c r="D1423" s="21" t="s">
        <v>170</v>
      </c>
      <c r="E1423" s="21"/>
      <c r="F1423" s="21">
        <f>C1423*E1423</f>
      </c>
    </row>
    <row r="1424">
      <c r="A1424" s="6"/>
      <c r="B1424" s="15" t="s">
        <v>1239</v>
      </c>
      <c r="C1424" s="23"/>
      <c r="D1424" s="23"/>
      <c r="E1424" s="23"/>
      <c r="F1424" s="23"/>
    </row>
    <row r="1425">
      <c r="A1425" s="4"/>
      <c r="B1425" s="16" t="s">
        <v>1285</v>
      </c>
      <c r="C1425" s="21">
        <f>(14)*(1)*(1)*(1)*(1 + (0))</f>
      </c>
      <c r="D1425" s="21" t="s">
        <v>170</v>
      </c>
      <c r="E1425" s="21"/>
      <c r="F1425" s="21">
        <f>C1425*E1425</f>
      </c>
    </row>
    <row r="1426">
      <c r="A1426" s="3"/>
      <c r="B1426" s="11" t="s">
        <v>1286</v>
      </c>
      <c r="C1426" s="20"/>
      <c r="D1426" s="20"/>
      <c r="E1426" s="20"/>
      <c r="F1426" s="20"/>
    </row>
    <row r="1427">
      <c r="A1427" s="5"/>
      <c r="B1427" s="13" t="s">
        <v>1238</v>
      </c>
      <c r="C1427" s="22"/>
      <c r="D1427" s="22"/>
      <c r="E1427" s="22"/>
      <c r="F1427" s="22"/>
    </row>
    <row r="1428">
      <c r="A1428" s="4"/>
      <c r="B1428" s="14" t="s">
        <v>1287</v>
      </c>
      <c r="C1428" s="21">
        <f>(6)*(1)*(1)*(1)*(1 + (0))</f>
      </c>
      <c r="D1428" s="21" t="s">
        <v>170</v>
      </c>
      <c r="E1428" s="21"/>
      <c r="F1428" s="21">
        <f>C1428*E1428</f>
      </c>
    </row>
    <row r="1429">
      <c r="A1429" s="3"/>
      <c r="B1429" s="11" t="s">
        <v>1288</v>
      </c>
      <c r="C1429" s="20"/>
      <c r="D1429" s="20"/>
      <c r="E1429" s="20"/>
      <c r="F1429" s="20"/>
    </row>
    <row r="1430">
      <c r="A1430" s="5"/>
      <c r="B1430" s="13" t="s">
        <v>1238</v>
      </c>
      <c r="C1430" s="22"/>
      <c r="D1430" s="22"/>
      <c r="E1430" s="22"/>
      <c r="F1430" s="22"/>
    </row>
    <row r="1431">
      <c r="A1431" s="4"/>
      <c r="B1431" s="14" t="s">
        <v>1289</v>
      </c>
      <c r="C1431" s="21">
        <f>(19)*(1)*(1)*(1)*(1 + (0))</f>
      </c>
      <c r="D1431" s="21" t="s">
        <v>170</v>
      </c>
      <c r="E1431" s="21"/>
      <c r="F1431" s="21">
        <f>C1431*E1431</f>
      </c>
    </row>
    <row r="1432">
      <c r="A1432" s="4"/>
      <c r="B1432" s="14" t="s">
        <v>1287</v>
      </c>
      <c r="C1432" s="21">
        <f>(3)*(1)*(1)*(1)*(1 + (0))</f>
      </c>
      <c r="D1432" s="21" t="s">
        <v>170</v>
      </c>
      <c r="E1432" s="21"/>
      <c r="F1432" s="21">
        <f>C1432*E1432</f>
      </c>
    </row>
    <row r="1433">
      <c r="A1433" s="4"/>
      <c r="B1433" s="14" t="s">
        <v>1290</v>
      </c>
      <c r="C1433" s="21">
        <f>(2)*(1)*(1)*(1)*(1 + (0))</f>
      </c>
      <c r="D1433" s="21" t="s">
        <v>170</v>
      </c>
      <c r="E1433" s="21"/>
      <c r="F1433" s="21">
        <f>C1433*E1433</f>
      </c>
    </row>
    <row r="1434">
      <c r="A1434" s="5"/>
      <c r="B1434" s="13" t="s">
        <v>1257</v>
      </c>
      <c r="C1434" s="22"/>
      <c r="D1434" s="22"/>
      <c r="E1434" s="22"/>
      <c r="F1434" s="22"/>
    </row>
    <row r="1435">
      <c r="A1435" s="4"/>
      <c r="B1435" s="14" t="s">
        <v>1289</v>
      </c>
      <c r="C1435" s="21">
        <f>(5)*(1)*(1)*(1)*(1 + (0))</f>
      </c>
      <c r="D1435" s="21" t="s">
        <v>170</v>
      </c>
      <c r="E1435" s="21"/>
      <c r="F1435" s="21">
        <f>C1435*E1435</f>
      </c>
    </row>
    <row r="1436">
      <c r="A1436" s="3"/>
      <c r="B1436" s="11" t="s">
        <v>1291</v>
      </c>
      <c r="C1436" s="20"/>
      <c r="D1436" s="20"/>
      <c r="E1436" s="20"/>
      <c r="F1436" s="20"/>
    </row>
    <row r="1437">
      <c r="A1437" s="5"/>
      <c r="B1437" s="13" t="s">
        <v>1238</v>
      </c>
      <c r="C1437" s="22"/>
      <c r="D1437" s="22"/>
      <c r="E1437" s="22"/>
      <c r="F1437" s="22"/>
    </row>
    <row r="1438">
      <c r="A1438" s="4"/>
      <c r="B1438" s="14" t="s">
        <v>1292</v>
      </c>
      <c r="C1438" s="21">
        <f>(27)*(1)*(1)*(1)*(1 + (0))</f>
      </c>
      <c r="D1438" s="21" t="s">
        <v>9</v>
      </c>
      <c r="E1438" s="21"/>
      <c r="F1438" s="21">
        <f>C1438*E1438</f>
      </c>
    </row>
    <row r="1439">
      <c r="A1439" s="4"/>
      <c r="B1439" s="14" t="s">
        <v>1293</v>
      </c>
      <c r="C1439" s="21">
        <f>(6)*(1)*(1)*(1)*(1 + (0))</f>
      </c>
      <c r="D1439" s="21" t="s">
        <v>9</v>
      </c>
      <c r="E1439" s="21"/>
      <c r="F1439" s="21">
        <f>C1439*E1439</f>
      </c>
    </row>
    <row r="1440">
      <c r="A1440" s="5"/>
      <c r="B1440" s="13" t="s">
        <v>1257</v>
      </c>
      <c r="C1440" s="22"/>
      <c r="D1440" s="22"/>
      <c r="E1440" s="22"/>
      <c r="F1440" s="22"/>
    </row>
    <row r="1441">
      <c r="A1441" s="4"/>
      <c r="B1441" s="14" t="s">
        <v>1293</v>
      </c>
      <c r="C1441" s="21">
        <f>(8)*(1)*(1)*(1)*(1 + (0))</f>
      </c>
      <c r="D1441" s="21" t="s">
        <v>9</v>
      </c>
      <c r="E1441" s="21"/>
      <c r="F1441" s="21">
        <f>C1441*E1441</f>
      </c>
    </row>
    <row r="1442">
      <c r="A1442" s="2"/>
      <c r="B1442" s="10" t="s">
        <v>1294</v>
      </c>
      <c r="C1442" s="19"/>
      <c r="D1442" s="19"/>
      <c r="E1442" s="19"/>
      <c r="F1442" s="19"/>
    </row>
    <row r="1443">
      <c r="A1443" s="3"/>
      <c r="B1443" s="11" t="s">
        <v>14</v>
      </c>
      <c r="C1443" s="20"/>
      <c r="D1443" s="20"/>
      <c r="E1443" s="20"/>
      <c r="F1443" s="20"/>
    </row>
    <row r="1444">
      <c r="A1444" s="4" t="s">
        <v>1130</v>
      </c>
      <c r="B1444" s="12" t="s">
        <v>16</v>
      </c>
      <c r="C1444" s="21"/>
      <c r="D1444" s="21" t="s">
        <v>17</v>
      </c>
      <c r="E1444" s="21"/>
      <c r="F1444" s="21">
        <f>C1444*E1444</f>
      </c>
    </row>
    <row r="1445">
      <c r="A1445" s="4" t="s">
        <v>1132</v>
      </c>
      <c r="B1445" s="12" t="s">
        <v>19</v>
      </c>
      <c r="C1445" s="21"/>
      <c r="D1445" s="21" t="s">
        <v>17</v>
      </c>
      <c r="E1445" s="21"/>
      <c r="F1445" s="21">
        <f>C1445*E1445</f>
      </c>
    </row>
    <row r="1446">
      <c r="A1446" s="3"/>
      <c r="B1446" s="11" t="s">
        <v>22</v>
      </c>
      <c r="C1446" s="20"/>
      <c r="D1446" s="20"/>
      <c r="E1446" s="20"/>
      <c r="F1446" s="20"/>
    </row>
    <row r="1447">
      <c r="A1447" s="4"/>
      <c r="B1447" s="12" t="s">
        <v>1295</v>
      </c>
      <c r="C1447" s="21"/>
      <c r="D1447" s="21" t="s">
        <v>17</v>
      </c>
      <c r="E1447" s="21"/>
      <c r="F1447" s="21">
        <f>C1447*E1447</f>
      </c>
    </row>
    <row r="1448">
      <c r="A1448" s="4"/>
      <c r="B1448" s="12" t="s">
        <v>1296</v>
      </c>
      <c r="C1448" s="21"/>
      <c r="D1448" s="21" t="s">
        <v>17</v>
      </c>
      <c r="E1448" s="21"/>
      <c r="F1448" s="21">
        <f>C1448*E1448</f>
      </c>
    </row>
    <row r="1449">
      <c r="A1449" s="3"/>
      <c r="B1449" s="11" t="s">
        <v>24</v>
      </c>
      <c r="C1449" s="20"/>
      <c r="D1449" s="20"/>
      <c r="E1449" s="20"/>
      <c r="F1449" s="20"/>
    </row>
    <row r="1450">
      <c r="A1450" s="5"/>
      <c r="B1450" s="13" t="s">
        <v>25</v>
      </c>
      <c r="C1450" s="22"/>
      <c r="D1450" s="22"/>
      <c r="E1450" s="22"/>
      <c r="F1450" s="22"/>
    </row>
    <row r="1451">
      <c r="A1451" s="4" t="s">
        <v>1135</v>
      </c>
      <c r="B1451" s="14" t="s">
        <v>1297</v>
      </c>
      <c r="C1451" s="21"/>
      <c r="D1451" s="21" t="s">
        <v>17</v>
      </c>
      <c r="E1451" s="21"/>
      <c r="F1451" s="21">
        <f>C1451*E1451</f>
      </c>
    </row>
    <row r="1452">
      <c r="A1452" s="4" t="s">
        <v>1136</v>
      </c>
      <c r="B1452" s="14" t="s">
        <v>1298</v>
      </c>
      <c r="C1452" s="21"/>
      <c r="D1452" s="21" t="s">
        <v>17</v>
      </c>
      <c r="E1452" s="21"/>
      <c r="F1452" s="21">
        <f>C1452*E1452</f>
      </c>
    </row>
    <row r="1453">
      <c r="A1453" s="4" t="s">
        <v>1138</v>
      </c>
      <c r="B1453" s="14" t="s">
        <v>1137</v>
      </c>
      <c r="C1453" s="21"/>
      <c r="D1453" s="21" t="s">
        <v>17</v>
      </c>
      <c r="E1453" s="21"/>
      <c r="F1453" s="21">
        <f>C1453*E1453</f>
      </c>
    </row>
    <row r="1454">
      <c r="A1454" s="4" t="s">
        <v>1140</v>
      </c>
      <c r="B1454" s="14" t="s">
        <v>1299</v>
      </c>
      <c r="C1454" s="21"/>
      <c r="D1454" s="21" t="s">
        <v>17</v>
      </c>
      <c r="E1454" s="21"/>
      <c r="F1454" s="21">
        <f>C1454*E1454</f>
      </c>
    </row>
    <row r="1455">
      <c r="A1455" s="4" t="s">
        <v>1164</v>
      </c>
      <c r="B1455" s="14" t="s">
        <v>1300</v>
      </c>
      <c r="C1455" s="21"/>
      <c r="D1455" s="21" t="s">
        <v>17</v>
      </c>
      <c r="E1455" s="21"/>
      <c r="F1455" s="21">
        <f>C1455*E1455</f>
      </c>
    </row>
    <row r="1456">
      <c r="A1456" s="4" t="s">
        <v>1165</v>
      </c>
      <c r="B1456" s="14" t="s">
        <v>194</v>
      </c>
      <c r="C1456" s="21"/>
      <c r="D1456" s="21" t="s">
        <v>17</v>
      </c>
      <c r="E1456" s="21"/>
      <c r="F1456" s="21">
        <f>C1456*E1456</f>
      </c>
    </row>
    <row r="1457">
      <c r="A1457" s="3"/>
      <c r="B1457" s="11" t="s">
        <v>42</v>
      </c>
      <c r="C1457" s="20"/>
      <c r="D1457" s="20"/>
      <c r="E1457" s="20"/>
      <c r="F1457" s="20"/>
    </row>
    <row r="1458">
      <c r="A1458" s="4" t="s">
        <v>1167</v>
      </c>
      <c r="B1458" s="12" t="s">
        <v>1301</v>
      </c>
      <c r="C1458" s="21">
        <f>(1)*(1)*(1)*(1)*(1 + (0))</f>
      </c>
      <c r="D1458" s="21" t="s">
        <v>45</v>
      </c>
      <c r="E1458" s="21"/>
      <c r="F1458" s="21">
        <f>C1458*E1458</f>
      </c>
    </row>
    <row r="1459">
      <c r="A1459" s="4" t="s">
        <v>1168</v>
      </c>
      <c r="B1459" s="12" t="s">
        <v>1302</v>
      </c>
      <c r="C1459" s="21">
        <f>(1)*(1)*(1)*(1)*(1 + (0))</f>
      </c>
      <c r="D1459" s="21" t="s">
        <v>45</v>
      </c>
      <c r="E1459" s="21"/>
      <c r="F1459" s="21">
        <f>C1459*E1459</f>
      </c>
    </row>
    <row r="1460">
      <c r="A1460" s="4" t="s">
        <v>1170</v>
      </c>
      <c r="B1460" s="12" t="s">
        <v>130</v>
      </c>
      <c r="C1460" s="21">
        <f>(1)*(1)*(1)*(1)*(1 + (0))</f>
      </c>
      <c r="D1460" s="21" t="s">
        <v>45</v>
      </c>
      <c r="E1460" s="21"/>
      <c r="F1460" s="21">
        <f>C1460*E1460</f>
      </c>
    </row>
    <row r="1461">
      <c r="A1461" s="4" t="s">
        <v>1303</v>
      </c>
      <c r="B1461" s="12" t="s">
        <v>1304</v>
      </c>
      <c r="C1461" s="21">
        <f>(1)*(1)*(1)*(1)*(1 + (0))</f>
      </c>
      <c r="D1461" s="21" t="s">
        <v>45</v>
      </c>
      <c r="E1461" s="21"/>
      <c r="F1461" s="21">
        <f>C1461*E1461</f>
      </c>
    </row>
    <row r="1462">
      <c r="A1462" s="4" t="s">
        <v>1305</v>
      </c>
      <c r="B1462" s="12" t="s">
        <v>486</v>
      </c>
      <c r="C1462" s="21">
        <f>(1)*(1)*(1)*(1)*(1 + (0))</f>
      </c>
      <c r="D1462" s="21" t="s">
        <v>45</v>
      </c>
      <c r="E1462" s="21"/>
      <c r="F1462" s="21">
        <f>C1462*E1462</f>
      </c>
    </row>
    <row r="1463">
      <c r="A1463" s="4" t="s">
        <v>1306</v>
      </c>
      <c r="B1463" s="12" t="s">
        <v>1019</v>
      </c>
      <c r="C1463" s="21">
        <f>(1)*(1)*(1)*(1)*(1 + (0))</f>
      </c>
      <c r="D1463" s="21" t="s">
        <v>45</v>
      </c>
      <c r="E1463" s="21"/>
      <c r="F1463" s="21">
        <f>C1463*E1463</f>
      </c>
    </row>
    <row r="1464">
      <c r="A1464" s="4" t="s">
        <v>1307</v>
      </c>
      <c r="B1464" s="12" t="s">
        <v>1308</v>
      </c>
      <c r="C1464" s="21">
        <f>(1)*(1)*(1)*(1)*(1 + (0))</f>
      </c>
      <c r="D1464" s="21" t="s">
        <v>45</v>
      </c>
      <c r="E1464" s="21"/>
      <c r="F1464" s="21">
        <f>C1464*E1464</f>
      </c>
    </row>
    <row r="1465">
      <c r="A1465" s="4" t="s">
        <v>1309</v>
      </c>
      <c r="B1465" s="12" t="s">
        <v>1310</v>
      </c>
      <c r="C1465" s="21">
        <f>(1)*(1)*(1)*(1)*(1 + (0))</f>
      </c>
      <c r="D1465" s="21" t="s">
        <v>45</v>
      </c>
      <c r="E1465" s="21"/>
      <c r="F1465" s="21">
        <f>C1465*E1465</f>
      </c>
    </row>
    <row r="1466">
      <c r="A1466" s="4" t="s">
        <v>1311</v>
      </c>
      <c r="B1466" s="12" t="s">
        <v>1312</v>
      </c>
      <c r="C1466" s="21">
        <f>(1)*(1)*(1)*(1)*(1 + (0))</f>
      </c>
      <c r="D1466" s="21" t="s">
        <v>45</v>
      </c>
      <c r="E1466" s="21"/>
      <c r="F1466" s="21">
        <f>C1466*E1466</f>
      </c>
    </row>
    <row r="1467">
      <c r="A1467" s="4" t="s">
        <v>1313</v>
      </c>
      <c r="B1467" s="12" t="s">
        <v>1314</v>
      </c>
      <c r="C1467" s="21">
        <f>(1)*(1)*(1)*(1)*(1 + (0))</f>
      </c>
      <c r="D1467" s="21" t="s">
        <v>45</v>
      </c>
      <c r="E1467" s="21"/>
      <c r="F1467" s="21">
        <f>C1467*E1467</f>
      </c>
    </row>
    <row r="1468">
      <c r="A1468" s="4" t="s">
        <v>1315</v>
      </c>
      <c r="B1468" s="12" t="s">
        <v>832</v>
      </c>
      <c r="C1468" s="21">
        <f>(1)*(1)*(1)*(1)*(1 + (0))</f>
      </c>
      <c r="D1468" s="21" t="s">
        <v>45</v>
      </c>
      <c r="E1468" s="21"/>
      <c r="F1468" s="21">
        <f>C1468*E1468</f>
      </c>
    </row>
    <row r="1469">
      <c r="A1469" s="3"/>
      <c r="B1469" s="11" t="s">
        <v>1316</v>
      </c>
      <c r="C1469" s="20"/>
      <c r="D1469" s="20"/>
      <c r="E1469" s="20"/>
      <c r="F1469" s="20"/>
    </row>
    <row r="1470">
      <c r="A1470" s="5"/>
      <c r="B1470" s="13" t="s">
        <v>1238</v>
      </c>
      <c r="C1470" s="22"/>
      <c r="D1470" s="22"/>
      <c r="E1470" s="22"/>
      <c r="F1470" s="22"/>
    </row>
    <row r="1471">
      <c r="A1471" s="6"/>
      <c r="B1471" s="15" t="s">
        <v>1317</v>
      </c>
      <c r="C1471" s="23"/>
      <c r="D1471" s="23"/>
      <c r="E1471" s="23"/>
      <c r="F1471" s="23"/>
    </row>
    <row r="1472">
      <c r="A1472" s="4"/>
      <c r="B1472" s="16" t="s">
        <v>1318</v>
      </c>
      <c r="C1472" s="21">
        <f>(3)*(1)*(1)*(1)*(1 + (0))</f>
      </c>
      <c r="D1472" s="21" t="s">
        <v>170</v>
      </c>
      <c r="E1472" s="21"/>
      <c r="F1472" s="21">
        <f>C1472*E1472</f>
      </c>
    </row>
    <row r="1473">
      <c r="A1473" s="6"/>
      <c r="B1473" s="15" t="s">
        <v>1319</v>
      </c>
      <c r="C1473" s="23"/>
      <c r="D1473" s="23"/>
      <c r="E1473" s="23"/>
      <c r="F1473" s="23"/>
    </row>
    <row r="1474">
      <c r="A1474" s="4"/>
      <c r="B1474" s="16" t="s">
        <v>1320</v>
      </c>
      <c r="C1474" s="21">
        <f>(3)*(1)*(1)*(1)*(1 + (0))</f>
      </c>
      <c r="D1474" s="21" t="s">
        <v>170</v>
      </c>
      <c r="E1474" s="21"/>
      <c r="F1474" s="21">
        <f>C1474*E1474</f>
      </c>
    </row>
    <row r="1475">
      <c r="A1475" s="4"/>
      <c r="B1475" s="16" t="s">
        <v>1321</v>
      </c>
      <c r="C1475" s="21">
        <f>(1)*(1)*(1)*(1)*(1 + (0))</f>
      </c>
      <c r="D1475" s="21" t="s">
        <v>170</v>
      </c>
      <c r="E1475" s="21"/>
      <c r="F1475" s="21">
        <f>C1475*E1475</f>
      </c>
    </row>
    <row r="1476">
      <c r="A1476" s="6"/>
      <c r="B1476" s="15" t="s">
        <v>1322</v>
      </c>
      <c r="C1476" s="23"/>
      <c r="D1476" s="23"/>
      <c r="E1476" s="23"/>
      <c r="F1476" s="23"/>
    </row>
    <row r="1477">
      <c r="A1477" s="4"/>
      <c r="B1477" s="16" t="s">
        <v>1323</v>
      </c>
      <c r="C1477" s="21">
        <f>(2)*(1)*(1)*(1)*(1 + (0))</f>
      </c>
      <c r="D1477" s="21" t="s">
        <v>170</v>
      </c>
      <c r="E1477" s="21"/>
      <c r="F1477" s="21">
        <f>C1477*E1477</f>
      </c>
    </row>
    <row r="1478">
      <c r="A1478" s="4"/>
      <c r="B1478" s="16" t="s">
        <v>1324</v>
      </c>
      <c r="C1478" s="21">
        <f>(4)*(1)*(1)*(1)*(1 + (0))</f>
      </c>
      <c r="D1478" s="21" t="s">
        <v>170</v>
      </c>
      <c r="E1478" s="21"/>
      <c r="F1478" s="21">
        <f>C1478*E1478</f>
      </c>
    </row>
    <row r="1479">
      <c r="A1479" s="6"/>
      <c r="B1479" s="15" t="s">
        <v>1325</v>
      </c>
      <c r="C1479" s="23"/>
      <c r="D1479" s="23"/>
      <c r="E1479" s="23"/>
      <c r="F1479" s="23"/>
    </row>
    <row r="1480">
      <c r="A1480" s="4"/>
      <c r="B1480" s="16" t="s">
        <v>1326</v>
      </c>
      <c r="C1480" s="21">
        <f>(1)*(1)*(1)*(1)*(1 + (0))</f>
      </c>
      <c r="D1480" s="21" t="s">
        <v>170</v>
      </c>
      <c r="E1480" s="21"/>
      <c r="F1480" s="21">
        <f>C1480*E1480</f>
      </c>
    </row>
    <row r="1481">
      <c r="A1481" s="5"/>
      <c r="B1481" s="13" t="s">
        <v>1257</v>
      </c>
      <c r="C1481" s="22"/>
      <c r="D1481" s="22"/>
      <c r="E1481" s="22"/>
      <c r="F1481" s="22"/>
    </row>
    <row r="1482">
      <c r="A1482" s="6"/>
      <c r="B1482" s="15" t="s">
        <v>1319</v>
      </c>
      <c r="C1482" s="23"/>
      <c r="D1482" s="23"/>
      <c r="E1482" s="23"/>
      <c r="F1482" s="23"/>
    </row>
    <row r="1483">
      <c r="A1483" s="4"/>
      <c r="B1483" s="16" t="s">
        <v>1320</v>
      </c>
      <c r="C1483" s="21">
        <f>(1)*(1)*(1)*(1)*(1 + (0))</f>
      </c>
      <c r="D1483" s="21" t="s">
        <v>170</v>
      </c>
      <c r="E1483" s="21"/>
      <c r="F1483" s="21">
        <f>C1483*E1483</f>
      </c>
    </row>
    <row r="1484">
      <c r="A1484" s="4"/>
      <c r="B1484" s="16" t="s">
        <v>1320</v>
      </c>
      <c r="C1484" s="21">
        <f>(1)*(1)*(1)*(1)*(1 + (0))</f>
      </c>
      <c r="D1484" s="21" t="s">
        <v>170</v>
      </c>
      <c r="E1484" s="21"/>
      <c r="F1484" s="21">
        <f>C1484*E1484</f>
      </c>
    </row>
    <row r="1485">
      <c r="A1485" s="3"/>
      <c r="B1485" s="11" t="s">
        <v>1327</v>
      </c>
      <c r="C1485" s="20"/>
      <c r="D1485" s="20"/>
      <c r="E1485" s="20"/>
      <c r="F1485" s="20"/>
    </row>
    <row r="1486">
      <c r="A1486" s="5"/>
      <c r="B1486" s="13" t="s">
        <v>1238</v>
      </c>
      <c r="C1486" s="22"/>
      <c r="D1486" s="22"/>
      <c r="E1486" s="22"/>
      <c r="F1486" s="22"/>
    </row>
    <row r="1487">
      <c r="A1487" s="6"/>
      <c r="B1487" s="15" t="s">
        <v>1317</v>
      </c>
      <c r="C1487" s="23"/>
      <c r="D1487" s="23"/>
      <c r="E1487" s="23"/>
      <c r="F1487" s="23"/>
    </row>
    <row r="1488">
      <c r="A1488" s="4"/>
      <c r="B1488" s="16" t="s">
        <v>1328</v>
      </c>
      <c r="C1488" s="21">
        <f>(2)*(1)*(1)*(1)*(1 + (0))</f>
      </c>
      <c r="D1488" s="21" t="s">
        <v>170</v>
      </c>
      <c r="E1488" s="21"/>
      <c r="F1488" s="21">
        <f>C1488*E1488</f>
      </c>
    </row>
    <row r="1489">
      <c r="A1489" s="4"/>
      <c r="B1489" s="16" t="s">
        <v>1329</v>
      </c>
      <c r="C1489" s="21">
        <f>(9)*(1)*(1)*(1)*(1 + (0))</f>
      </c>
      <c r="D1489" s="21" t="s">
        <v>170</v>
      </c>
      <c r="E1489" s="21"/>
      <c r="F1489" s="21">
        <f>C1489*E1489</f>
      </c>
    </row>
    <row r="1490">
      <c r="A1490" s="4"/>
      <c r="B1490" s="16" t="s">
        <v>1330</v>
      </c>
      <c r="C1490" s="21">
        <f>(1)*(1)*(1)*(1)*(1 + (0))</f>
      </c>
      <c r="D1490" s="21" t="s">
        <v>170</v>
      </c>
      <c r="E1490" s="21"/>
      <c r="F1490" s="21">
        <f>C1490*E1490</f>
      </c>
    </row>
    <row r="1491">
      <c r="A1491" s="4"/>
      <c r="B1491" s="16" t="s">
        <v>1331</v>
      </c>
      <c r="C1491" s="21">
        <f>(1)*(1)*(1)*(1)*(1 + (0))</f>
      </c>
      <c r="D1491" s="21" t="s">
        <v>170</v>
      </c>
      <c r="E1491" s="21"/>
      <c r="F1491" s="21">
        <f>C1491*E1491</f>
      </c>
    </row>
    <row r="1492">
      <c r="A1492" s="4"/>
      <c r="B1492" s="16" t="s">
        <v>1331</v>
      </c>
      <c r="C1492" s="21">
        <f>(1)*(1)*(1)*(1)*(1 + (0))</f>
      </c>
      <c r="D1492" s="21" t="s">
        <v>170</v>
      </c>
      <c r="E1492" s="21"/>
      <c r="F1492" s="21">
        <f>C1492*E1492</f>
      </c>
    </row>
    <row r="1493">
      <c r="A1493" s="4"/>
      <c r="B1493" s="16" t="s">
        <v>1332</v>
      </c>
      <c r="C1493" s="21">
        <f>(4)*(1)*(1)*(1)*(1 + (0))</f>
      </c>
      <c r="D1493" s="21" t="s">
        <v>170</v>
      </c>
      <c r="E1493" s="21"/>
      <c r="F1493" s="21">
        <f>C1493*E1493</f>
      </c>
    </row>
    <row r="1494">
      <c r="A1494" s="4"/>
      <c r="B1494" s="16" t="s">
        <v>1333</v>
      </c>
      <c r="C1494" s="21">
        <f>(1)*(1)*(1)*(1)*(1 + (0))</f>
      </c>
      <c r="D1494" s="21" t="s">
        <v>170</v>
      </c>
      <c r="E1494" s="21"/>
      <c r="F1494" s="21">
        <f>C1494*E1494</f>
      </c>
    </row>
    <row r="1495">
      <c r="A1495" s="6"/>
      <c r="B1495" s="15" t="s">
        <v>1319</v>
      </c>
      <c r="C1495" s="23"/>
      <c r="D1495" s="23"/>
      <c r="E1495" s="23"/>
      <c r="F1495" s="23"/>
    </row>
    <row r="1496">
      <c r="A1496" s="4"/>
      <c r="B1496" s="16" t="s">
        <v>1321</v>
      </c>
      <c r="C1496" s="21">
        <f>(2)*(1)*(1)*(1)*(1 + (0))</f>
      </c>
      <c r="D1496" s="21" t="s">
        <v>170</v>
      </c>
      <c r="E1496" s="21"/>
      <c r="F1496" s="21">
        <f>C1496*E1496</f>
      </c>
    </row>
    <row r="1497">
      <c r="A1497" s="4"/>
      <c r="B1497" s="16" t="s">
        <v>1334</v>
      </c>
      <c r="C1497" s="21">
        <f>(1)*(1)*(1)*(1)*(1 + (0))</f>
      </c>
      <c r="D1497" s="21" t="s">
        <v>170</v>
      </c>
      <c r="E1497" s="21"/>
      <c r="F1497" s="21">
        <f>C1497*E1497</f>
      </c>
    </row>
    <row r="1498">
      <c r="A1498" s="4"/>
      <c r="B1498" s="16" t="s">
        <v>1335</v>
      </c>
      <c r="C1498" s="21">
        <f>(1)*(1)*(1)*(1)*(1 + (0))</f>
      </c>
      <c r="D1498" s="21" t="s">
        <v>170</v>
      </c>
      <c r="E1498" s="21"/>
      <c r="F1498" s="21">
        <f>C1498*E1498</f>
      </c>
    </row>
    <row r="1499">
      <c r="A1499" s="6"/>
      <c r="B1499" s="15" t="s">
        <v>1322</v>
      </c>
      <c r="C1499" s="23"/>
      <c r="D1499" s="23"/>
      <c r="E1499" s="23"/>
      <c r="F1499" s="23"/>
    </row>
    <row r="1500">
      <c r="A1500" s="4"/>
      <c r="B1500" s="16" t="s">
        <v>1324</v>
      </c>
      <c r="C1500" s="21">
        <f>(3)*(1)*(1)*(1)*(1 + (0))</f>
      </c>
      <c r="D1500" s="21" t="s">
        <v>170</v>
      </c>
      <c r="E1500" s="21"/>
      <c r="F1500" s="21">
        <f>C1500*E1500</f>
      </c>
    </row>
    <row r="1501">
      <c r="A1501" s="4"/>
      <c r="B1501" s="16" t="s">
        <v>1336</v>
      </c>
      <c r="C1501" s="21">
        <f>(2)*(1)*(1)*(1)*(1 + (0))</f>
      </c>
      <c r="D1501" s="21" t="s">
        <v>170</v>
      </c>
      <c r="E1501" s="21"/>
      <c r="F1501" s="21">
        <f>C1501*E1501</f>
      </c>
    </row>
    <row r="1502">
      <c r="A1502" s="4"/>
      <c r="B1502" s="16" t="s">
        <v>1337</v>
      </c>
      <c r="C1502" s="21">
        <f>(1)*(1)*(1)*(1)*(1 + (0))</f>
      </c>
      <c r="D1502" s="21" t="s">
        <v>170</v>
      </c>
      <c r="E1502" s="21"/>
      <c r="F1502" s="21">
        <f>C1502*E1502</f>
      </c>
    </row>
    <row r="1503">
      <c r="A1503" s="6"/>
      <c r="B1503" s="15" t="s">
        <v>1325</v>
      </c>
      <c r="C1503" s="23"/>
      <c r="D1503" s="23"/>
      <c r="E1503" s="23"/>
      <c r="F1503" s="23"/>
    </row>
    <row r="1504">
      <c r="A1504" s="4"/>
      <c r="B1504" s="16" t="s">
        <v>1338</v>
      </c>
      <c r="C1504" s="21">
        <f>(1)*(1)*(1)*(1)*(1 + (0))</f>
      </c>
      <c r="D1504" s="21" t="s">
        <v>170</v>
      </c>
      <c r="E1504" s="21"/>
      <c r="F1504" s="21">
        <f>C1504*E1504</f>
      </c>
    </row>
    <row r="1505">
      <c r="A1505" s="4"/>
      <c r="B1505" s="16" t="s">
        <v>1339</v>
      </c>
      <c r="C1505" s="21">
        <f>(1)*(1)*(1)*(1)*(1 + (0))</f>
      </c>
      <c r="D1505" s="21" t="s">
        <v>170</v>
      </c>
      <c r="E1505" s="21"/>
      <c r="F1505" s="21">
        <f>C1505*E1505</f>
      </c>
    </row>
    <row r="1506">
      <c r="A1506" s="5"/>
      <c r="B1506" s="13" t="s">
        <v>1257</v>
      </c>
      <c r="C1506" s="22"/>
      <c r="D1506" s="22"/>
      <c r="E1506" s="22"/>
      <c r="F1506" s="22"/>
    </row>
    <row r="1507">
      <c r="A1507" s="6"/>
      <c r="B1507" s="15" t="s">
        <v>1317</v>
      </c>
      <c r="C1507" s="23"/>
      <c r="D1507" s="23"/>
      <c r="E1507" s="23"/>
      <c r="F1507" s="23"/>
    </row>
    <row r="1508">
      <c r="A1508" s="4"/>
      <c r="B1508" s="16" t="s">
        <v>1329</v>
      </c>
      <c r="C1508" s="21">
        <f>(5)*(1)*(1)*(1)*(1 + (0))</f>
      </c>
      <c r="D1508" s="21" t="s">
        <v>170</v>
      </c>
      <c r="E1508" s="21"/>
      <c r="F1508" s="21">
        <f>C1508*E1508</f>
      </c>
    </row>
    <row r="1509">
      <c r="A1509" s="6"/>
      <c r="B1509" s="15" t="s">
        <v>1319</v>
      </c>
      <c r="C1509" s="23"/>
      <c r="D1509" s="23"/>
      <c r="E1509" s="23"/>
      <c r="F1509" s="23"/>
    </row>
    <row r="1510">
      <c r="A1510" s="4"/>
      <c r="B1510" s="16" t="s">
        <v>1321</v>
      </c>
      <c r="C1510" s="21">
        <f>(1)*(1)*(1)*(1)*(1 + (0))</f>
      </c>
      <c r="D1510" s="21" t="s">
        <v>170</v>
      </c>
      <c r="E1510" s="21"/>
      <c r="F1510" s="21">
        <f>C1510*E1510</f>
      </c>
    </row>
    <row r="1511">
      <c r="A1511" s="4"/>
      <c r="B1511" s="16" t="s">
        <v>1340</v>
      </c>
      <c r="C1511" s="21">
        <f>(2)*(1)*(1)*(1)*(1 + (0))</f>
      </c>
      <c r="D1511" s="21" t="s">
        <v>170</v>
      </c>
      <c r="E1511" s="21"/>
      <c r="F1511" s="21">
        <f>C1511*E1511</f>
      </c>
    </row>
    <row r="1512">
      <c r="A1512" s="3"/>
      <c r="B1512" s="11" t="s">
        <v>1341</v>
      </c>
      <c r="C1512" s="20"/>
      <c r="D1512" s="20"/>
      <c r="E1512" s="20"/>
      <c r="F1512" s="20"/>
    </row>
    <row r="1513">
      <c r="A1513" s="5"/>
      <c r="B1513" s="13" t="s">
        <v>1238</v>
      </c>
      <c r="C1513" s="22"/>
      <c r="D1513" s="22"/>
      <c r="E1513" s="22"/>
      <c r="F1513" s="22"/>
    </row>
    <row r="1514">
      <c r="A1514" s="4"/>
      <c r="B1514" s="14" t="s">
        <v>1342</v>
      </c>
      <c r="C1514" s="21">
        <f>(3)*(1)*(1)*(1)*(1 + (0))</f>
      </c>
      <c r="D1514" s="21" t="s">
        <v>170</v>
      </c>
      <c r="E1514" s="21"/>
      <c r="F1514" s="21">
        <f>C1514*E1514</f>
      </c>
    </row>
    <row r="1515">
      <c r="A1515" s="4"/>
      <c r="B1515" s="14" t="s">
        <v>1343</v>
      </c>
      <c r="C1515" s="21">
        <f>(4)*(1)*(1)*(1)*(1 + (0))</f>
      </c>
      <c r="D1515" s="21" t="s">
        <v>170</v>
      </c>
      <c r="E1515" s="21"/>
      <c r="F1515" s="21">
        <f>C1515*E1515</f>
      </c>
    </row>
    <row r="1516">
      <c r="A1516" s="4"/>
      <c r="B1516" s="14" t="s">
        <v>1344</v>
      </c>
      <c r="C1516" s="21">
        <f>(6)*(1)*(1)*(1)*(1 + (0))</f>
      </c>
      <c r="D1516" s="21" t="s">
        <v>170</v>
      </c>
      <c r="E1516" s="21"/>
      <c r="F1516" s="21">
        <f>C1516*E1516</f>
      </c>
    </row>
    <row r="1517">
      <c r="A1517" s="5"/>
      <c r="B1517" s="13" t="s">
        <v>1257</v>
      </c>
      <c r="C1517" s="22"/>
      <c r="D1517" s="22"/>
      <c r="E1517" s="22"/>
      <c r="F1517" s="22"/>
    </row>
    <row r="1518">
      <c r="A1518" s="4"/>
      <c r="B1518" s="14" t="s">
        <v>1343</v>
      </c>
      <c r="C1518" s="21">
        <f>(2)*(1)*(1)*(1)*(1 + (0))</f>
      </c>
      <c r="D1518" s="21" t="s">
        <v>170</v>
      </c>
      <c r="E1518" s="21"/>
      <c r="F1518" s="21">
        <f>C1518*E1518</f>
      </c>
    </row>
    <row r="1519">
      <c r="A1519" s="3"/>
      <c r="B1519" s="11" t="s">
        <v>1345</v>
      </c>
      <c r="C1519" s="20"/>
      <c r="D1519" s="20"/>
      <c r="E1519" s="20"/>
      <c r="F1519" s="20"/>
    </row>
    <row r="1520">
      <c r="A1520" s="5"/>
      <c r="B1520" s="13" t="s">
        <v>1238</v>
      </c>
      <c r="C1520" s="22"/>
      <c r="D1520" s="22"/>
      <c r="E1520" s="22"/>
      <c r="F1520" s="22"/>
    </row>
    <row r="1521">
      <c r="A1521" s="4"/>
      <c r="B1521" s="14" t="s">
        <v>1346</v>
      </c>
      <c r="C1521" s="21">
        <f>(19)*(1)*(1)*(1)*(1 + (0))</f>
      </c>
      <c r="D1521" s="21" t="s">
        <v>170</v>
      </c>
      <c r="E1521" s="21"/>
      <c r="F1521" s="21">
        <f>C1521*E1521</f>
      </c>
    </row>
    <row r="1522">
      <c r="A1522" s="4"/>
      <c r="B1522" s="14" t="s">
        <v>1343</v>
      </c>
      <c r="C1522" s="21">
        <f>(4)*(1)*(1)*(1)*(1 + (0))</f>
      </c>
      <c r="D1522" s="21" t="s">
        <v>170</v>
      </c>
      <c r="E1522" s="21"/>
      <c r="F1522" s="21">
        <f>C1522*E1522</f>
      </c>
    </row>
    <row r="1523">
      <c r="A1523" s="4"/>
      <c r="B1523" s="14" t="s">
        <v>1344</v>
      </c>
      <c r="C1523" s="21">
        <f>(3)*(1)*(1)*(1)*(1 + (0))</f>
      </c>
      <c r="D1523" s="21" t="s">
        <v>170</v>
      </c>
      <c r="E1523" s="21"/>
      <c r="F1523" s="21">
        <f>C1523*E1523</f>
      </c>
    </row>
    <row r="1524">
      <c r="A1524" s="4"/>
      <c r="B1524" s="14" t="s">
        <v>1347</v>
      </c>
      <c r="C1524" s="21">
        <f>(3)*(1)*(1)*(1)*(1 + (0))</f>
      </c>
      <c r="D1524" s="21" t="s">
        <v>170</v>
      </c>
      <c r="E1524" s="21"/>
      <c r="F1524" s="21">
        <f>C1524*E1524</f>
      </c>
    </row>
    <row r="1525">
      <c r="A1525" s="5"/>
      <c r="B1525" s="13" t="s">
        <v>1257</v>
      </c>
      <c r="C1525" s="22"/>
      <c r="D1525" s="22"/>
      <c r="E1525" s="22"/>
      <c r="F1525" s="22"/>
    </row>
    <row r="1526">
      <c r="A1526" s="4"/>
      <c r="B1526" s="14" t="s">
        <v>1346</v>
      </c>
      <c r="C1526" s="21">
        <f>(5)*(1)*(1)*(1)*(1 + (0))</f>
      </c>
      <c r="D1526" s="21" t="s">
        <v>170</v>
      </c>
      <c r="E1526" s="21"/>
      <c r="F1526" s="21">
        <f>C1526*E1526</f>
      </c>
    </row>
    <row r="1527">
      <c r="A1527" s="4"/>
      <c r="B1527" s="14" t="s">
        <v>1343</v>
      </c>
      <c r="C1527" s="21">
        <f>(3)*(1)*(1)*(1)*(1 + (0))</f>
      </c>
      <c r="D1527" s="21" t="s">
        <v>170</v>
      </c>
      <c r="E1527" s="21"/>
      <c r="F1527" s="21">
        <f>C1527*E1527</f>
      </c>
    </row>
    <row r="1528">
      <c r="A1528" s="3"/>
      <c r="B1528" s="11" t="s">
        <v>1348</v>
      </c>
      <c r="C1528" s="20"/>
      <c r="D1528" s="20"/>
      <c r="E1528" s="20"/>
      <c r="F1528" s="20"/>
    </row>
    <row r="1529">
      <c r="A1529" s="5"/>
      <c r="B1529" s="13" t="s">
        <v>1349</v>
      </c>
      <c r="C1529" s="22"/>
      <c r="D1529" s="22"/>
      <c r="E1529" s="22"/>
      <c r="F1529" s="22"/>
    </row>
    <row r="1530">
      <c r="A1530" s="6"/>
      <c r="B1530" s="15" t="s">
        <v>1350</v>
      </c>
      <c r="C1530" s="23"/>
      <c r="D1530" s="23"/>
      <c r="E1530" s="23"/>
      <c r="F1530" s="23"/>
    </row>
    <row r="1531">
      <c r="A1531" s="4"/>
      <c r="B1531" s="16" t="s">
        <v>1238</v>
      </c>
      <c r="C1531" s="21">
        <f>(27)*(1)*(1)*(1)*(1 + (0))</f>
      </c>
      <c r="D1531" s="21" t="s">
        <v>167</v>
      </c>
      <c r="E1531" s="21"/>
      <c r="F1531" s="21">
        <f>C1531*E1531</f>
      </c>
    </row>
    <row r="1532">
      <c r="A1532" s="6"/>
      <c r="B1532" s="15" t="s">
        <v>1351</v>
      </c>
      <c r="C1532" s="23"/>
      <c r="D1532" s="23"/>
      <c r="E1532" s="23"/>
      <c r="F1532" s="23"/>
    </row>
    <row r="1533">
      <c r="A1533" s="4"/>
      <c r="B1533" s="16" t="s">
        <v>1238</v>
      </c>
      <c r="C1533" s="21">
        <f>(8)*(1)*(1)*(1)*(1 + (0))</f>
      </c>
      <c r="D1533" s="21" t="s">
        <v>167</v>
      </c>
      <c r="E1533" s="21"/>
      <c r="F1533" s="21">
        <f>C1533*E1533</f>
      </c>
    </row>
    <row r="1534">
      <c r="A1534" s="5"/>
      <c r="B1534" s="13" t="s">
        <v>1352</v>
      </c>
      <c r="C1534" s="22"/>
      <c r="D1534" s="22"/>
      <c r="E1534" s="22"/>
      <c r="F1534" s="22"/>
    </row>
    <row r="1535">
      <c r="A1535" s="6"/>
      <c r="B1535" s="15" t="s">
        <v>1350</v>
      </c>
      <c r="C1535" s="23"/>
      <c r="D1535" s="23"/>
      <c r="E1535" s="23"/>
      <c r="F1535" s="23"/>
    </row>
    <row r="1536">
      <c r="A1536" s="4"/>
      <c r="B1536" s="16" t="s">
        <v>1238</v>
      </c>
      <c r="C1536" s="21">
        <f>(56)*(1)*(1)*(1)*(1 + (0))</f>
      </c>
      <c r="D1536" s="21" t="s">
        <v>167</v>
      </c>
      <c r="E1536" s="21"/>
      <c r="F1536" s="21">
        <f>C1536*E1536</f>
      </c>
    </row>
    <row r="1537">
      <c r="A1537" s="6"/>
      <c r="B1537" s="15" t="s">
        <v>1351</v>
      </c>
      <c r="C1537" s="23"/>
      <c r="D1537" s="23"/>
      <c r="E1537" s="23"/>
      <c r="F1537" s="23"/>
    </row>
    <row r="1538">
      <c r="A1538" s="4"/>
      <c r="B1538" s="16" t="s">
        <v>1238</v>
      </c>
      <c r="C1538" s="21">
        <f>(33)*(1)*(1)*(1)*(1 + (0))</f>
      </c>
      <c r="D1538" s="21" t="s">
        <v>167</v>
      </c>
      <c r="E1538" s="21"/>
      <c r="F1538" s="21">
        <f>C1538*E1538</f>
      </c>
    </row>
    <row r="1539">
      <c r="A1539" s="6"/>
      <c r="B1539" s="15" t="s">
        <v>1353</v>
      </c>
      <c r="C1539" s="23"/>
      <c r="D1539" s="23"/>
      <c r="E1539" s="23"/>
      <c r="F1539" s="23"/>
    </row>
    <row r="1540">
      <c r="A1540" s="4"/>
      <c r="B1540" s="16" t="s">
        <v>1238</v>
      </c>
      <c r="C1540" s="21">
        <f>(4)*(1)*(1)*(1)*(1 + (0))</f>
      </c>
      <c r="D1540" s="21" t="s">
        <v>167</v>
      </c>
      <c r="E1540" s="21"/>
      <c r="F1540" s="21">
        <f>C1540*E1540</f>
      </c>
    </row>
    <row r="1541">
      <c r="A1541" s="3"/>
      <c r="B1541" s="11" t="s">
        <v>1354</v>
      </c>
      <c r="C1541" s="20"/>
      <c r="D1541" s="20"/>
      <c r="E1541" s="20"/>
      <c r="F1541" s="20"/>
    </row>
    <row r="1542">
      <c r="A1542" s="5"/>
      <c r="B1542" s="13" t="s">
        <v>1355</v>
      </c>
      <c r="C1542" s="22"/>
      <c r="D1542" s="22"/>
      <c r="E1542" s="22"/>
      <c r="F1542" s="22"/>
    </row>
    <row r="1543">
      <c r="A1543" s="6"/>
      <c r="B1543" s="15" t="s">
        <v>1356</v>
      </c>
      <c r="C1543" s="23"/>
      <c r="D1543" s="23"/>
      <c r="E1543" s="23"/>
      <c r="F1543" s="23"/>
    </row>
    <row r="1544">
      <c r="A1544" s="4"/>
      <c r="B1544" s="16" t="s">
        <v>1238</v>
      </c>
      <c r="C1544" s="21">
        <f>(10)*(1)*(1)*(1)*(1 + (0))</f>
      </c>
      <c r="D1544" s="21" t="s">
        <v>167</v>
      </c>
      <c r="E1544" s="21"/>
      <c r="F1544" s="21">
        <f>C1544*E1544</f>
      </c>
    </row>
    <row r="1545">
      <c r="A1545" s="5"/>
      <c r="B1545" s="13" t="s">
        <v>1357</v>
      </c>
      <c r="C1545" s="22"/>
      <c r="D1545" s="22"/>
      <c r="E1545" s="22"/>
      <c r="F1545" s="22"/>
    </row>
    <row r="1546">
      <c r="A1546" s="6"/>
      <c r="B1546" s="15" t="s">
        <v>1356</v>
      </c>
      <c r="C1546" s="23"/>
      <c r="D1546" s="23"/>
      <c r="E1546" s="23"/>
      <c r="F1546" s="23"/>
    </row>
    <row r="1547">
      <c r="A1547" s="4"/>
      <c r="B1547" s="16" t="s">
        <v>1238</v>
      </c>
      <c r="C1547" s="21">
        <f>(12)*(1)*(1)*(1)*(1 + (0))</f>
      </c>
      <c r="D1547" s="21" t="s">
        <v>167</v>
      </c>
      <c r="E1547" s="21"/>
      <c r="F1547" s="21">
        <f>C1547*E1547</f>
      </c>
    </row>
    <row r="1548">
      <c r="A1548" s="3"/>
      <c r="B1548" s="11" t="s">
        <v>1358</v>
      </c>
      <c r="C1548" s="20"/>
      <c r="D1548" s="20"/>
      <c r="E1548" s="20"/>
      <c r="F1548" s="20"/>
    </row>
    <row r="1549">
      <c r="A1549" s="5"/>
      <c r="B1549" s="13" t="s">
        <v>1359</v>
      </c>
      <c r="C1549" s="22"/>
      <c r="D1549" s="22"/>
      <c r="E1549" s="22"/>
      <c r="F1549" s="22"/>
    </row>
    <row r="1550">
      <c r="A1550" s="6"/>
      <c r="B1550" s="15" t="s">
        <v>1360</v>
      </c>
      <c r="C1550" s="23"/>
      <c r="D1550" s="23"/>
      <c r="E1550" s="23"/>
      <c r="F1550" s="23"/>
    </row>
    <row r="1551">
      <c r="A1551" s="4"/>
      <c r="B1551" s="16" t="s">
        <v>1238</v>
      </c>
      <c r="C1551" s="21">
        <f>(4)*(1)*(1)*(1)*(1 + (0))</f>
      </c>
      <c r="D1551" s="21" t="s">
        <v>170</v>
      </c>
      <c r="E1551" s="21"/>
      <c r="F1551" s="21">
        <f>C1551*E1551</f>
      </c>
    </row>
    <row r="1552">
      <c r="A1552" s="5"/>
      <c r="B1552" s="13" t="s">
        <v>1361</v>
      </c>
      <c r="C1552" s="22"/>
      <c r="D1552" s="22"/>
      <c r="E1552" s="22"/>
      <c r="F1552" s="22"/>
    </row>
    <row r="1553">
      <c r="A1553" s="6"/>
      <c r="B1553" s="15" t="s">
        <v>1360</v>
      </c>
      <c r="C1553" s="23"/>
      <c r="D1553" s="23"/>
      <c r="E1553" s="23"/>
      <c r="F1553" s="23"/>
    </row>
    <row r="1554">
      <c r="A1554" s="4"/>
      <c r="B1554" s="16" t="s">
        <v>1238</v>
      </c>
      <c r="C1554" s="21">
        <f>(22)*(1)*(1)*(1)*(1 + (0))</f>
      </c>
      <c r="D1554" s="21" t="s">
        <v>170</v>
      </c>
      <c r="E1554" s="21"/>
      <c r="F1554" s="21">
        <f>C1554*E1554</f>
      </c>
    </row>
    <row r="1555">
      <c r="A1555" s="4"/>
      <c r="B1555" s="16" t="s">
        <v>1257</v>
      </c>
      <c r="C1555" s="21">
        <f>(5)*(1)*(1)*(1)*(1 + (0))</f>
      </c>
      <c r="D1555" s="21" t="s">
        <v>170</v>
      </c>
      <c r="E1555" s="21"/>
      <c r="F1555" s="21">
        <f>C1555*E1555</f>
      </c>
    </row>
    <row r="1556">
      <c r="A1556" s="2"/>
      <c r="B1556" s="10" t="s">
        <v>1362</v>
      </c>
      <c r="C1556" s="19"/>
      <c r="D1556" s="19"/>
      <c r="E1556" s="19"/>
      <c r="F1556" s="19"/>
    </row>
    <row r="1557">
      <c r="A1557" s="3"/>
      <c r="B1557" s="11" t="s">
        <v>14</v>
      </c>
      <c r="C1557" s="20"/>
      <c r="D1557" s="20"/>
      <c r="E1557" s="20"/>
      <c r="F1557" s="20"/>
    </row>
    <row r="1558">
      <c r="A1558" s="4" t="s">
        <v>1363</v>
      </c>
      <c r="B1558" s="12" t="s">
        <v>16</v>
      </c>
      <c r="C1558" s="21"/>
      <c r="D1558" s="21" t="s">
        <v>17</v>
      </c>
      <c r="E1558" s="21"/>
      <c r="F1558" s="21">
        <f>C1558*E1558</f>
      </c>
    </row>
    <row r="1559">
      <c r="A1559" s="4" t="s">
        <v>1364</v>
      </c>
      <c r="B1559" s="12" t="s">
        <v>19</v>
      </c>
      <c r="C1559" s="21"/>
      <c r="D1559" s="21" t="s">
        <v>17</v>
      </c>
      <c r="E1559" s="21"/>
      <c r="F1559" s="21">
        <f>C1559*E1559</f>
      </c>
    </row>
    <row r="1560">
      <c r="A1560" s="3"/>
      <c r="B1560" s="11" t="s">
        <v>22</v>
      </c>
      <c r="C1560" s="20"/>
      <c r="D1560" s="20"/>
      <c r="E1560" s="20"/>
      <c r="F1560" s="20"/>
    </row>
    <row r="1561">
      <c r="A1561" s="4"/>
      <c r="B1561" s="12" t="s">
        <v>1365</v>
      </c>
      <c r="C1561" s="21"/>
      <c r="D1561" s="21" t="s">
        <v>17</v>
      </c>
      <c r="E1561" s="21"/>
      <c r="F1561" s="21">
        <f>C1561*E1561</f>
      </c>
    </row>
    <row r="1562">
      <c r="A1562" s="4"/>
      <c r="B1562" s="12" t="s">
        <v>1366</v>
      </c>
      <c r="C1562" s="21"/>
      <c r="D1562" s="21" t="s">
        <v>17</v>
      </c>
      <c r="E1562" s="21"/>
      <c r="F1562" s="21">
        <f>C1562*E1562</f>
      </c>
    </row>
    <row r="1563">
      <c r="A1563" s="4"/>
      <c r="B1563" s="12" t="s">
        <v>1367</v>
      </c>
      <c r="C1563" s="21"/>
      <c r="D1563" s="21" t="s">
        <v>17</v>
      </c>
      <c r="E1563" s="21"/>
      <c r="F1563" s="21">
        <f>C1563*E1563</f>
      </c>
    </row>
    <row r="1564">
      <c r="A1564" s="4"/>
      <c r="B1564" s="12" t="s">
        <v>1368</v>
      </c>
      <c r="C1564" s="21"/>
      <c r="D1564" s="21" t="s">
        <v>17</v>
      </c>
      <c r="E1564" s="21"/>
      <c r="F1564" s="21">
        <f>C1564*E1564</f>
      </c>
    </row>
    <row r="1565">
      <c r="A1565" s="4"/>
      <c r="B1565" s="12" t="s">
        <v>1296</v>
      </c>
      <c r="C1565" s="21"/>
      <c r="D1565" s="21" t="s">
        <v>17</v>
      </c>
      <c r="E1565" s="21"/>
      <c r="F1565" s="21">
        <f>C1565*E1565</f>
      </c>
    </row>
    <row r="1566">
      <c r="A1566" s="3"/>
      <c r="B1566" s="11" t="s">
        <v>24</v>
      </c>
      <c r="C1566" s="20"/>
      <c r="D1566" s="20"/>
      <c r="E1566" s="20"/>
      <c r="F1566" s="20"/>
    </row>
    <row r="1567">
      <c r="A1567" s="5"/>
      <c r="B1567" s="13" t="s">
        <v>25</v>
      </c>
      <c r="C1567" s="22"/>
      <c r="D1567" s="22"/>
      <c r="E1567" s="22"/>
      <c r="F1567" s="22"/>
    </row>
    <row r="1568">
      <c r="A1568" s="4" t="s">
        <v>1369</v>
      </c>
      <c r="B1568" s="14" t="s">
        <v>194</v>
      </c>
      <c r="C1568" s="21"/>
      <c r="D1568" s="21" t="s">
        <v>17</v>
      </c>
      <c r="E1568" s="21"/>
      <c r="F1568" s="21">
        <f>C1568*E1568</f>
      </c>
    </row>
    <row r="1569">
      <c r="A1569" s="6"/>
      <c r="B1569" s="15" t="s">
        <v>1141</v>
      </c>
      <c r="C1569" s="23"/>
      <c r="D1569" s="23"/>
      <c r="E1569" s="23"/>
      <c r="F1569" s="23"/>
    </row>
    <row r="1570">
      <c r="A1570" s="4" t="s">
        <v>1142</v>
      </c>
      <c r="B1570" s="16" t="s">
        <v>617</v>
      </c>
      <c r="C1570" s="21"/>
      <c r="D1570" s="21" t="s">
        <v>17</v>
      </c>
      <c r="E1570" s="21"/>
      <c r="F1570" s="21">
        <f>C1570*E1570</f>
      </c>
    </row>
    <row r="1571">
      <c r="A1571" s="4" t="s">
        <v>1143</v>
      </c>
      <c r="B1571" s="16" t="s">
        <v>619</v>
      </c>
      <c r="C1571" s="21"/>
      <c r="D1571" s="21" t="s">
        <v>17</v>
      </c>
      <c r="E1571" s="21"/>
      <c r="F1571" s="21">
        <f>C1571*E1571</f>
      </c>
    </row>
    <row r="1572">
      <c r="A1572" s="4" t="s">
        <v>1144</v>
      </c>
      <c r="B1572" s="16" t="s">
        <v>621</v>
      </c>
      <c r="C1572" s="21"/>
      <c r="D1572" s="21" t="s">
        <v>17</v>
      </c>
      <c r="E1572" s="21"/>
      <c r="F1572" s="21">
        <f>C1572*E1572</f>
      </c>
    </row>
    <row r="1573">
      <c r="A1573" s="4" t="s">
        <v>1145</v>
      </c>
      <c r="B1573" s="16" t="s">
        <v>625</v>
      </c>
      <c r="C1573" s="21"/>
      <c r="D1573" s="21" t="s">
        <v>17</v>
      </c>
      <c r="E1573" s="21"/>
      <c r="F1573" s="21">
        <f>C1573*E1573</f>
      </c>
    </row>
    <row r="1574">
      <c r="A1574" s="4" t="s">
        <v>1146</v>
      </c>
      <c r="B1574" s="16" t="s">
        <v>1147</v>
      </c>
      <c r="C1574" s="21"/>
      <c r="D1574" s="21" t="s">
        <v>17</v>
      </c>
      <c r="E1574" s="21"/>
      <c r="F1574" s="21">
        <f>C1574*E1574</f>
      </c>
    </row>
    <row r="1575">
      <c r="A1575" s="6"/>
      <c r="B1575" s="15" t="s">
        <v>1148</v>
      </c>
      <c r="C1575" s="23"/>
      <c r="D1575" s="23"/>
      <c r="E1575" s="23"/>
      <c r="F1575" s="23"/>
    </row>
    <row r="1576">
      <c r="A1576" s="4" t="s">
        <v>1149</v>
      </c>
      <c r="B1576" s="16" t="s">
        <v>1150</v>
      </c>
      <c r="C1576" s="21"/>
      <c r="D1576" s="21" t="s">
        <v>17</v>
      </c>
      <c r="E1576" s="21"/>
      <c r="F1576" s="21">
        <f>C1576*E1576</f>
      </c>
    </row>
    <row r="1577">
      <c r="A1577" s="4" t="s">
        <v>1151</v>
      </c>
      <c r="B1577" s="16" t="s">
        <v>1152</v>
      </c>
      <c r="C1577" s="21"/>
      <c r="D1577" s="21" t="s">
        <v>17</v>
      </c>
      <c r="E1577" s="21"/>
      <c r="F1577" s="21">
        <f>C1577*E1577</f>
      </c>
    </row>
    <row r="1578">
      <c r="A1578" s="4" t="s">
        <v>1153</v>
      </c>
      <c r="B1578" s="16" t="s">
        <v>1154</v>
      </c>
      <c r="C1578" s="21"/>
      <c r="D1578" s="21" t="s">
        <v>17</v>
      </c>
      <c r="E1578" s="21"/>
      <c r="F1578" s="21">
        <f>C1578*E1578</f>
      </c>
    </row>
    <row r="1579">
      <c r="A1579" s="4" t="s">
        <v>1155</v>
      </c>
      <c r="B1579" s="16" t="s">
        <v>1156</v>
      </c>
      <c r="C1579" s="21"/>
      <c r="D1579" s="21" t="s">
        <v>17</v>
      </c>
      <c r="E1579" s="21"/>
      <c r="F1579" s="21">
        <f>C1579*E1579</f>
      </c>
    </row>
    <row r="1580">
      <c r="A1580" s="4" t="s">
        <v>1157</v>
      </c>
      <c r="B1580" s="16" t="s">
        <v>1158</v>
      </c>
      <c r="C1580" s="21"/>
      <c r="D1580" s="21" t="s">
        <v>17</v>
      </c>
      <c r="E1580" s="21"/>
      <c r="F1580" s="21">
        <f>C1580*E1580</f>
      </c>
    </row>
    <row r="1581">
      <c r="A1581" s="4" t="s">
        <v>1159</v>
      </c>
      <c r="B1581" s="16" t="s">
        <v>1139</v>
      </c>
      <c r="C1581" s="21"/>
      <c r="D1581" s="21" t="s">
        <v>17</v>
      </c>
      <c r="E1581" s="21"/>
      <c r="F1581" s="21">
        <f>C1581*E1581</f>
      </c>
    </row>
    <row r="1582">
      <c r="A1582" s="6"/>
      <c r="B1582" s="15" t="s">
        <v>1160</v>
      </c>
      <c r="C1582" s="23"/>
      <c r="D1582" s="23"/>
      <c r="E1582" s="23"/>
      <c r="F1582" s="23"/>
    </row>
    <row r="1583">
      <c r="A1583" s="4" t="s">
        <v>1161</v>
      </c>
      <c r="B1583" s="16" t="s">
        <v>820</v>
      </c>
      <c r="C1583" s="21"/>
      <c r="D1583" s="21" t="s">
        <v>17</v>
      </c>
      <c r="E1583" s="21"/>
      <c r="F1583" s="21">
        <f>C1583*E1583</f>
      </c>
    </row>
    <row r="1584">
      <c r="A1584" s="4" t="s">
        <v>1162</v>
      </c>
      <c r="B1584" s="16" t="s">
        <v>1067</v>
      </c>
      <c r="C1584" s="21"/>
      <c r="D1584" s="21" t="s">
        <v>17</v>
      </c>
      <c r="E1584" s="21"/>
      <c r="F1584" s="21">
        <f>C1584*E1584</f>
      </c>
    </row>
    <row r="1585">
      <c r="A1585" s="4" t="s">
        <v>1163</v>
      </c>
      <c r="B1585" s="16" t="s">
        <v>818</v>
      </c>
      <c r="C1585" s="21"/>
      <c r="D1585" s="21" t="s">
        <v>17</v>
      </c>
      <c r="E1585" s="21"/>
      <c r="F1585" s="21">
        <f>C1585*E1585</f>
      </c>
    </row>
    <row r="1586">
      <c r="A1586" s="3"/>
      <c r="B1586" s="11" t="s">
        <v>42</v>
      </c>
      <c r="C1586" s="20"/>
      <c r="D1586" s="20"/>
      <c r="E1586" s="20"/>
      <c r="F1586" s="20"/>
    </row>
    <row r="1587">
      <c r="A1587" s="4" t="s">
        <v>1175</v>
      </c>
      <c r="B1587" s="12" t="s">
        <v>1176</v>
      </c>
      <c r="C1587" s="21">
        <f>(1)*(1)*(1)*(1)*(1 + (0))</f>
      </c>
      <c r="D1587" s="21" t="s">
        <v>45</v>
      </c>
      <c r="E1587" s="21"/>
      <c r="F1587" s="21">
        <f>C1587*E1587</f>
      </c>
    </row>
    <row r="1588">
      <c r="A1588" s="4" t="s">
        <v>1177</v>
      </c>
      <c r="B1588" s="12" t="s">
        <v>1178</v>
      </c>
      <c r="C1588" s="21">
        <f>(1)*(1)*(1)*(1)*(1 + (0))</f>
      </c>
      <c r="D1588" s="21" t="s">
        <v>45</v>
      </c>
      <c r="E1588" s="21"/>
      <c r="F1588" s="21">
        <f>C1588*E1588</f>
      </c>
    </row>
    <row r="1589">
      <c r="A1589" s="4" t="s">
        <v>1179</v>
      </c>
      <c r="B1589" s="12" t="s">
        <v>894</v>
      </c>
      <c r="C1589" s="21">
        <f>(1)*(1)*(1)*(1)*(1 + (0))</f>
      </c>
      <c r="D1589" s="21" t="s">
        <v>45</v>
      </c>
      <c r="E1589" s="21"/>
      <c r="F1589" s="21">
        <f>C1589*E1589</f>
      </c>
    </row>
    <row r="1590">
      <c r="A1590" s="4" t="s">
        <v>1370</v>
      </c>
      <c r="B1590" s="12" t="s">
        <v>486</v>
      </c>
      <c r="C1590" s="21">
        <f>(1)*(1)*(1)*(1)*(1 + (0))</f>
      </c>
      <c r="D1590" s="21" t="s">
        <v>45</v>
      </c>
      <c r="E1590" s="21"/>
      <c r="F1590" s="21">
        <f>C1590*E1590</f>
      </c>
    </row>
    <row r="1591">
      <c r="A1591" s="4" t="s">
        <v>1371</v>
      </c>
      <c r="B1591" s="12" t="s">
        <v>59</v>
      </c>
      <c r="C1591" s="21">
        <f>(1)*(1)*(1)*(1)*(1 + (0))</f>
      </c>
      <c r="D1591" s="21" t="s">
        <v>45</v>
      </c>
      <c r="E1591" s="21"/>
      <c r="F1591" s="21">
        <f>C1591*E1591</f>
      </c>
    </row>
    <row r="1592">
      <c r="A1592" s="4" t="s">
        <v>1180</v>
      </c>
      <c r="B1592" s="12" t="s">
        <v>1181</v>
      </c>
      <c r="C1592" s="21">
        <f>(1)*(1)*(1)*(1)*(1 + (0))</f>
      </c>
      <c r="D1592" s="21" t="s">
        <v>45</v>
      </c>
      <c r="E1592" s="21"/>
      <c r="F1592" s="21">
        <f>C1592*E1592</f>
      </c>
    </row>
    <row r="1593">
      <c r="A1593" s="4" t="s">
        <v>1182</v>
      </c>
      <c r="B1593" s="12" t="s">
        <v>1183</v>
      </c>
      <c r="C1593" s="21">
        <f>(1)*(1)*(1)*(1)*(1 + (0))</f>
      </c>
      <c r="D1593" s="21" t="s">
        <v>45</v>
      </c>
      <c r="E1593" s="21"/>
      <c r="F1593" s="21">
        <f>C1593*E1593</f>
      </c>
    </row>
    <row r="1594">
      <c r="A1594" s="4" t="s">
        <v>1372</v>
      </c>
      <c r="B1594" s="12" t="s">
        <v>1019</v>
      </c>
      <c r="C1594" s="21">
        <f>(1)*(1)*(1)*(1)*(1 + (0))</f>
      </c>
      <c r="D1594" s="21" t="s">
        <v>45</v>
      </c>
      <c r="E1594" s="21"/>
      <c r="F1594" s="21">
        <f>C1594*E1594</f>
      </c>
    </row>
    <row r="1595">
      <c r="A1595" s="4" t="s">
        <v>1373</v>
      </c>
      <c r="B1595" s="12" t="s">
        <v>1169</v>
      </c>
      <c r="C1595" s="21">
        <f>(1)*(1)*(1)*(1)*(1 + (0))</f>
      </c>
      <c r="D1595" s="21" t="s">
        <v>45</v>
      </c>
      <c r="E1595" s="21"/>
      <c r="F1595" s="21">
        <f>C1595*E1595</f>
      </c>
    </row>
    <row r="1596">
      <c r="A1596" s="4" t="s">
        <v>1184</v>
      </c>
      <c r="B1596" s="12" t="s">
        <v>834</v>
      </c>
      <c r="C1596" s="21">
        <f>(1)*(1)*(1)*(1)*(1 + (0))</f>
      </c>
      <c r="D1596" s="21" t="s">
        <v>45</v>
      </c>
      <c r="E1596" s="21"/>
      <c r="F1596" s="21">
        <f>C1596*E1596</f>
      </c>
    </row>
    <row r="1597">
      <c r="A1597" s="4" t="s">
        <v>1374</v>
      </c>
      <c r="B1597" s="12" t="s">
        <v>832</v>
      </c>
      <c r="C1597" s="21">
        <f>(1)*(1)*(1)*(1)*(1 + (0))</f>
      </c>
      <c r="D1597" s="21" t="s">
        <v>45</v>
      </c>
      <c r="E1597" s="21"/>
      <c r="F1597" s="21">
        <f>C1597*E1597</f>
      </c>
    </row>
    <row r="1598">
      <c r="A1598" s="3"/>
      <c r="B1598" s="11" t="s">
        <v>82</v>
      </c>
      <c r="C1598" s="20"/>
      <c r="D1598" s="20"/>
      <c r="E1598" s="20"/>
      <c r="F1598" s="20"/>
    </row>
    <row r="1599">
      <c r="A1599" s="4"/>
      <c r="B1599" s="12" t="s">
        <v>1375</v>
      </c>
      <c r="C1599" s="21"/>
      <c r="D1599" s="21" t="s">
        <v>17</v>
      </c>
      <c r="E1599" s="21"/>
      <c r="F1599" s="21">
        <f>C1599*E1599</f>
      </c>
    </row>
    <row r="1600">
      <c r="A1600" s="4"/>
      <c r="B1600" s="12" t="s">
        <v>1376</v>
      </c>
      <c r="C1600" s="21"/>
      <c r="D1600" s="21" t="s">
        <v>17</v>
      </c>
      <c r="E1600" s="21"/>
      <c r="F1600" s="21">
        <f>C1600*E1600</f>
      </c>
    </row>
    <row r="1601">
      <c r="A1601" s="4"/>
      <c r="B1601" s="12" t="s">
        <v>1377</v>
      </c>
      <c r="C1601" s="21"/>
      <c r="D1601" s="21" t="s">
        <v>17</v>
      </c>
      <c r="E1601" s="21"/>
      <c r="F1601" s="21">
        <f>C1601*E1601</f>
      </c>
    </row>
    <row r="1602">
      <c r="A1602" s="4"/>
      <c r="B1602" s="12" t="s">
        <v>1378</v>
      </c>
      <c r="C1602" s="21"/>
      <c r="D1602" s="21" t="s">
        <v>264</v>
      </c>
      <c r="E1602" s="21"/>
      <c r="F1602" s="21">
        <f>C1602*E1602</f>
      </c>
    </row>
    <row r="1603">
      <c r="A1603" s="3"/>
      <c r="B1603" s="11" t="s">
        <v>1379</v>
      </c>
      <c r="C1603" s="20"/>
      <c r="D1603" s="20"/>
      <c r="E1603" s="20"/>
      <c r="F1603" s="20"/>
    </row>
    <row r="1604">
      <c r="A1604" s="5"/>
      <c r="B1604" s="13" t="s">
        <v>1380</v>
      </c>
      <c r="C1604" s="22"/>
      <c r="D1604" s="22"/>
      <c r="E1604" s="22"/>
      <c r="F1604" s="22"/>
    </row>
    <row r="1605">
      <c r="A1605" s="6"/>
      <c r="B1605" s="15" t="s">
        <v>1381</v>
      </c>
      <c r="C1605" s="23"/>
      <c r="D1605" s="23"/>
      <c r="E1605" s="23"/>
      <c r="F1605" s="23"/>
    </row>
    <row r="1606">
      <c r="A1606" s="4"/>
      <c r="B1606" s="16" t="s">
        <v>1382</v>
      </c>
      <c r="C1606" s="21">
        <f>(158)*(1)*(1)*(1)*(1 + (0))</f>
      </c>
      <c r="D1606" s="21" t="s">
        <v>9</v>
      </c>
      <c r="E1606" s="21"/>
      <c r="F1606" s="21">
        <f>C1606*E1606</f>
      </c>
    </row>
    <row r="1607">
      <c r="A1607" s="4"/>
      <c r="B1607" s="16" t="s">
        <v>1257</v>
      </c>
      <c r="C1607" s="21">
        <f>(58)*(1)*(1)*(1)*(1 + (0))</f>
      </c>
      <c r="D1607" s="21" t="s">
        <v>9</v>
      </c>
      <c r="E1607" s="21"/>
      <c r="F1607" s="21">
        <f>C1607*E1607</f>
      </c>
    </row>
    <row r="1608">
      <c r="A1608" s="6"/>
      <c r="B1608" s="15" t="s">
        <v>1383</v>
      </c>
      <c r="C1608" s="23"/>
      <c r="D1608" s="23"/>
      <c r="E1608" s="23"/>
      <c r="F1608" s="23"/>
    </row>
    <row r="1609">
      <c r="A1609" s="4"/>
      <c r="B1609" s="16" t="s">
        <v>1382</v>
      </c>
      <c r="C1609" s="21">
        <f>(12)*(1)*(1)*(1)*(1 + (0))</f>
      </c>
      <c r="D1609" s="21" t="s">
        <v>9</v>
      </c>
      <c r="E1609" s="21"/>
      <c r="F1609" s="21">
        <f>C1609*E1609</f>
      </c>
    </row>
    <row r="1610">
      <c r="A1610" s="6"/>
      <c r="B1610" s="15" t="s">
        <v>1384</v>
      </c>
      <c r="C1610" s="23"/>
      <c r="D1610" s="23"/>
      <c r="E1610" s="23"/>
      <c r="F1610" s="23"/>
    </row>
    <row r="1611">
      <c r="A1611" s="4"/>
      <c r="B1611" s="16" t="s">
        <v>1382</v>
      </c>
      <c r="C1611" s="21">
        <f>(30)*(1)*(1)*(1)*(1 + (0))</f>
      </c>
      <c r="D1611" s="21" t="s">
        <v>9</v>
      </c>
      <c r="E1611" s="21"/>
      <c r="F1611" s="21">
        <f>C1611*E1611</f>
      </c>
    </row>
    <row r="1612">
      <c r="A1612" s="6"/>
      <c r="B1612" s="15" t="s">
        <v>1385</v>
      </c>
      <c r="C1612" s="23"/>
      <c r="D1612" s="23"/>
      <c r="E1612" s="23"/>
      <c r="F1612" s="23"/>
    </row>
    <row r="1613">
      <c r="A1613" s="4"/>
      <c r="B1613" s="16" t="s">
        <v>1382</v>
      </c>
      <c r="C1613" s="21">
        <f>(29)*(1)*(1)*(1)*(1 + (0))</f>
      </c>
      <c r="D1613" s="21" t="s">
        <v>9</v>
      </c>
      <c r="E1613" s="21"/>
      <c r="F1613" s="21">
        <f>C1613*E1613</f>
      </c>
    </row>
    <row r="1614">
      <c r="A1614" s="5"/>
      <c r="B1614" s="13" t="s">
        <v>1386</v>
      </c>
      <c r="C1614" s="22"/>
      <c r="D1614" s="22"/>
      <c r="E1614" s="22"/>
      <c r="F1614" s="22"/>
    </row>
    <row r="1615">
      <c r="A1615" s="6"/>
      <c r="B1615" s="15" t="s">
        <v>1387</v>
      </c>
      <c r="C1615" s="23"/>
      <c r="D1615" s="23"/>
      <c r="E1615" s="23"/>
      <c r="F1615" s="23"/>
    </row>
    <row r="1616">
      <c r="A1616" s="4"/>
      <c r="B1616" s="16" t="s">
        <v>1188</v>
      </c>
      <c r="C1616" s="21">
        <f>(540)*(1)*(1)*(1)*(1 + (0))</f>
      </c>
      <c r="D1616" s="21" t="s">
        <v>9</v>
      </c>
      <c r="E1616" s="21"/>
      <c r="F1616" s="21">
        <f>C1616*E1616</f>
      </c>
    </row>
    <row r="1617">
      <c r="A1617" s="4"/>
      <c r="B1617" s="16" t="s">
        <v>841</v>
      </c>
      <c r="C1617" s="21">
        <f>(329)*(1)*(1)*(1)*(1 + (0))</f>
      </c>
      <c r="D1617" s="21" t="s">
        <v>9</v>
      </c>
      <c r="E1617" s="21"/>
      <c r="F1617" s="21">
        <f>C1617*E1617</f>
      </c>
    </row>
    <row r="1618">
      <c r="A1618" s="6"/>
      <c r="B1618" s="15" t="s">
        <v>1388</v>
      </c>
      <c r="C1618" s="23"/>
      <c r="D1618" s="23"/>
      <c r="E1618" s="23"/>
      <c r="F1618" s="23"/>
    </row>
    <row r="1619">
      <c r="A1619" s="4"/>
      <c r="B1619" s="16" t="s">
        <v>1188</v>
      </c>
      <c r="C1619" s="21">
        <f>(231)*(1)*(1)*(1)*(1 + (0))</f>
      </c>
      <c r="D1619" s="21" t="s">
        <v>9</v>
      </c>
      <c r="E1619" s="21"/>
      <c r="F1619" s="21">
        <f>C1619*E1619</f>
      </c>
    </row>
    <row r="1620">
      <c r="A1620" s="4"/>
      <c r="B1620" s="16" t="s">
        <v>841</v>
      </c>
      <c r="C1620" s="21">
        <f>(133)*(1)*(1)*(1)*(1 + (0))</f>
      </c>
      <c r="D1620" s="21" t="s">
        <v>9</v>
      </c>
      <c r="E1620" s="21"/>
      <c r="F1620" s="21">
        <f>C1620*E1620</f>
      </c>
    </row>
    <row r="1621">
      <c r="A1621" s="6"/>
      <c r="B1621" s="15" t="s">
        <v>1389</v>
      </c>
      <c r="C1621" s="23"/>
      <c r="D1621" s="23"/>
      <c r="E1621" s="23"/>
      <c r="F1621" s="23"/>
    </row>
    <row r="1622">
      <c r="A1622" s="4"/>
      <c r="B1622" s="16" t="s">
        <v>841</v>
      </c>
      <c r="C1622" s="21">
        <f>(57)*(1)*(1)*(1)*(1 + (0))</f>
      </c>
      <c r="D1622" s="21" t="s">
        <v>9</v>
      </c>
      <c r="E1622" s="21"/>
      <c r="F1622" s="21">
        <f>C1622*E1622</f>
      </c>
    </row>
    <row r="1623">
      <c r="A1623" s="6"/>
      <c r="B1623" s="15" t="s">
        <v>1390</v>
      </c>
      <c r="C1623" s="23"/>
      <c r="D1623" s="23"/>
      <c r="E1623" s="23"/>
      <c r="F1623" s="23"/>
    </row>
    <row r="1624">
      <c r="A1624" s="4"/>
      <c r="B1624" s="16" t="s">
        <v>1382</v>
      </c>
      <c r="C1624" s="21">
        <f>(12)*(1)*(1)*(1)*(1 + (0))</f>
      </c>
      <c r="D1624" s="21" t="s">
        <v>9</v>
      </c>
      <c r="E1624" s="21"/>
      <c r="F1624" s="21">
        <f>C1624*E1624</f>
      </c>
    </row>
    <row r="1625">
      <c r="A1625" s="6"/>
      <c r="B1625" s="15" t="s">
        <v>1391</v>
      </c>
      <c r="C1625" s="23"/>
      <c r="D1625" s="23"/>
      <c r="E1625" s="23"/>
      <c r="F1625" s="23"/>
    </row>
    <row r="1626">
      <c r="A1626" s="4"/>
      <c r="B1626" s="16" t="s">
        <v>1382</v>
      </c>
      <c r="C1626" s="21">
        <f>(77)*(1)*(1)*(1)*(1 + (0))</f>
      </c>
      <c r="D1626" s="21" t="s">
        <v>9</v>
      </c>
      <c r="E1626" s="21"/>
      <c r="F1626" s="21">
        <f>C1626*E1626</f>
      </c>
    </row>
    <row r="1627">
      <c r="A1627" s="6"/>
      <c r="B1627" s="15" t="s">
        <v>1392</v>
      </c>
      <c r="C1627" s="23"/>
      <c r="D1627" s="23"/>
      <c r="E1627" s="23"/>
      <c r="F1627" s="23"/>
    </row>
    <row r="1628">
      <c r="A1628" s="4"/>
      <c r="B1628" s="16" t="s">
        <v>1382</v>
      </c>
      <c r="C1628" s="21">
        <f>(43)*(1)*(1)*(1)*(1 + (0))</f>
      </c>
      <c r="D1628" s="21" t="s">
        <v>9</v>
      </c>
      <c r="E1628" s="21"/>
      <c r="F1628" s="21">
        <f>C1628*E1628</f>
      </c>
    </row>
    <row r="1629">
      <c r="A1629" s="6"/>
      <c r="B1629" s="15" t="s">
        <v>1393</v>
      </c>
      <c r="C1629" s="23"/>
      <c r="D1629" s="23"/>
      <c r="E1629" s="23"/>
      <c r="F1629" s="23"/>
    </row>
    <row r="1630">
      <c r="A1630" s="4"/>
      <c r="B1630" s="16" t="s">
        <v>1382</v>
      </c>
      <c r="C1630" s="21">
        <f>(11)*(1)*(1)*(1)*(1 + (0))</f>
      </c>
      <c r="D1630" s="21" t="s">
        <v>9</v>
      </c>
      <c r="E1630" s="21"/>
      <c r="F1630" s="21">
        <f>C1630*E1630</f>
      </c>
    </row>
    <row r="1631">
      <c r="A1631" s="6"/>
      <c r="B1631" s="15" t="s">
        <v>1394</v>
      </c>
      <c r="C1631" s="23"/>
      <c r="D1631" s="23"/>
      <c r="E1631" s="23"/>
      <c r="F1631" s="23"/>
    </row>
    <row r="1632">
      <c r="A1632" s="4"/>
      <c r="B1632" s="16" t="s">
        <v>1382</v>
      </c>
      <c r="C1632" s="21">
        <f>(87)*(1)*(1)*(1)*(1 + (0))</f>
      </c>
      <c r="D1632" s="21" t="s">
        <v>9</v>
      </c>
      <c r="E1632" s="21"/>
      <c r="F1632" s="21">
        <f>C1632*E1632</f>
      </c>
    </row>
    <row r="1633">
      <c r="A1633" s="4"/>
      <c r="B1633" s="16" t="s">
        <v>1257</v>
      </c>
      <c r="C1633" s="21">
        <f>(85)*(1)*(1)*(1)*(1 + (0))</f>
      </c>
      <c r="D1633" s="21" t="s">
        <v>9</v>
      </c>
      <c r="E1633" s="21"/>
      <c r="F1633" s="21">
        <f>C1633*E1633</f>
      </c>
    </row>
    <row r="1634">
      <c r="A1634" s="6"/>
      <c r="B1634" s="15" t="s">
        <v>1395</v>
      </c>
      <c r="C1634" s="23"/>
      <c r="D1634" s="23"/>
      <c r="E1634" s="23"/>
      <c r="F1634" s="23"/>
    </row>
    <row r="1635">
      <c r="A1635" s="4"/>
      <c r="B1635" s="16" t="s">
        <v>1382</v>
      </c>
      <c r="C1635" s="21">
        <f>(99)*(1)*(1)*(1)*(1 + (0))</f>
      </c>
      <c r="D1635" s="21" t="s">
        <v>9</v>
      </c>
      <c r="E1635" s="21"/>
      <c r="F1635" s="21">
        <f>C1635*E1635</f>
      </c>
    </row>
    <row r="1636">
      <c r="A1636" s="4"/>
      <c r="B1636" s="16" t="s">
        <v>1257</v>
      </c>
      <c r="C1636" s="21">
        <f>(167)*(1)*(1)*(1)*(1 + (0))</f>
      </c>
      <c r="D1636" s="21" t="s">
        <v>9</v>
      </c>
      <c r="E1636" s="21"/>
      <c r="F1636" s="21">
        <f>C1636*E1636</f>
      </c>
    </row>
    <row r="1637">
      <c r="A1637" s="6"/>
      <c r="B1637" s="15" t="s">
        <v>1396</v>
      </c>
      <c r="C1637" s="23"/>
      <c r="D1637" s="23"/>
      <c r="E1637" s="23"/>
      <c r="F1637" s="23"/>
    </row>
    <row r="1638">
      <c r="A1638" s="4"/>
      <c r="B1638" s="16" t="s">
        <v>1382</v>
      </c>
      <c r="C1638" s="21">
        <f>(42)*(1)*(1)*(1)*(1 + (0))</f>
      </c>
      <c r="D1638" s="21" t="s">
        <v>9</v>
      </c>
      <c r="E1638" s="21"/>
      <c r="F1638" s="21">
        <f>C1638*E1638</f>
      </c>
    </row>
    <row r="1639">
      <c r="A1639" s="6"/>
      <c r="B1639" s="15" t="s">
        <v>1397</v>
      </c>
      <c r="C1639" s="23"/>
      <c r="D1639" s="23"/>
      <c r="E1639" s="23"/>
      <c r="F1639" s="23"/>
    </row>
    <row r="1640">
      <c r="A1640" s="4"/>
      <c r="B1640" s="16" t="s">
        <v>1382</v>
      </c>
      <c r="C1640" s="21">
        <f>(183)*(1)*(1)*(1)*(1 + (0))</f>
      </c>
      <c r="D1640" s="21" t="s">
        <v>9</v>
      </c>
      <c r="E1640" s="21"/>
      <c r="F1640" s="21">
        <f>C1640*E1640</f>
      </c>
    </row>
    <row r="1641">
      <c r="A1641" s="4"/>
      <c r="B1641" s="16" t="s">
        <v>1257</v>
      </c>
      <c r="C1641" s="21">
        <f>(384)*(1)*(1)*(1)*(1 + (0))</f>
      </c>
      <c r="D1641" s="21" t="s">
        <v>9</v>
      </c>
      <c r="E1641" s="21"/>
      <c r="F1641" s="21">
        <f>C1641*E1641</f>
      </c>
    </row>
    <row r="1642">
      <c r="A1642" s="5"/>
      <c r="B1642" s="13" t="s">
        <v>1398</v>
      </c>
      <c r="C1642" s="22"/>
      <c r="D1642" s="22"/>
      <c r="E1642" s="22"/>
      <c r="F1642" s="22"/>
    </row>
    <row r="1643">
      <c r="A1643" s="6"/>
      <c r="B1643" s="15" t="s">
        <v>1399</v>
      </c>
      <c r="C1643" s="23"/>
      <c r="D1643" s="23"/>
      <c r="E1643" s="23"/>
      <c r="F1643" s="23"/>
    </row>
    <row r="1644">
      <c r="A1644" s="4"/>
      <c r="B1644" s="16" t="s">
        <v>1382</v>
      </c>
      <c r="C1644" s="21">
        <f>(99)*(1)*(1)*(1)*(1 + (0))</f>
      </c>
      <c r="D1644" s="21" t="s">
        <v>9</v>
      </c>
      <c r="E1644" s="21"/>
      <c r="F1644" s="21">
        <f>C1644*E1644</f>
      </c>
    </row>
    <row r="1645">
      <c r="A1645" s="4"/>
      <c r="B1645" s="16" t="s">
        <v>1257</v>
      </c>
      <c r="C1645" s="21">
        <f>(167)*(1)*(1)*(1)*(1 + (0))</f>
      </c>
      <c r="D1645" s="21" t="s">
        <v>9</v>
      </c>
      <c r="E1645" s="21"/>
      <c r="F1645" s="21">
        <f>C1645*E1645</f>
      </c>
    </row>
    <row r="1646">
      <c r="A1646" s="6"/>
      <c r="B1646" s="15" t="s">
        <v>1399</v>
      </c>
      <c r="C1646" s="23"/>
      <c r="D1646" s="23"/>
      <c r="E1646" s="23"/>
      <c r="F1646" s="23"/>
    </row>
    <row r="1647">
      <c r="A1647" s="4"/>
      <c r="B1647" s="16" t="s">
        <v>1257</v>
      </c>
      <c r="C1647" s="21">
        <f>(48)*(1)*(1)*(1)*(1 + (0))</f>
      </c>
      <c r="D1647" s="21" t="s">
        <v>9</v>
      </c>
      <c r="E1647" s="21"/>
      <c r="F1647" s="21">
        <f>C1647*E1647</f>
      </c>
    </row>
    <row r="1648">
      <c r="A1648" s="6"/>
      <c r="B1648" s="15" t="s">
        <v>1400</v>
      </c>
      <c r="C1648" s="23"/>
      <c r="D1648" s="23"/>
      <c r="E1648" s="23"/>
      <c r="F1648" s="23"/>
    </row>
    <row r="1649">
      <c r="A1649" s="4"/>
      <c r="B1649" s="16" t="s">
        <v>1401</v>
      </c>
      <c r="C1649" s="21">
        <f>(394)*(1)*(1)*(1)*(1 + (0))</f>
      </c>
      <c r="D1649" s="21" t="s">
        <v>9</v>
      </c>
      <c r="E1649" s="21"/>
      <c r="F1649" s="21">
        <f>C1649*E1649</f>
      </c>
    </row>
    <row r="1650">
      <c r="A1650" s="6"/>
      <c r="B1650" s="15" t="s">
        <v>1402</v>
      </c>
      <c r="C1650" s="23"/>
      <c r="D1650" s="23"/>
      <c r="E1650" s="23"/>
      <c r="F1650" s="23"/>
    </row>
    <row r="1651">
      <c r="A1651" s="4"/>
      <c r="B1651" s="16" t="s">
        <v>1401</v>
      </c>
      <c r="C1651" s="21">
        <f>(193)*(1)*(1)*(1)*(1 + (0))</f>
      </c>
      <c r="D1651" s="21" t="s">
        <v>9</v>
      </c>
      <c r="E1651" s="21"/>
      <c r="F1651" s="21">
        <f>C1651*E1651</f>
      </c>
    </row>
    <row r="1652">
      <c r="A1652" s="3"/>
      <c r="B1652" s="11" t="s">
        <v>1403</v>
      </c>
      <c r="C1652" s="20"/>
      <c r="D1652" s="20"/>
      <c r="E1652" s="20"/>
      <c r="F1652" s="20"/>
    </row>
    <row r="1653">
      <c r="A1653" s="5"/>
      <c r="B1653" s="13" t="s">
        <v>1380</v>
      </c>
      <c r="C1653" s="22"/>
      <c r="D1653" s="22"/>
      <c r="E1653" s="22"/>
      <c r="F1653" s="22"/>
    </row>
    <row r="1654">
      <c r="A1654" s="6"/>
      <c r="B1654" s="15" t="s">
        <v>1404</v>
      </c>
      <c r="C1654" s="23"/>
      <c r="D1654" s="23"/>
      <c r="E1654" s="23"/>
      <c r="F1654" s="23"/>
    </row>
    <row r="1655">
      <c r="A1655" s="4"/>
      <c r="B1655" s="16" t="s">
        <v>1382</v>
      </c>
      <c r="C1655" s="21">
        <f>(36)*(1)*(1)*(1)*(1 + (0))</f>
      </c>
      <c r="D1655" s="21" t="s">
        <v>9</v>
      </c>
      <c r="E1655" s="21"/>
      <c r="F1655" s="21">
        <f>C1655*E1655</f>
      </c>
    </row>
    <row r="1656">
      <c r="A1656" s="6"/>
      <c r="B1656" s="15" t="s">
        <v>1405</v>
      </c>
      <c r="C1656" s="23"/>
      <c r="D1656" s="23"/>
      <c r="E1656" s="23"/>
      <c r="F1656" s="23"/>
    </row>
    <row r="1657">
      <c r="A1657" s="4"/>
      <c r="B1657" s="16" t="s">
        <v>1382</v>
      </c>
      <c r="C1657" s="21">
        <f>(34)*(1)*(1)*(1)*(1 + (0))</f>
      </c>
      <c r="D1657" s="21" t="s">
        <v>9</v>
      </c>
      <c r="E1657" s="21"/>
      <c r="F1657" s="21">
        <f>C1657*E1657</f>
      </c>
    </row>
    <row r="1658">
      <c r="A1658" s="6"/>
      <c r="B1658" s="15" t="s">
        <v>1406</v>
      </c>
      <c r="C1658" s="23"/>
      <c r="D1658" s="23"/>
      <c r="E1658" s="23"/>
      <c r="F1658" s="23"/>
    </row>
    <row r="1659">
      <c r="A1659" s="4"/>
      <c r="B1659" s="16" t="s">
        <v>1382</v>
      </c>
      <c r="C1659" s="21">
        <f>(2)*(1)*(1)*(1)*(1 + (0))</f>
      </c>
      <c r="D1659" s="21" t="s">
        <v>9</v>
      </c>
      <c r="E1659" s="21"/>
      <c r="F1659" s="21">
        <f>C1659*E1659</f>
      </c>
    </row>
    <row r="1660">
      <c r="A1660" s="6"/>
      <c r="B1660" s="15" t="s">
        <v>1407</v>
      </c>
      <c r="C1660" s="23"/>
      <c r="D1660" s="23"/>
      <c r="E1660" s="23"/>
      <c r="F1660" s="23"/>
    </row>
    <row r="1661">
      <c r="A1661" s="4"/>
      <c r="B1661" s="16" t="s">
        <v>1382</v>
      </c>
      <c r="C1661" s="21">
        <f>(9)*(1)*(1)*(1)*(1 + (0))</f>
      </c>
      <c r="D1661" s="21" t="s">
        <v>9</v>
      </c>
      <c r="E1661" s="21"/>
      <c r="F1661" s="21">
        <f>C1661*E1661</f>
      </c>
    </row>
    <row r="1662">
      <c r="A1662" s="6"/>
      <c r="B1662" s="15" t="s">
        <v>1408</v>
      </c>
      <c r="C1662" s="23"/>
      <c r="D1662" s="23"/>
      <c r="E1662" s="23"/>
      <c r="F1662" s="23"/>
    </row>
    <row r="1663">
      <c r="A1663" s="4"/>
      <c r="B1663" s="16" t="s">
        <v>1257</v>
      </c>
      <c r="C1663" s="21">
        <f>(62)*(1)*(1)*(1)*(1 + (0))</f>
      </c>
      <c r="D1663" s="21" t="s">
        <v>9</v>
      </c>
      <c r="E1663" s="21"/>
      <c r="F1663" s="21">
        <f>C1663*E1663</f>
      </c>
    </row>
    <row r="1664">
      <c r="A1664" s="6"/>
      <c r="B1664" s="15" t="s">
        <v>1409</v>
      </c>
      <c r="C1664" s="23"/>
      <c r="D1664" s="23"/>
      <c r="E1664" s="23"/>
      <c r="F1664" s="23"/>
    </row>
    <row r="1665">
      <c r="A1665" s="4"/>
      <c r="B1665" s="16" t="s">
        <v>1257</v>
      </c>
      <c r="C1665" s="21">
        <f>(42)*(1)*(1)*(1)*(1 + (0))</f>
      </c>
      <c r="D1665" s="21" t="s">
        <v>9</v>
      </c>
      <c r="E1665" s="21"/>
      <c r="F1665" s="21">
        <f>C1665*E1665</f>
      </c>
    </row>
    <row r="1666">
      <c r="A1666" s="6"/>
      <c r="B1666" s="15" t="s">
        <v>1410</v>
      </c>
      <c r="C1666" s="23"/>
      <c r="D1666" s="23"/>
      <c r="E1666" s="23"/>
      <c r="F1666" s="23"/>
    </row>
    <row r="1667">
      <c r="A1667" s="4"/>
      <c r="B1667" s="16" t="s">
        <v>1257</v>
      </c>
      <c r="C1667" s="21">
        <f>(18)*(1)*(1)*(1)*(1 + (0))</f>
      </c>
      <c r="D1667" s="21" t="s">
        <v>9</v>
      </c>
      <c r="E1667" s="21"/>
      <c r="F1667" s="21">
        <f>C1667*E1667</f>
      </c>
    </row>
    <row r="1668">
      <c r="A1668" s="6"/>
      <c r="B1668" s="15" t="s">
        <v>1411</v>
      </c>
      <c r="C1668" s="23"/>
      <c r="D1668" s="23"/>
      <c r="E1668" s="23"/>
      <c r="F1668" s="23"/>
    </row>
    <row r="1669">
      <c r="A1669" s="4"/>
      <c r="B1669" s="16" t="s">
        <v>1382</v>
      </c>
      <c r="C1669" s="21">
        <f>(40)*(1)*(1)*(1)*(1 + (0))</f>
      </c>
      <c r="D1669" s="21" t="s">
        <v>9</v>
      </c>
      <c r="E1669" s="21"/>
      <c r="F1669" s="21">
        <f>C1669*E1669</f>
      </c>
    </row>
    <row r="1670">
      <c r="A1670" s="6"/>
      <c r="B1670" s="15" t="s">
        <v>1412</v>
      </c>
      <c r="C1670" s="23"/>
      <c r="D1670" s="23"/>
      <c r="E1670" s="23"/>
      <c r="F1670" s="23"/>
    </row>
    <row r="1671">
      <c r="A1671" s="4"/>
      <c r="B1671" s="16" t="s">
        <v>1382</v>
      </c>
      <c r="C1671" s="21">
        <f>(3)*(1)*(1)*(1)*(1 + (0))</f>
      </c>
      <c r="D1671" s="21" t="s">
        <v>9</v>
      </c>
      <c r="E1671" s="21"/>
      <c r="F1671" s="21">
        <f>C1671*E1671</f>
      </c>
    </row>
    <row r="1672">
      <c r="A1672" s="6"/>
      <c r="B1672" s="15" t="s">
        <v>1413</v>
      </c>
      <c r="C1672" s="23"/>
      <c r="D1672" s="23"/>
      <c r="E1672" s="23"/>
      <c r="F1672" s="23"/>
    </row>
    <row r="1673">
      <c r="A1673" s="4"/>
      <c r="B1673" s="16" t="s">
        <v>1257</v>
      </c>
      <c r="C1673" s="21">
        <f>(207)*(1)*(1)*(1)*(1 + (0))</f>
      </c>
      <c r="D1673" s="21" t="s">
        <v>9</v>
      </c>
      <c r="E1673" s="21"/>
      <c r="F1673" s="21">
        <f>C1673*E1673</f>
      </c>
    </row>
    <row r="1674">
      <c r="A1674" s="5"/>
      <c r="B1674" s="13" t="s">
        <v>1414</v>
      </c>
      <c r="C1674" s="22"/>
      <c r="D1674" s="22"/>
      <c r="E1674" s="22"/>
      <c r="F1674" s="22"/>
    </row>
    <row r="1675">
      <c r="A1675" s="6"/>
      <c r="B1675" s="15" t="s">
        <v>1415</v>
      </c>
      <c r="C1675" s="23"/>
      <c r="D1675" s="23"/>
      <c r="E1675" s="23"/>
      <c r="F1675" s="23"/>
    </row>
    <row r="1676">
      <c r="A1676" s="4"/>
      <c r="B1676" s="16" t="s">
        <v>1257</v>
      </c>
      <c r="C1676" s="21">
        <f>(99)*(1)*(1)*(1)*(1 + (0))</f>
      </c>
      <c r="D1676" s="21" t="s">
        <v>9</v>
      </c>
      <c r="E1676" s="21"/>
      <c r="F1676" s="21">
        <f>C1676*E1676</f>
      </c>
    </row>
    <row r="1677">
      <c r="A1677" s="6"/>
      <c r="B1677" s="15" t="s">
        <v>1416</v>
      </c>
      <c r="C1677" s="23"/>
      <c r="D1677" s="23"/>
      <c r="E1677" s="23"/>
      <c r="F1677" s="23"/>
    </row>
    <row r="1678">
      <c r="A1678" s="4"/>
      <c r="B1678" s="16" t="s">
        <v>1382</v>
      </c>
      <c r="C1678" s="21">
        <f>(12)*(1)*(1)*(1)*(1 + (0))</f>
      </c>
      <c r="D1678" s="21" t="s">
        <v>9</v>
      </c>
      <c r="E1678" s="21"/>
      <c r="F1678" s="21">
        <f>C1678*E1678</f>
      </c>
    </row>
    <row r="1679">
      <c r="A1679" s="6"/>
      <c r="B1679" s="15" t="s">
        <v>1417</v>
      </c>
      <c r="C1679" s="23"/>
      <c r="D1679" s="23"/>
      <c r="E1679" s="23"/>
      <c r="F1679" s="23"/>
    </row>
    <row r="1680">
      <c r="A1680" s="4"/>
      <c r="B1680" s="16" t="s">
        <v>1382</v>
      </c>
      <c r="C1680" s="21">
        <f>(54)*(1)*(1)*(1)*(1 + (0))</f>
      </c>
      <c r="D1680" s="21" t="s">
        <v>9</v>
      </c>
      <c r="E1680" s="21"/>
      <c r="F1680" s="21">
        <f>C1680*E1680</f>
      </c>
    </row>
    <row r="1681">
      <c r="A1681" s="6"/>
      <c r="B1681" s="15" t="s">
        <v>1418</v>
      </c>
      <c r="C1681" s="23"/>
      <c r="D1681" s="23"/>
      <c r="E1681" s="23"/>
      <c r="F1681" s="23"/>
    </row>
    <row r="1682">
      <c r="A1682" s="4"/>
      <c r="B1682" s="16" t="s">
        <v>1382</v>
      </c>
      <c r="C1682" s="21">
        <f>(6)*(1)*(1)*(1)*(1 + (0))</f>
      </c>
      <c r="D1682" s="21" t="s">
        <v>9</v>
      </c>
      <c r="E1682" s="21"/>
      <c r="F1682" s="21">
        <f>C1682*E1682</f>
      </c>
    </row>
    <row r="1683">
      <c r="A1683" s="6"/>
      <c r="B1683" s="15" t="s">
        <v>1419</v>
      </c>
      <c r="C1683" s="23"/>
      <c r="D1683" s="23"/>
      <c r="E1683" s="23"/>
      <c r="F1683" s="23"/>
    </row>
    <row r="1684">
      <c r="A1684" s="4"/>
      <c r="B1684" s="16" t="s">
        <v>1257</v>
      </c>
      <c r="C1684" s="21">
        <f>(21)*(1)*(1)*(1)*(1 + (0))</f>
      </c>
      <c r="D1684" s="21" t="s">
        <v>9</v>
      </c>
      <c r="E1684" s="21"/>
      <c r="F1684" s="21">
        <f>C1684*E1684</f>
      </c>
    </row>
    <row r="1685">
      <c r="A1685" s="6"/>
      <c r="B1685" s="15" t="s">
        <v>1420</v>
      </c>
      <c r="C1685" s="23"/>
      <c r="D1685" s="23"/>
      <c r="E1685" s="23"/>
      <c r="F1685" s="23"/>
    </row>
    <row r="1686">
      <c r="A1686" s="4"/>
      <c r="B1686" s="16" t="s">
        <v>1382</v>
      </c>
      <c r="C1686" s="21">
        <f>(20)*(1)*(1)*(1)*(1 + (0))</f>
      </c>
      <c r="D1686" s="21" t="s">
        <v>9</v>
      </c>
      <c r="E1686" s="21"/>
      <c r="F1686" s="21">
        <f>C1686*E1686</f>
      </c>
    </row>
    <row r="1687">
      <c r="A1687" s="6"/>
      <c r="B1687" s="15" t="s">
        <v>1421</v>
      </c>
      <c r="C1687" s="23"/>
      <c r="D1687" s="23"/>
      <c r="E1687" s="23"/>
      <c r="F1687" s="23"/>
    </row>
    <row r="1688">
      <c r="A1688" s="4"/>
      <c r="B1688" s="16" t="s">
        <v>1382</v>
      </c>
      <c r="C1688" s="21">
        <f>(186)*(1)*(1)*(1)*(1 + (0))</f>
      </c>
      <c r="D1688" s="21" t="s">
        <v>9</v>
      </c>
      <c r="E1688" s="21"/>
      <c r="F1688" s="21">
        <f>C1688*E1688</f>
      </c>
    </row>
    <row r="1689">
      <c r="A1689" s="4"/>
      <c r="B1689" s="16" t="s">
        <v>1257</v>
      </c>
      <c r="C1689" s="21">
        <f>(99)*(1)*(1)*(1)*(1 + (0))</f>
      </c>
      <c r="D1689" s="21" t="s">
        <v>9</v>
      </c>
      <c r="E1689" s="21"/>
      <c r="F1689" s="21">
        <f>C1689*E1689</f>
      </c>
    </row>
    <row r="1690">
      <c r="A1690" s="6"/>
      <c r="B1690" s="15" t="s">
        <v>1422</v>
      </c>
      <c r="C1690" s="23"/>
      <c r="D1690" s="23"/>
      <c r="E1690" s="23"/>
      <c r="F1690" s="23"/>
    </row>
    <row r="1691">
      <c r="A1691" s="4"/>
      <c r="B1691" s="16" t="s">
        <v>1382</v>
      </c>
      <c r="C1691" s="21">
        <f>(3)*(1)*(1)*(1)*(1 + (0))</f>
      </c>
      <c r="D1691" s="21" t="s">
        <v>9</v>
      </c>
      <c r="E1691" s="21"/>
      <c r="F1691" s="21">
        <f>C1691*E1691</f>
      </c>
    </row>
    <row r="1692">
      <c r="A1692" s="4"/>
      <c r="B1692" s="16" t="s">
        <v>1257</v>
      </c>
      <c r="C1692" s="21">
        <f>(3)*(1)*(1)*(1)*(1 + (0))</f>
      </c>
      <c r="D1692" s="21" t="s">
        <v>9</v>
      </c>
      <c r="E1692" s="21"/>
      <c r="F1692" s="21">
        <f>C1692*E1692</f>
      </c>
    </row>
    <row r="1693">
      <c r="A1693" s="6"/>
      <c r="B1693" s="15" t="s">
        <v>1423</v>
      </c>
      <c r="C1693" s="23"/>
      <c r="D1693" s="23"/>
      <c r="E1693" s="23"/>
      <c r="F1693" s="23"/>
    </row>
    <row r="1694">
      <c r="A1694" s="4"/>
      <c r="B1694" s="16" t="s">
        <v>1382</v>
      </c>
      <c r="C1694" s="21">
        <f>(7)*(1)*(1)*(1)*(1 + (0))</f>
      </c>
      <c r="D1694" s="21" t="s">
        <v>9</v>
      </c>
      <c r="E1694" s="21"/>
      <c r="F1694" s="21">
        <f>C1694*E1694</f>
      </c>
    </row>
    <row r="1695">
      <c r="A1695" s="6"/>
      <c r="B1695" s="15" t="s">
        <v>1424</v>
      </c>
      <c r="C1695" s="23"/>
      <c r="D1695" s="23"/>
      <c r="E1695" s="23"/>
      <c r="F1695" s="23"/>
    </row>
    <row r="1696">
      <c r="A1696" s="4"/>
      <c r="B1696" s="16" t="s">
        <v>1382</v>
      </c>
      <c r="C1696" s="21">
        <f>(11)*(1)*(1)*(1)*(1 + (0))</f>
      </c>
      <c r="D1696" s="21" t="s">
        <v>9</v>
      </c>
      <c r="E1696" s="21"/>
      <c r="F1696" s="21">
        <f>C1696*E1696</f>
      </c>
    </row>
    <row r="1697">
      <c r="A1697" s="6"/>
      <c r="B1697" s="15" t="s">
        <v>1425</v>
      </c>
      <c r="C1697" s="23"/>
      <c r="D1697" s="23"/>
      <c r="E1697" s="23"/>
      <c r="F1697" s="23"/>
    </row>
    <row r="1698">
      <c r="A1698" s="4"/>
      <c r="B1698" s="16" t="s">
        <v>1382</v>
      </c>
      <c r="C1698" s="21">
        <f>(35)*(1)*(1)*(1)*(1 + (0))</f>
      </c>
      <c r="D1698" s="21" t="s">
        <v>9</v>
      </c>
      <c r="E1698" s="21"/>
      <c r="F1698" s="21">
        <f>C1698*E1698</f>
      </c>
    </row>
    <row r="1699">
      <c r="A1699" s="6"/>
      <c r="B1699" s="15" t="s">
        <v>1426</v>
      </c>
      <c r="C1699" s="23"/>
      <c r="D1699" s="23"/>
      <c r="E1699" s="23"/>
      <c r="F1699" s="23"/>
    </row>
    <row r="1700">
      <c r="A1700" s="4"/>
      <c r="B1700" s="16" t="s">
        <v>1382</v>
      </c>
      <c r="C1700" s="21">
        <f>(62)*(1)*(1)*(1)*(1 + (0))</f>
      </c>
      <c r="D1700" s="21" t="s">
        <v>9</v>
      </c>
      <c r="E1700" s="21"/>
      <c r="F1700" s="21">
        <f>C1700*E1700</f>
      </c>
    </row>
    <row r="1701">
      <c r="A1701" s="4"/>
      <c r="B1701" s="16" t="s">
        <v>1257</v>
      </c>
      <c r="C1701" s="21">
        <f>(307)*(1)*(1)*(1)*(1 + (0))</f>
      </c>
      <c r="D1701" s="21" t="s">
        <v>9</v>
      </c>
      <c r="E1701" s="21"/>
      <c r="F1701" s="21">
        <f>C1701*E1701</f>
      </c>
    </row>
    <row r="1702">
      <c r="A1702" s="6"/>
      <c r="B1702" s="15" t="s">
        <v>1427</v>
      </c>
      <c r="C1702" s="23"/>
      <c r="D1702" s="23"/>
      <c r="E1702" s="23"/>
      <c r="F1702" s="23"/>
    </row>
    <row r="1703">
      <c r="A1703" s="4"/>
      <c r="B1703" s="16" t="s">
        <v>1257</v>
      </c>
      <c r="C1703" s="21">
        <f>(32)*(1)*(1)*(1)*(1 + (0))</f>
      </c>
      <c r="D1703" s="21" t="s">
        <v>9</v>
      </c>
      <c r="E1703" s="21"/>
      <c r="F1703" s="21">
        <f>C1703*E1703</f>
      </c>
    </row>
    <row r="1704">
      <c r="A1704" s="6"/>
      <c r="B1704" s="15" t="s">
        <v>1428</v>
      </c>
      <c r="C1704" s="23"/>
      <c r="D1704" s="23"/>
      <c r="E1704" s="23"/>
      <c r="F1704" s="23"/>
    </row>
    <row r="1705">
      <c r="A1705" s="4"/>
      <c r="B1705" s="16" t="s">
        <v>1382</v>
      </c>
      <c r="C1705" s="21">
        <f>(1)*(1)*(1)*(1)*(1 + (0))</f>
      </c>
      <c r="D1705" s="21" t="s">
        <v>9</v>
      </c>
      <c r="E1705" s="21"/>
      <c r="F1705" s="21">
        <f>C1705*E1705</f>
      </c>
    </row>
    <row r="1706">
      <c r="A1706" s="4"/>
      <c r="B1706" s="16" t="s">
        <v>1257</v>
      </c>
      <c r="C1706" s="21">
        <f>(19)*(1)*(1)*(1)*(1 + (0))</f>
      </c>
      <c r="D1706" s="21" t="s">
        <v>9</v>
      </c>
      <c r="E1706" s="21"/>
      <c r="F1706" s="21">
        <f>C1706*E1706</f>
      </c>
    </row>
    <row r="1707">
      <c r="A1707" s="6"/>
      <c r="B1707" s="15" t="s">
        <v>1429</v>
      </c>
      <c r="C1707" s="23"/>
      <c r="D1707" s="23"/>
      <c r="E1707" s="23"/>
      <c r="F1707" s="23"/>
    </row>
    <row r="1708">
      <c r="A1708" s="4"/>
      <c r="B1708" s="16" t="s">
        <v>1382</v>
      </c>
      <c r="C1708" s="21">
        <f>(100)*(1)*(1)*(1)*(1 + (0))</f>
      </c>
      <c r="D1708" s="21" t="s">
        <v>9</v>
      </c>
      <c r="E1708" s="21"/>
      <c r="F1708" s="21">
        <f>C1708*E1708</f>
      </c>
    </row>
    <row r="1709">
      <c r="A1709" s="6"/>
      <c r="B1709" s="15" t="s">
        <v>1430</v>
      </c>
      <c r="C1709" s="23"/>
      <c r="D1709" s="23"/>
      <c r="E1709" s="23"/>
      <c r="F1709" s="23"/>
    </row>
    <row r="1710">
      <c r="A1710" s="4"/>
      <c r="B1710" s="16" t="s">
        <v>1382</v>
      </c>
      <c r="C1710" s="21">
        <f>(212)*(1)*(1)*(1)*(1 + (0))</f>
      </c>
      <c r="D1710" s="21" t="s">
        <v>9</v>
      </c>
      <c r="E1710" s="21"/>
      <c r="F1710" s="21">
        <f>C1710*E1710</f>
      </c>
    </row>
    <row r="1711">
      <c r="A1711" s="6"/>
      <c r="B1711" s="15" t="s">
        <v>1431</v>
      </c>
      <c r="C1711" s="23"/>
      <c r="D1711" s="23"/>
      <c r="E1711" s="23"/>
      <c r="F1711" s="23"/>
    </row>
    <row r="1712">
      <c r="A1712" s="4"/>
      <c r="B1712" s="16" t="s">
        <v>1382</v>
      </c>
      <c r="C1712" s="21">
        <f>(8)*(1)*(1)*(1)*(1 + (0))</f>
      </c>
      <c r="D1712" s="21" t="s">
        <v>9</v>
      </c>
      <c r="E1712" s="21"/>
      <c r="F1712" s="21">
        <f>C1712*E1712</f>
      </c>
    </row>
    <row r="1713">
      <c r="A1713" s="5"/>
      <c r="B1713" s="13" t="s">
        <v>1386</v>
      </c>
      <c r="C1713" s="22"/>
      <c r="D1713" s="22"/>
      <c r="E1713" s="22"/>
      <c r="F1713" s="22"/>
    </row>
    <row r="1714">
      <c r="A1714" s="6"/>
      <c r="B1714" s="15" t="s">
        <v>1432</v>
      </c>
      <c r="C1714" s="23"/>
      <c r="D1714" s="23"/>
      <c r="E1714" s="23"/>
      <c r="F1714" s="23"/>
    </row>
    <row r="1715">
      <c r="A1715" s="4"/>
      <c r="B1715" s="16" t="s">
        <v>1382</v>
      </c>
      <c r="C1715" s="21">
        <f>(9)*(1)*(1)*(1)*(1 + (0))</f>
      </c>
      <c r="D1715" s="21" t="s">
        <v>9</v>
      </c>
      <c r="E1715" s="21"/>
      <c r="F1715" s="21">
        <f>C1715*E1715</f>
      </c>
    </row>
    <row r="1716">
      <c r="A1716" s="6"/>
      <c r="B1716" s="15" t="s">
        <v>1433</v>
      </c>
      <c r="C1716" s="23"/>
      <c r="D1716" s="23"/>
      <c r="E1716" s="23"/>
      <c r="F1716" s="23"/>
    </row>
    <row r="1717">
      <c r="A1717" s="4"/>
      <c r="B1717" s="16" t="s">
        <v>1382</v>
      </c>
      <c r="C1717" s="21">
        <f>(12)*(1)*(1)*(1)*(1 + (0))</f>
      </c>
      <c r="D1717" s="21" t="s">
        <v>9</v>
      </c>
      <c r="E1717" s="21"/>
      <c r="F1717" s="21">
        <f>C1717*E1717</f>
      </c>
    </row>
    <row r="1718">
      <c r="A1718" s="4"/>
      <c r="B1718" s="16" t="s">
        <v>1257</v>
      </c>
      <c r="C1718" s="21">
        <f>(14)*(1)*(1)*(1)*(1 + (0))</f>
      </c>
      <c r="D1718" s="21" t="s">
        <v>9</v>
      </c>
      <c r="E1718" s="21"/>
      <c r="F1718" s="21">
        <f>C1718*E1718</f>
      </c>
    </row>
    <row r="1719">
      <c r="A1719" s="6"/>
      <c r="B1719" s="15" t="s">
        <v>1434</v>
      </c>
      <c r="C1719" s="23"/>
      <c r="D1719" s="23"/>
      <c r="E1719" s="23"/>
      <c r="F1719" s="23"/>
    </row>
    <row r="1720">
      <c r="A1720" s="4"/>
      <c r="B1720" s="16" t="s">
        <v>1257</v>
      </c>
      <c r="C1720" s="21">
        <f>(48)*(1)*(1)*(1)*(1 + (0))</f>
      </c>
      <c r="D1720" s="21" t="s">
        <v>9</v>
      </c>
      <c r="E1720" s="21"/>
      <c r="F1720" s="21">
        <f>C1720*E1720</f>
      </c>
    </row>
    <row r="1721">
      <c r="A1721" s="6"/>
      <c r="B1721" s="15" t="s">
        <v>1435</v>
      </c>
      <c r="C1721" s="23"/>
      <c r="D1721" s="23"/>
      <c r="E1721" s="23"/>
      <c r="F1721" s="23"/>
    </row>
    <row r="1722">
      <c r="A1722" s="4"/>
      <c r="B1722" s="16" t="s">
        <v>1382</v>
      </c>
      <c r="C1722" s="21">
        <f>(7)*(1)*(1)*(1)*(1 + (0))</f>
      </c>
      <c r="D1722" s="21" t="s">
        <v>9</v>
      </c>
      <c r="E1722" s="21"/>
      <c r="F1722" s="21">
        <f>C1722*E1722</f>
      </c>
    </row>
    <row r="1723">
      <c r="A1723" s="6"/>
      <c r="B1723" s="15" t="s">
        <v>1436</v>
      </c>
      <c r="C1723" s="23"/>
      <c r="D1723" s="23"/>
      <c r="E1723" s="23"/>
      <c r="F1723" s="23"/>
    </row>
    <row r="1724">
      <c r="A1724" s="4"/>
      <c r="B1724" s="16" t="s">
        <v>1382</v>
      </c>
      <c r="C1724" s="21">
        <f>(56)*(1)*(1)*(1)*(1 + (0))</f>
      </c>
      <c r="D1724" s="21" t="s">
        <v>9</v>
      </c>
      <c r="E1724" s="21"/>
      <c r="F1724" s="21">
        <f>C1724*E1724</f>
      </c>
    </row>
    <row r="1725">
      <c r="A1725" s="4"/>
      <c r="B1725" s="16" t="s">
        <v>1257</v>
      </c>
      <c r="C1725" s="21">
        <f>(36)*(1)*(1)*(1)*(1 + (0))</f>
      </c>
      <c r="D1725" s="21" t="s">
        <v>9</v>
      </c>
      <c r="E1725" s="21"/>
      <c r="F1725" s="21">
        <f>C1725*E1725</f>
      </c>
    </row>
    <row r="1726">
      <c r="A1726" s="6"/>
      <c r="B1726" s="15" t="s">
        <v>1437</v>
      </c>
      <c r="C1726" s="23"/>
      <c r="D1726" s="23"/>
      <c r="E1726" s="23"/>
      <c r="F1726" s="23"/>
    </row>
    <row r="1727">
      <c r="A1727" s="4"/>
      <c r="B1727" s="16" t="s">
        <v>1382</v>
      </c>
      <c r="C1727" s="21">
        <f>(4)*(1)*(1)*(1)*(1 + (0))</f>
      </c>
      <c r="D1727" s="21" t="s">
        <v>9</v>
      </c>
      <c r="E1727" s="21"/>
      <c r="F1727" s="21">
        <f>C1727*E1727</f>
      </c>
    </row>
    <row r="1728">
      <c r="A1728" s="6"/>
      <c r="B1728" s="15" t="s">
        <v>1438</v>
      </c>
      <c r="C1728" s="23"/>
      <c r="D1728" s="23"/>
      <c r="E1728" s="23"/>
      <c r="F1728" s="23"/>
    </row>
    <row r="1729">
      <c r="A1729" s="4"/>
      <c r="B1729" s="16" t="s">
        <v>1382</v>
      </c>
      <c r="C1729" s="21">
        <f>(51)*(1)*(1)*(1)*(1 + (0))</f>
      </c>
      <c r="D1729" s="21" t="s">
        <v>9</v>
      </c>
      <c r="E1729" s="21"/>
      <c r="F1729" s="21">
        <f>C1729*E1729</f>
      </c>
    </row>
    <row r="1730">
      <c r="A1730" s="4"/>
      <c r="B1730" s="16" t="s">
        <v>1257</v>
      </c>
      <c r="C1730" s="21">
        <f>(52)*(1)*(1)*(1)*(1 + (0))</f>
      </c>
      <c r="D1730" s="21" t="s">
        <v>9</v>
      </c>
      <c r="E1730" s="21"/>
      <c r="F1730" s="21">
        <f>C1730*E1730</f>
      </c>
    </row>
    <row r="1731">
      <c r="A1731" s="6"/>
      <c r="B1731" s="15" t="s">
        <v>1439</v>
      </c>
      <c r="C1731" s="23"/>
      <c r="D1731" s="23"/>
      <c r="E1731" s="23"/>
      <c r="F1731" s="23"/>
    </row>
    <row r="1732">
      <c r="A1732" s="4"/>
      <c r="B1732" s="16" t="s">
        <v>1382</v>
      </c>
      <c r="C1732" s="21">
        <f>(15)*(1)*(1)*(1)*(1 + (0))</f>
      </c>
      <c r="D1732" s="21" t="s">
        <v>9</v>
      </c>
      <c r="E1732" s="21"/>
      <c r="F1732" s="21">
        <f>C1732*E1732</f>
      </c>
    </row>
    <row r="1733">
      <c r="A1733" s="6"/>
      <c r="B1733" s="15" t="s">
        <v>1440</v>
      </c>
      <c r="C1733" s="23"/>
      <c r="D1733" s="23"/>
      <c r="E1733" s="23"/>
      <c r="F1733" s="23"/>
    </row>
    <row r="1734">
      <c r="A1734" s="4"/>
      <c r="B1734" s="16" t="s">
        <v>1382</v>
      </c>
      <c r="C1734" s="21">
        <f>(5)*(1)*(1)*(1)*(1 + (0))</f>
      </c>
      <c r="D1734" s="21" t="s">
        <v>9</v>
      </c>
      <c r="E1734" s="21"/>
      <c r="F1734" s="21">
        <f>C1734*E1734</f>
      </c>
    </row>
    <row r="1735">
      <c r="A1735" s="6"/>
      <c r="B1735" s="15" t="s">
        <v>1441</v>
      </c>
      <c r="C1735" s="23"/>
      <c r="D1735" s="23"/>
      <c r="E1735" s="23"/>
      <c r="F1735" s="23"/>
    </row>
    <row r="1736">
      <c r="A1736" s="4"/>
      <c r="B1736" s="16" t="s">
        <v>1382</v>
      </c>
      <c r="C1736" s="21">
        <f>(123)*(1)*(1)*(1)*(1 + (0))</f>
      </c>
      <c r="D1736" s="21" t="s">
        <v>9</v>
      </c>
      <c r="E1736" s="21"/>
      <c r="F1736" s="21">
        <f>C1736*E1736</f>
      </c>
    </row>
    <row r="1737">
      <c r="A1737" s="4"/>
      <c r="B1737" s="16" t="s">
        <v>1257</v>
      </c>
      <c r="C1737" s="21">
        <f>(12)*(1)*(1)*(1)*(1 + (0))</f>
      </c>
      <c r="D1737" s="21" t="s">
        <v>9</v>
      </c>
      <c r="E1737" s="21"/>
      <c r="F1737" s="21">
        <f>C1737*E1737</f>
      </c>
    </row>
    <row r="1738">
      <c r="A1738" s="6"/>
      <c r="B1738" s="15" t="s">
        <v>1442</v>
      </c>
      <c r="C1738" s="23"/>
      <c r="D1738" s="23"/>
      <c r="E1738" s="23"/>
      <c r="F1738" s="23"/>
    </row>
    <row r="1739">
      <c r="A1739" s="4"/>
      <c r="B1739" s="16" t="s">
        <v>1382</v>
      </c>
      <c r="C1739" s="21">
        <f>(15)*(1)*(1)*(1)*(1 + (0))</f>
      </c>
      <c r="D1739" s="21" t="s">
        <v>9</v>
      </c>
      <c r="E1739" s="21"/>
      <c r="F1739" s="21">
        <f>C1739*E1739</f>
      </c>
    </row>
    <row r="1740">
      <c r="A1740" s="4"/>
      <c r="B1740" s="16" t="s">
        <v>1257</v>
      </c>
      <c r="C1740" s="21">
        <f>(11)*(1)*(1)*(1)*(1 + (0))</f>
      </c>
      <c r="D1740" s="21" t="s">
        <v>9</v>
      </c>
      <c r="E1740" s="21"/>
      <c r="F1740" s="21">
        <f>C1740*E1740</f>
      </c>
    </row>
    <row r="1741">
      <c r="A1741" s="6"/>
      <c r="B1741" s="15" t="s">
        <v>1443</v>
      </c>
      <c r="C1741" s="23"/>
      <c r="D1741" s="23"/>
      <c r="E1741" s="23"/>
      <c r="F1741" s="23"/>
    </row>
    <row r="1742">
      <c r="A1742" s="4"/>
      <c r="B1742" s="16" t="s">
        <v>1382</v>
      </c>
      <c r="C1742" s="21">
        <f>(7)*(1)*(1)*(1)*(1 + (0))</f>
      </c>
      <c r="D1742" s="21" t="s">
        <v>9</v>
      </c>
      <c r="E1742" s="21"/>
      <c r="F1742" s="21">
        <f>C1742*E1742</f>
      </c>
    </row>
    <row r="1743">
      <c r="A1743" s="6"/>
      <c r="B1743" s="15" t="s">
        <v>1444</v>
      </c>
      <c r="C1743" s="23"/>
      <c r="D1743" s="23"/>
      <c r="E1743" s="23"/>
      <c r="F1743" s="23"/>
    </row>
    <row r="1744">
      <c r="A1744" s="4"/>
      <c r="B1744" s="16" t="s">
        <v>1382</v>
      </c>
      <c r="C1744" s="21">
        <f>(6)*(1)*(1)*(1)*(1 + (0))</f>
      </c>
      <c r="D1744" s="21" t="s">
        <v>9</v>
      </c>
      <c r="E1744" s="21"/>
      <c r="F1744" s="21">
        <f>C1744*E1744</f>
      </c>
    </row>
    <row r="1745">
      <c r="A1745" s="6"/>
      <c r="B1745" s="15" t="s">
        <v>1445</v>
      </c>
      <c r="C1745" s="23"/>
      <c r="D1745" s="23"/>
      <c r="E1745" s="23"/>
      <c r="F1745" s="23"/>
    </row>
    <row r="1746">
      <c r="A1746" s="4"/>
      <c r="B1746" s="16" t="s">
        <v>1382</v>
      </c>
      <c r="C1746" s="21">
        <f>(20)*(1)*(1)*(1)*(1 + (0))</f>
      </c>
      <c r="D1746" s="21" t="s">
        <v>9</v>
      </c>
      <c r="E1746" s="21"/>
      <c r="F1746" s="21">
        <f>C1746*E1746</f>
      </c>
    </row>
    <row r="1747">
      <c r="A1747" s="6"/>
      <c r="B1747" s="15" t="s">
        <v>1446</v>
      </c>
      <c r="C1747" s="23"/>
      <c r="D1747" s="23"/>
      <c r="E1747" s="23"/>
      <c r="F1747" s="23"/>
    </row>
    <row r="1748">
      <c r="A1748" s="4"/>
      <c r="B1748" s="16" t="s">
        <v>1382</v>
      </c>
      <c r="C1748" s="21">
        <f>(53)*(1)*(1)*(1)*(1 + (0))</f>
      </c>
      <c r="D1748" s="21" t="s">
        <v>9</v>
      </c>
      <c r="E1748" s="21"/>
      <c r="F1748" s="21">
        <f>C1748*E1748</f>
      </c>
    </row>
    <row r="1749">
      <c r="A1749" s="6"/>
      <c r="B1749" s="15" t="s">
        <v>1447</v>
      </c>
      <c r="C1749" s="23"/>
      <c r="D1749" s="23"/>
      <c r="E1749" s="23"/>
      <c r="F1749" s="23"/>
    </row>
    <row r="1750">
      <c r="A1750" s="4"/>
      <c r="B1750" s="16" t="s">
        <v>1382</v>
      </c>
      <c r="C1750" s="21">
        <f>(6)*(1)*(1)*(1)*(1 + (0))</f>
      </c>
      <c r="D1750" s="21" t="s">
        <v>9</v>
      </c>
      <c r="E1750" s="21"/>
      <c r="F1750" s="21">
        <f>C1750*E1750</f>
      </c>
    </row>
    <row r="1751">
      <c r="A1751" s="6"/>
      <c r="B1751" s="15" t="s">
        <v>1448</v>
      </c>
      <c r="C1751" s="23"/>
      <c r="D1751" s="23"/>
      <c r="E1751" s="23"/>
      <c r="F1751" s="23"/>
    </row>
    <row r="1752">
      <c r="A1752" s="4"/>
      <c r="B1752" s="16" t="s">
        <v>1382</v>
      </c>
      <c r="C1752" s="21">
        <f>(23)*(1)*(1)*(1)*(1 + (0))</f>
      </c>
      <c r="D1752" s="21" t="s">
        <v>9</v>
      </c>
      <c r="E1752" s="21"/>
      <c r="F1752" s="21">
        <f>C1752*E1752</f>
      </c>
    </row>
    <row r="1753">
      <c r="A1753" s="4"/>
      <c r="B1753" s="16" t="s">
        <v>1257</v>
      </c>
      <c r="C1753" s="21">
        <f>(7)*(1)*(1)*(1)*(1 + (0))</f>
      </c>
      <c r="D1753" s="21" t="s">
        <v>9</v>
      </c>
      <c r="E1753" s="21"/>
      <c r="F1753" s="21">
        <f>C1753*E1753</f>
      </c>
    </row>
    <row r="1754">
      <c r="A1754" s="6"/>
      <c r="B1754" s="15" t="s">
        <v>1449</v>
      </c>
      <c r="C1754" s="23"/>
      <c r="D1754" s="23"/>
      <c r="E1754" s="23"/>
      <c r="F1754" s="23"/>
    </row>
    <row r="1755">
      <c r="A1755" s="4"/>
      <c r="B1755" s="16" t="s">
        <v>1382</v>
      </c>
      <c r="C1755" s="21">
        <f>(42)*(1)*(1)*(1)*(1 + (0))</f>
      </c>
      <c r="D1755" s="21" t="s">
        <v>9</v>
      </c>
      <c r="E1755" s="21"/>
      <c r="F1755" s="21">
        <f>C1755*E1755</f>
      </c>
    </row>
    <row r="1756">
      <c r="A1756" s="4"/>
      <c r="B1756" s="16" t="s">
        <v>1257</v>
      </c>
      <c r="C1756" s="21">
        <f>(7)*(1)*(1)*(1)*(1 + (0))</f>
      </c>
      <c r="D1756" s="21" t="s">
        <v>9</v>
      </c>
      <c r="E1756" s="21"/>
      <c r="F1756" s="21">
        <f>C1756*E1756</f>
      </c>
    </row>
    <row r="1757">
      <c r="A1757" s="6"/>
      <c r="B1757" s="15" t="s">
        <v>1450</v>
      </c>
      <c r="C1757" s="23"/>
      <c r="D1757" s="23"/>
      <c r="E1757" s="23"/>
      <c r="F1757" s="23"/>
    </row>
    <row r="1758">
      <c r="A1758" s="4"/>
      <c r="B1758" s="16" t="s">
        <v>1382</v>
      </c>
      <c r="C1758" s="21">
        <f>(18)*(1)*(1)*(1)*(1 + (0))</f>
      </c>
      <c r="D1758" s="21" t="s">
        <v>9</v>
      </c>
      <c r="E1758" s="21"/>
      <c r="F1758" s="21">
        <f>C1758*E1758</f>
      </c>
    </row>
    <row r="1759">
      <c r="A1759" s="5"/>
      <c r="B1759" s="13" t="s">
        <v>1451</v>
      </c>
      <c r="C1759" s="22"/>
      <c r="D1759" s="22"/>
      <c r="E1759" s="22"/>
      <c r="F1759" s="22"/>
    </row>
    <row r="1760">
      <c r="A1760" s="6"/>
      <c r="B1760" s="15" t="s">
        <v>1452</v>
      </c>
      <c r="C1760" s="23"/>
      <c r="D1760" s="23"/>
      <c r="E1760" s="23"/>
      <c r="F1760" s="23"/>
    </row>
    <row r="1761">
      <c r="A1761" s="4"/>
      <c r="B1761" s="16" t="s">
        <v>1257</v>
      </c>
      <c r="C1761" s="21">
        <f>(101)*(1)*(1)*(1)*(1 + (0))</f>
      </c>
      <c r="D1761" s="21" t="s">
        <v>9</v>
      </c>
      <c r="E1761" s="21"/>
      <c r="F1761" s="21">
        <f>C1761*E1761</f>
      </c>
    </row>
    <row r="1762">
      <c r="A1762" s="6"/>
      <c r="B1762" s="15" t="s">
        <v>1453</v>
      </c>
      <c r="C1762" s="23"/>
      <c r="D1762" s="23"/>
      <c r="E1762" s="23"/>
      <c r="F1762" s="23"/>
    </row>
    <row r="1763">
      <c r="A1763" s="4"/>
      <c r="B1763" s="16" t="s">
        <v>1382</v>
      </c>
      <c r="C1763" s="21">
        <f>(40)*(1)*(1)*(1)*(1 + (0))</f>
      </c>
      <c r="D1763" s="21" t="s">
        <v>9</v>
      </c>
      <c r="E1763" s="21"/>
      <c r="F1763" s="21">
        <f>C1763*E1763</f>
      </c>
    </row>
    <row r="1764">
      <c r="A1764" s="6"/>
      <c r="B1764" s="15" t="s">
        <v>1454</v>
      </c>
      <c r="C1764" s="23"/>
      <c r="D1764" s="23"/>
      <c r="E1764" s="23"/>
      <c r="F1764" s="23"/>
    </row>
    <row r="1765">
      <c r="A1765" s="4"/>
      <c r="B1765" s="16" t="s">
        <v>1382</v>
      </c>
      <c r="C1765" s="21">
        <f>(44)*(1)*(1)*(1)*(1 + (0))</f>
      </c>
      <c r="D1765" s="21" t="s">
        <v>9</v>
      </c>
      <c r="E1765" s="21"/>
      <c r="F1765" s="21">
        <f>C1765*E1765</f>
      </c>
    </row>
    <row r="1766">
      <c r="A1766" s="5"/>
      <c r="B1766" s="13" t="s">
        <v>1398</v>
      </c>
      <c r="C1766" s="22"/>
      <c r="D1766" s="22"/>
      <c r="E1766" s="22"/>
      <c r="F1766" s="22"/>
    </row>
    <row r="1767">
      <c r="A1767" s="6"/>
      <c r="B1767" s="15" t="s">
        <v>1399</v>
      </c>
      <c r="C1767" s="23"/>
      <c r="D1767" s="23"/>
      <c r="E1767" s="23"/>
      <c r="F1767" s="23"/>
    </row>
    <row r="1768">
      <c r="A1768" s="4"/>
      <c r="B1768" s="16" t="s">
        <v>1257</v>
      </c>
      <c r="C1768" s="21">
        <f>(99)*(1)*(1)*(1)*(1 + (0))</f>
      </c>
      <c r="D1768" s="21" t="s">
        <v>9</v>
      </c>
      <c r="E1768" s="21"/>
      <c r="F1768" s="21">
        <f>C1768*E1768</f>
      </c>
    </row>
    <row r="1769">
      <c r="A1769" s="3"/>
      <c r="B1769" s="11" t="s">
        <v>1455</v>
      </c>
      <c r="C1769" s="20"/>
      <c r="D1769" s="20"/>
      <c r="E1769" s="20"/>
      <c r="F1769" s="20"/>
    </row>
    <row r="1770">
      <c r="A1770" s="5"/>
      <c r="B1770" s="13" t="s">
        <v>1238</v>
      </c>
      <c r="C1770" s="22"/>
      <c r="D1770" s="22"/>
      <c r="E1770" s="22"/>
      <c r="F1770" s="22"/>
    </row>
    <row r="1771">
      <c r="A1771" s="4"/>
      <c r="B1771" s="14" t="s">
        <v>1456</v>
      </c>
      <c r="C1771" s="21">
        <f>(3)*(1)*(1)*(1)*(1 + (0))</f>
      </c>
      <c r="D1771" s="21" t="s">
        <v>170</v>
      </c>
      <c r="E1771" s="21"/>
      <c r="F1771" s="21">
        <f>C1771*E1771</f>
      </c>
    </row>
    <row r="1772">
      <c r="A1772" s="4"/>
      <c r="B1772" s="14" t="s">
        <v>1457</v>
      </c>
      <c r="C1772" s="21">
        <f>(4)*(1)*(1)*(1)*(1 + (0))</f>
      </c>
      <c r="D1772" s="21" t="s">
        <v>170</v>
      </c>
      <c r="E1772" s="21"/>
      <c r="F1772" s="21">
        <f>C1772*E1772</f>
      </c>
    </row>
    <row r="1773">
      <c r="A1773" s="5"/>
      <c r="B1773" s="13" t="s">
        <v>1257</v>
      </c>
      <c r="C1773" s="22"/>
      <c r="D1773" s="22"/>
      <c r="E1773" s="22"/>
      <c r="F1773" s="22"/>
    </row>
    <row r="1774">
      <c r="A1774" s="4"/>
      <c r="B1774" s="14" t="s">
        <v>1457</v>
      </c>
      <c r="C1774" s="21">
        <f>(2)*(1)*(1)*(1)*(1 + (0))</f>
      </c>
      <c r="D1774" s="21" t="s">
        <v>170</v>
      </c>
      <c r="E1774" s="21"/>
      <c r="F1774" s="21">
        <f>C1774*E1774</f>
      </c>
    </row>
    <row r="1775">
      <c r="A1775" s="3"/>
      <c r="B1775" s="11" t="s">
        <v>1458</v>
      </c>
      <c r="C1775" s="20"/>
      <c r="D1775" s="20"/>
      <c r="E1775" s="20"/>
      <c r="F1775" s="20"/>
    </row>
    <row r="1776">
      <c r="A1776" s="5"/>
      <c r="B1776" s="13" t="s">
        <v>1238</v>
      </c>
      <c r="C1776" s="22"/>
      <c r="D1776" s="22"/>
      <c r="E1776" s="22"/>
      <c r="F1776" s="22"/>
    </row>
    <row r="1777">
      <c r="A1777" s="4"/>
      <c r="B1777" s="14" t="s">
        <v>1457</v>
      </c>
      <c r="C1777" s="21">
        <f>(4)*(1)*(1)*(1)*(1 + (0))</f>
      </c>
      <c r="D1777" s="21" t="s">
        <v>170</v>
      </c>
      <c r="E1777" s="21"/>
      <c r="F1777" s="21">
        <f>C1777*E1777</f>
      </c>
    </row>
    <row r="1778">
      <c r="A1778" s="4"/>
      <c r="B1778" s="14" t="s">
        <v>1459</v>
      </c>
      <c r="C1778" s="21">
        <f>(1)*(1)*(1)*(1)*(1 + (0))</f>
      </c>
      <c r="D1778" s="21" t="s">
        <v>170</v>
      </c>
      <c r="E1778" s="21"/>
      <c r="F1778" s="21">
        <f>C1778*E1778</f>
      </c>
    </row>
    <row r="1779">
      <c r="A1779" s="4"/>
      <c r="B1779" s="14" t="s">
        <v>1457</v>
      </c>
      <c r="C1779" s="21">
        <f>(3)*(1)*(1)*(1)*(1 + (0))</f>
      </c>
      <c r="D1779" s="21" t="s">
        <v>170</v>
      </c>
      <c r="E1779" s="21"/>
      <c r="F1779" s="21">
        <f>C1779*E1779</f>
      </c>
    </row>
    <row r="1780">
      <c r="A1780" s="5"/>
      <c r="B1780" s="13" t="s">
        <v>1257</v>
      </c>
      <c r="C1780" s="22"/>
      <c r="D1780" s="22"/>
      <c r="E1780" s="22"/>
      <c r="F1780" s="22"/>
    </row>
    <row r="1781">
      <c r="A1781" s="4"/>
      <c r="B1781" s="14" t="s">
        <v>1457</v>
      </c>
      <c r="C1781" s="21">
        <f>(3)*(1)*(1)*(1)*(1 + (0))</f>
      </c>
      <c r="D1781" s="21" t="s">
        <v>170</v>
      </c>
      <c r="E1781" s="21"/>
      <c r="F1781" s="21">
        <f>C1781*E1781</f>
      </c>
    </row>
    <row r="1782">
      <c r="A1782" s="2"/>
      <c r="B1782" s="10" t="s">
        <v>1460</v>
      </c>
      <c r="C1782" s="19"/>
      <c r="D1782" s="19"/>
      <c r="E1782" s="19"/>
      <c r="F1782" s="19"/>
    </row>
    <row r="1783">
      <c r="A1783" s="3"/>
      <c r="B1783" s="11" t="s">
        <v>14</v>
      </c>
      <c r="C1783" s="20"/>
      <c r="D1783" s="20"/>
      <c r="E1783" s="20"/>
      <c r="F1783" s="20"/>
    </row>
    <row r="1784">
      <c r="A1784" s="4" t="s">
        <v>1461</v>
      </c>
      <c r="B1784" s="12" t="s">
        <v>16</v>
      </c>
      <c r="C1784" s="21"/>
      <c r="D1784" s="21" t="s">
        <v>17</v>
      </c>
      <c r="E1784" s="21"/>
      <c r="F1784" s="21">
        <f>C1784*E1784</f>
      </c>
    </row>
    <row r="1785">
      <c r="A1785" s="4" t="s">
        <v>1462</v>
      </c>
      <c r="B1785" s="12" t="s">
        <v>19</v>
      </c>
      <c r="C1785" s="21"/>
      <c r="D1785" s="21" t="s">
        <v>17</v>
      </c>
      <c r="E1785" s="21"/>
      <c r="F1785" s="21">
        <f>C1785*E1785</f>
      </c>
    </row>
    <row r="1786">
      <c r="A1786" s="3"/>
      <c r="B1786" s="11" t="s">
        <v>22</v>
      </c>
      <c r="C1786" s="20"/>
      <c r="D1786" s="20"/>
      <c r="E1786" s="20"/>
      <c r="F1786" s="20"/>
    </row>
    <row r="1787">
      <c r="A1787" s="4"/>
      <c r="B1787" s="12" t="s">
        <v>1463</v>
      </c>
      <c r="C1787" s="21"/>
      <c r="D1787" s="21" t="s">
        <v>17</v>
      </c>
      <c r="E1787" s="21"/>
      <c r="F1787" s="21">
        <f>C1787*E1787</f>
      </c>
    </row>
    <row r="1788">
      <c r="A1788" s="4"/>
      <c r="B1788" s="12" t="s">
        <v>803</v>
      </c>
      <c r="C1788" s="21"/>
      <c r="D1788" s="21" t="s">
        <v>17</v>
      </c>
      <c r="E1788" s="21"/>
      <c r="F1788" s="21">
        <f>C1788*E1788</f>
      </c>
    </row>
    <row r="1789">
      <c r="A1789" s="4"/>
      <c r="B1789" s="12" t="s">
        <v>1464</v>
      </c>
      <c r="C1789" s="21"/>
      <c r="D1789" s="21" t="s">
        <v>17</v>
      </c>
      <c r="E1789" s="21"/>
      <c r="F1789" s="21">
        <f>C1789*E1789</f>
      </c>
    </row>
    <row r="1790">
      <c r="A1790" s="4"/>
      <c r="B1790" s="12" t="s">
        <v>1465</v>
      </c>
      <c r="C1790" s="21"/>
      <c r="D1790" s="21" t="s">
        <v>17</v>
      </c>
      <c r="E1790" s="21"/>
      <c r="F1790" s="21">
        <f>C1790*E1790</f>
      </c>
    </row>
    <row r="1791">
      <c r="A1791" s="3"/>
      <c r="B1791" s="11" t="s">
        <v>24</v>
      </c>
      <c r="C1791" s="20"/>
      <c r="D1791" s="20"/>
      <c r="E1791" s="20"/>
      <c r="F1791" s="20"/>
    </row>
    <row r="1792">
      <c r="A1792" s="5"/>
      <c r="B1792" s="13" t="s">
        <v>25</v>
      </c>
      <c r="C1792" s="22"/>
      <c r="D1792" s="22"/>
      <c r="E1792" s="22"/>
      <c r="F1792" s="22"/>
    </row>
    <row r="1793">
      <c r="A1793" s="4" t="s">
        <v>1466</v>
      </c>
      <c r="B1793" s="14" t="s">
        <v>1467</v>
      </c>
      <c r="C1793" s="21"/>
      <c r="D1793" s="21" t="s">
        <v>17</v>
      </c>
      <c r="E1793" s="21"/>
      <c r="F1793" s="21">
        <f>C1793*E1793</f>
      </c>
    </row>
    <row r="1794">
      <c r="A1794" s="4" t="s">
        <v>1468</v>
      </c>
      <c r="B1794" s="14" t="s">
        <v>1469</v>
      </c>
      <c r="C1794" s="21"/>
      <c r="D1794" s="21" t="s">
        <v>17</v>
      </c>
      <c r="E1794" s="21"/>
      <c r="F1794" s="21">
        <f>C1794*E1794</f>
      </c>
    </row>
    <row r="1795">
      <c r="A1795" s="4" t="s">
        <v>1470</v>
      </c>
      <c r="B1795" s="14" t="s">
        <v>1471</v>
      </c>
      <c r="C1795" s="21"/>
      <c r="D1795" s="21" t="s">
        <v>17</v>
      </c>
      <c r="E1795" s="21"/>
      <c r="F1795" s="21">
        <f>C1795*E1795</f>
      </c>
    </row>
    <row r="1796">
      <c r="A1796" s="4" t="s">
        <v>1472</v>
      </c>
      <c r="B1796" s="14" t="s">
        <v>1154</v>
      </c>
      <c r="C1796" s="21"/>
      <c r="D1796" s="21" t="s">
        <v>17</v>
      </c>
      <c r="E1796" s="21"/>
      <c r="F1796" s="21">
        <f>C1796*E1796</f>
      </c>
    </row>
    <row r="1797">
      <c r="A1797" s="4" t="s">
        <v>1473</v>
      </c>
      <c r="B1797" s="14" t="s">
        <v>194</v>
      </c>
      <c r="C1797" s="21"/>
      <c r="D1797" s="21" t="s">
        <v>17</v>
      </c>
      <c r="E1797" s="21"/>
      <c r="F1797" s="21">
        <f>C1797*E1797</f>
      </c>
    </row>
    <row r="1798">
      <c r="A1798" s="3"/>
      <c r="B1798" s="11" t="s">
        <v>42</v>
      </c>
      <c r="C1798" s="20"/>
      <c r="D1798" s="20"/>
      <c r="E1798" s="20"/>
      <c r="F1798" s="20"/>
    </row>
    <row r="1799">
      <c r="A1799" s="4" t="s">
        <v>1474</v>
      </c>
      <c r="B1799" s="12" t="s">
        <v>251</v>
      </c>
      <c r="C1799" s="21">
        <f>(1)*(1)*(1)*(1)*(1 + (0))</f>
      </c>
      <c r="D1799" s="21" t="s">
        <v>45</v>
      </c>
      <c r="E1799" s="21"/>
      <c r="F1799" s="21">
        <f>C1799*E1799</f>
      </c>
    </row>
    <row r="1800">
      <c r="A1800" s="4" t="s">
        <v>1475</v>
      </c>
      <c r="B1800" s="12" t="s">
        <v>1476</v>
      </c>
      <c r="C1800" s="21">
        <f>(1)*(1)*(1)*(1)*(1 + (0))</f>
      </c>
      <c r="D1800" s="21" t="s">
        <v>45</v>
      </c>
      <c r="E1800" s="21"/>
      <c r="F1800" s="21">
        <f>C1800*E1800</f>
      </c>
    </row>
    <row r="1801">
      <c r="A1801" s="4" t="s">
        <v>1477</v>
      </c>
      <c r="B1801" s="12" t="s">
        <v>894</v>
      </c>
      <c r="C1801" s="21">
        <f>(1)*(1)*(1)*(1)*(1 + (0))</f>
      </c>
      <c r="D1801" s="21" t="s">
        <v>45</v>
      </c>
      <c r="E1801" s="21"/>
      <c r="F1801" s="21">
        <f>C1801*E1801</f>
      </c>
    </row>
    <row r="1802">
      <c r="A1802" s="4" t="s">
        <v>1478</v>
      </c>
      <c r="B1802" s="12" t="s">
        <v>1181</v>
      </c>
      <c r="C1802" s="21">
        <f>(1)*(1)*(1)*(1)*(1 + (0))</f>
      </c>
      <c r="D1802" s="21" t="s">
        <v>45</v>
      </c>
      <c r="E1802" s="21"/>
      <c r="F1802" s="21">
        <f>C1802*E1802</f>
      </c>
    </row>
    <row r="1803">
      <c r="A1803" s="4" t="s">
        <v>1479</v>
      </c>
      <c r="B1803" s="12" t="s">
        <v>1019</v>
      </c>
      <c r="C1803" s="21">
        <f>(1)*(1)*(1)*(1)*(1 + (0))</f>
      </c>
      <c r="D1803" s="21" t="s">
        <v>45</v>
      </c>
      <c r="E1803" s="21"/>
      <c r="F1803" s="21">
        <f>C1803*E1803</f>
      </c>
    </row>
    <row r="1804">
      <c r="A1804" s="4" t="s">
        <v>1480</v>
      </c>
      <c r="B1804" s="12" t="s">
        <v>605</v>
      </c>
      <c r="C1804" s="21">
        <f>(1)*(1)*(1)*(1)*(1 + (0))</f>
      </c>
      <c r="D1804" s="21" t="s">
        <v>45</v>
      </c>
      <c r="E1804" s="21"/>
      <c r="F1804" s="21">
        <f>C1804*E1804</f>
      </c>
    </row>
    <row r="1805">
      <c r="A1805" s="4" t="s">
        <v>1481</v>
      </c>
      <c r="B1805" s="12" t="s">
        <v>1169</v>
      </c>
      <c r="C1805" s="21">
        <f>(1)*(1)*(1)*(1)*(1 + (0))</f>
      </c>
      <c r="D1805" s="21" t="s">
        <v>45</v>
      </c>
      <c r="E1805" s="21"/>
      <c r="F1805" s="21">
        <f>C1805*E1805</f>
      </c>
    </row>
    <row r="1806">
      <c r="A1806" s="4" t="s">
        <v>1482</v>
      </c>
      <c r="B1806" s="12" t="s">
        <v>1483</v>
      </c>
      <c r="C1806" s="21">
        <f>(1)*(1)*(1)*(1)*(1 + (0))</f>
      </c>
      <c r="D1806" s="21" t="s">
        <v>45</v>
      </c>
      <c r="E1806" s="21"/>
      <c r="F1806" s="21">
        <f>C1806*E1806</f>
      </c>
    </row>
    <row r="1807">
      <c r="A1807" s="4" t="s">
        <v>1484</v>
      </c>
      <c r="B1807" s="12" t="s">
        <v>1485</v>
      </c>
      <c r="C1807" s="21">
        <f>(1)*(1)*(1)*(1)*(1 + (0))</f>
      </c>
      <c r="D1807" s="21" t="s">
        <v>45</v>
      </c>
      <c r="E1807" s="21"/>
      <c r="F1807" s="21">
        <f>C1807*E1807</f>
      </c>
    </row>
    <row r="1808">
      <c r="A1808" s="3"/>
      <c r="B1808" s="11" t="s">
        <v>82</v>
      </c>
      <c r="C1808" s="20"/>
      <c r="D1808" s="20"/>
      <c r="E1808" s="20"/>
      <c r="F1808" s="20"/>
    </row>
    <row r="1809">
      <c r="A1809" s="4"/>
      <c r="B1809" s="12" t="s">
        <v>1486</v>
      </c>
      <c r="C1809" s="21"/>
      <c r="D1809" s="21" t="s">
        <v>17</v>
      </c>
      <c r="E1809" s="21"/>
      <c r="F1809" s="21">
        <f>C1809*E1809</f>
      </c>
    </row>
    <row r="1810">
      <c r="A1810" s="3"/>
      <c r="B1810" s="11" t="s">
        <v>1487</v>
      </c>
      <c r="C1810" s="20"/>
      <c r="D1810" s="20"/>
      <c r="E1810" s="20"/>
      <c r="F1810" s="20"/>
    </row>
    <row r="1811">
      <c r="A1811" s="5"/>
      <c r="B1811" s="13" t="s">
        <v>1488</v>
      </c>
      <c r="C1811" s="22"/>
      <c r="D1811" s="22"/>
      <c r="E1811" s="22"/>
      <c r="F1811" s="22"/>
    </row>
    <row r="1812">
      <c r="A1812" s="6"/>
      <c r="B1812" s="15" t="s">
        <v>1489</v>
      </c>
      <c r="C1812" s="23"/>
      <c r="D1812" s="23"/>
      <c r="E1812" s="23"/>
      <c r="F1812" s="23"/>
    </row>
    <row r="1813">
      <c r="A1813" s="4"/>
      <c r="B1813" s="16" t="s">
        <v>1490</v>
      </c>
      <c r="C1813" s="21">
        <f>(423)*(1)*(1)*(1)*(1 + (0))</f>
      </c>
      <c r="D1813" s="21" t="s">
        <v>9</v>
      </c>
      <c r="E1813" s="21"/>
      <c r="F1813" s="21">
        <f>C1813*E1813</f>
      </c>
    </row>
    <row r="1814">
      <c r="A1814" s="4"/>
      <c r="B1814" s="16" t="s">
        <v>1491</v>
      </c>
      <c r="C1814" s="21">
        <f>(462)*(1)*(1)*(1)*(1 + (0))</f>
      </c>
      <c r="D1814" s="21" t="s">
        <v>9</v>
      </c>
      <c r="E1814" s="21"/>
      <c r="F1814" s="21">
        <f>C1814*E1814</f>
      </c>
    </row>
    <row r="1815">
      <c r="A1815" s="6"/>
      <c r="B1815" s="15" t="s">
        <v>1492</v>
      </c>
      <c r="C1815" s="23"/>
      <c r="D1815" s="23"/>
      <c r="E1815" s="23"/>
      <c r="F1815" s="23"/>
    </row>
    <row r="1816">
      <c r="A1816" s="4"/>
      <c r="B1816" s="16" t="s">
        <v>1490</v>
      </c>
      <c r="C1816" s="21">
        <f>(319)*(1)*(1)*(1)*(1 + (0))</f>
      </c>
      <c r="D1816" s="21" t="s">
        <v>9</v>
      </c>
      <c r="E1816" s="21"/>
      <c r="F1816" s="21">
        <f>C1816*E1816</f>
      </c>
    </row>
    <row r="1817">
      <c r="A1817" s="4"/>
      <c r="B1817" s="16" t="s">
        <v>1491</v>
      </c>
      <c r="C1817" s="21">
        <f>(31)*(1)*(1)*(1)*(1 + (0))</f>
      </c>
      <c r="D1817" s="21" t="s">
        <v>9</v>
      </c>
      <c r="E1817" s="21"/>
      <c r="F1817" s="21">
        <f>C1817*E1817</f>
      </c>
    </row>
    <row r="1818">
      <c r="A1818" s="6"/>
      <c r="B1818" s="15" t="s">
        <v>1493</v>
      </c>
      <c r="C1818" s="23"/>
      <c r="D1818" s="23"/>
      <c r="E1818" s="23"/>
      <c r="F1818" s="23"/>
    </row>
    <row r="1819">
      <c r="A1819" s="4"/>
      <c r="B1819" s="16" t="s">
        <v>1490</v>
      </c>
      <c r="C1819" s="21">
        <f>(9)*(1)*(1)*(1)*(1 + (0))</f>
      </c>
      <c r="D1819" s="21" t="s">
        <v>9</v>
      </c>
      <c r="E1819" s="21"/>
      <c r="F1819" s="21">
        <f>C1819*E1819</f>
      </c>
    </row>
    <row r="1820">
      <c r="A1820" s="6"/>
      <c r="B1820" s="15" t="s">
        <v>1494</v>
      </c>
      <c r="C1820" s="23"/>
      <c r="D1820" s="23"/>
      <c r="E1820" s="23"/>
      <c r="F1820" s="23"/>
    </row>
    <row r="1821">
      <c r="A1821" s="4"/>
      <c r="B1821" s="16" t="s">
        <v>1490</v>
      </c>
      <c r="C1821" s="21">
        <f>(105)*(1)*(1)*(1)*(1 + (0))</f>
      </c>
      <c r="D1821" s="21" t="s">
        <v>9</v>
      </c>
      <c r="E1821" s="21"/>
      <c r="F1821" s="21">
        <f>C1821*E1821</f>
      </c>
    </row>
    <row r="1822">
      <c r="A1822" s="4"/>
      <c r="B1822" s="16" t="s">
        <v>1491</v>
      </c>
      <c r="C1822" s="21">
        <f>(67)*(1)*(1)*(1)*(1 + (0))</f>
      </c>
      <c r="D1822" s="21" t="s">
        <v>9</v>
      </c>
      <c r="E1822" s="21"/>
      <c r="F1822" s="21">
        <f>C1822*E1822</f>
      </c>
    </row>
    <row r="1823">
      <c r="A1823" s="3"/>
      <c r="B1823" s="11" t="s">
        <v>1495</v>
      </c>
      <c r="C1823" s="20"/>
      <c r="D1823" s="20"/>
      <c r="E1823" s="20"/>
      <c r="F1823" s="20"/>
    </row>
    <row r="1824">
      <c r="A1824" s="5"/>
      <c r="B1824" s="13" t="s">
        <v>1496</v>
      </c>
      <c r="C1824" s="22"/>
      <c r="D1824" s="22"/>
      <c r="E1824" s="22"/>
      <c r="F1824" s="22"/>
    </row>
    <row r="1825">
      <c r="A1825" s="6"/>
      <c r="B1825" s="15" t="s">
        <v>1497</v>
      </c>
      <c r="C1825" s="23"/>
      <c r="D1825" s="23"/>
      <c r="E1825" s="23"/>
      <c r="F1825" s="23"/>
    </row>
    <row r="1826">
      <c r="A1826" s="4"/>
      <c r="B1826" s="16" t="s">
        <v>1490</v>
      </c>
      <c r="C1826" s="21">
        <f>(2)*(1)*(1)*(1)*(1 + (0))</f>
      </c>
      <c r="D1826" s="21" t="s">
        <v>9</v>
      </c>
      <c r="E1826" s="21"/>
      <c r="F1826" s="21">
        <f>C1826*E1826</f>
      </c>
    </row>
    <row r="1827">
      <c r="A1827" s="6"/>
      <c r="B1827" s="15" t="s">
        <v>1498</v>
      </c>
      <c r="C1827" s="23"/>
      <c r="D1827" s="23"/>
      <c r="E1827" s="23"/>
      <c r="F1827" s="23"/>
    </row>
    <row r="1828">
      <c r="A1828" s="4"/>
      <c r="B1828" s="16" t="s">
        <v>1490</v>
      </c>
      <c r="C1828" s="21">
        <f>(13)*(1)*(1)*(1)*(1 + (0))</f>
      </c>
      <c r="D1828" s="21" t="s">
        <v>167</v>
      </c>
      <c r="E1828" s="21"/>
      <c r="F1828" s="21">
        <f>C1828*E1828</f>
      </c>
    </row>
    <row r="1829">
      <c r="A1829" s="3"/>
      <c r="B1829" s="11" t="s">
        <v>1499</v>
      </c>
      <c r="C1829" s="20"/>
      <c r="D1829" s="20"/>
      <c r="E1829" s="20"/>
      <c r="F1829" s="20"/>
    </row>
    <row r="1830">
      <c r="A1830" s="5"/>
      <c r="B1830" s="13" t="s">
        <v>1500</v>
      </c>
      <c r="C1830" s="22"/>
      <c r="D1830" s="22"/>
      <c r="E1830" s="22"/>
      <c r="F1830" s="22"/>
    </row>
    <row r="1831">
      <c r="A1831" s="6"/>
      <c r="B1831" s="15" t="s">
        <v>1501</v>
      </c>
      <c r="C1831" s="23"/>
      <c r="D1831" s="23"/>
      <c r="E1831" s="23"/>
      <c r="F1831" s="23"/>
    </row>
    <row r="1832">
      <c r="A1832" s="4"/>
      <c r="B1832" s="16" t="s">
        <v>1490</v>
      </c>
      <c r="C1832" s="21">
        <f>(136)*(1)*(1)*(1)*(1 + (0))</f>
      </c>
      <c r="D1832" s="21" t="s">
        <v>9</v>
      </c>
      <c r="E1832" s="21"/>
      <c r="F1832" s="21">
        <f>C1832*E1832</f>
      </c>
    </row>
    <row r="1833">
      <c r="A1833" s="6"/>
      <c r="B1833" s="15" t="s">
        <v>1502</v>
      </c>
      <c r="C1833" s="23"/>
      <c r="D1833" s="23"/>
      <c r="E1833" s="23"/>
      <c r="F1833" s="23"/>
    </row>
    <row r="1834">
      <c r="A1834" s="4"/>
      <c r="B1834" s="16" t="s">
        <v>1490</v>
      </c>
      <c r="C1834" s="21">
        <f>(113)*(1)*(1)*(1)*(1 + (0))</f>
      </c>
      <c r="D1834" s="21" t="s">
        <v>9</v>
      </c>
      <c r="E1834" s="21"/>
      <c r="F1834" s="21">
        <f>C1834*E1834</f>
      </c>
    </row>
    <row r="1835">
      <c r="A1835" s="6"/>
      <c r="B1835" s="15" t="s">
        <v>1503</v>
      </c>
      <c r="C1835" s="23"/>
      <c r="D1835" s="23"/>
      <c r="E1835" s="23"/>
      <c r="F1835" s="23"/>
    </row>
    <row r="1836">
      <c r="A1836" s="4"/>
      <c r="B1836" s="16" t="s">
        <v>1490</v>
      </c>
      <c r="C1836" s="21">
        <f>(24)*(1)*(1)*(1)*(1 + (0))</f>
      </c>
      <c r="D1836" s="21" t="s">
        <v>9</v>
      </c>
      <c r="E1836" s="21"/>
      <c r="F1836" s="21">
        <f>C1836*E1836</f>
      </c>
    </row>
    <row r="1837">
      <c r="A1837" s="2"/>
      <c r="B1837" s="10" t="s">
        <v>1504</v>
      </c>
      <c r="C1837" s="19"/>
      <c r="D1837" s="19"/>
      <c r="E1837" s="19"/>
      <c r="F1837" s="19"/>
    </row>
    <row r="1838">
      <c r="A1838" s="3"/>
      <c r="B1838" s="11" t="s">
        <v>14</v>
      </c>
      <c r="C1838" s="20"/>
      <c r="D1838" s="20"/>
      <c r="E1838" s="20"/>
      <c r="F1838" s="20"/>
    </row>
    <row r="1839">
      <c r="A1839" s="4" t="s">
        <v>1505</v>
      </c>
      <c r="B1839" s="12" t="s">
        <v>16</v>
      </c>
      <c r="C1839" s="21"/>
      <c r="D1839" s="21" t="s">
        <v>17</v>
      </c>
      <c r="E1839" s="21"/>
      <c r="F1839" s="21">
        <f>C1839*E1839</f>
      </c>
    </row>
    <row r="1840">
      <c r="A1840" s="4" t="s">
        <v>1506</v>
      </c>
      <c r="B1840" s="12" t="s">
        <v>19</v>
      </c>
      <c r="C1840" s="21"/>
      <c r="D1840" s="21" t="s">
        <v>17</v>
      </c>
      <c r="E1840" s="21"/>
      <c r="F1840" s="21">
        <f>C1840*E1840</f>
      </c>
    </row>
    <row r="1841">
      <c r="A1841" s="3"/>
      <c r="B1841" s="11" t="s">
        <v>98</v>
      </c>
      <c r="C1841" s="20"/>
      <c r="D1841" s="20"/>
      <c r="E1841" s="20"/>
      <c r="F1841" s="20"/>
    </row>
    <row r="1842">
      <c r="A1842" s="4"/>
      <c r="B1842" s="12" t="s">
        <v>1507</v>
      </c>
      <c r="C1842" s="21"/>
      <c r="D1842" s="21" t="s">
        <v>17</v>
      </c>
      <c r="E1842" s="21"/>
      <c r="F1842" s="21">
        <f>C1842*E1842</f>
      </c>
    </row>
    <row r="1843">
      <c r="A1843" s="4"/>
      <c r="B1843" s="12" t="s">
        <v>803</v>
      </c>
      <c r="C1843" s="21"/>
      <c r="D1843" s="21" t="s">
        <v>17</v>
      </c>
      <c r="E1843" s="21"/>
      <c r="F1843" s="21">
        <f>C1843*E1843</f>
      </c>
    </row>
    <row r="1844">
      <c r="A1844" s="4"/>
      <c r="B1844" s="12" t="s">
        <v>804</v>
      </c>
      <c r="C1844" s="21"/>
      <c r="D1844" s="21" t="s">
        <v>17</v>
      </c>
      <c r="E1844" s="21"/>
      <c r="F1844" s="21">
        <f>C1844*E1844</f>
      </c>
    </row>
    <row r="1845">
      <c r="A1845" s="3"/>
      <c r="B1845" s="11" t="s">
        <v>24</v>
      </c>
      <c r="C1845" s="20"/>
      <c r="D1845" s="20"/>
      <c r="E1845" s="20"/>
      <c r="F1845" s="20"/>
    </row>
    <row r="1846">
      <c r="A1846" s="5"/>
      <c r="B1846" s="13" t="s">
        <v>25</v>
      </c>
      <c r="C1846" s="22"/>
      <c r="D1846" s="22"/>
      <c r="E1846" s="22"/>
      <c r="F1846" s="22"/>
    </row>
    <row r="1847">
      <c r="A1847" s="4" t="s">
        <v>1508</v>
      </c>
      <c r="B1847" s="14" t="s">
        <v>1509</v>
      </c>
      <c r="C1847" s="21"/>
      <c r="D1847" s="21" t="s">
        <v>17</v>
      </c>
      <c r="E1847" s="21"/>
      <c r="F1847" s="21">
        <f>C1847*E1847</f>
      </c>
    </row>
    <row r="1848">
      <c r="A1848" s="4" t="s">
        <v>1510</v>
      </c>
      <c r="B1848" s="14" t="s">
        <v>1511</v>
      </c>
      <c r="C1848" s="21"/>
      <c r="D1848" s="21" t="s">
        <v>17</v>
      </c>
      <c r="E1848" s="21"/>
      <c r="F1848" s="21">
        <f>C1848*E1848</f>
      </c>
    </row>
    <row r="1849">
      <c r="A1849" s="4" t="s">
        <v>1512</v>
      </c>
      <c r="B1849" s="14" t="s">
        <v>194</v>
      </c>
      <c r="C1849" s="21"/>
      <c r="D1849" s="21" t="s">
        <v>17</v>
      </c>
      <c r="E1849" s="21"/>
      <c r="F1849" s="21">
        <f>C1849*E1849</f>
      </c>
    </row>
    <row r="1850">
      <c r="A1850" s="3"/>
      <c r="B1850" s="11" t="s">
        <v>42</v>
      </c>
      <c r="C1850" s="20"/>
      <c r="D1850" s="20"/>
      <c r="E1850" s="20"/>
      <c r="F1850" s="20"/>
    </row>
    <row r="1851">
      <c r="A1851" s="4" t="s">
        <v>1513</v>
      </c>
      <c r="B1851" s="12" t="s">
        <v>1514</v>
      </c>
      <c r="C1851" s="21">
        <f>(1)*(1)*(1)*(1)*(1 + (0))</f>
      </c>
      <c r="D1851" s="21" t="s">
        <v>45</v>
      </c>
      <c r="E1851" s="21"/>
      <c r="F1851" s="21">
        <f>C1851*E1851</f>
      </c>
    </row>
    <row r="1852">
      <c r="A1852" s="4" t="s">
        <v>1515</v>
      </c>
      <c r="B1852" s="12" t="s">
        <v>632</v>
      </c>
      <c r="C1852" s="21">
        <f>(1)*(1)*(1)*(1)*(1 + (0))</f>
      </c>
      <c r="D1852" s="21" t="s">
        <v>45</v>
      </c>
      <c r="E1852" s="21"/>
      <c r="F1852" s="21">
        <f>C1852*E1852</f>
      </c>
    </row>
    <row r="1853">
      <c r="A1853" s="4" t="s">
        <v>1516</v>
      </c>
      <c r="B1853" s="12" t="s">
        <v>1178</v>
      </c>
      <c r="C1853" s="21">
        <f>(1)*(1)*(1)*(1)*(1 + (0))</f>
      </c>
      <c r="D1853" s="21" t="s">
        <v>45</v>
      </c>
      <c r="E1853" s="21"/>
      <c r="F1853" s="21">
        <f>C1853*E1853</f>
      </c>
    </row>
    <row r="1854">
      <c r="A1854" s="4" t="s">
        <v>1517</v>
      </c>
      <c r="B1854" s="12" t="s">
        <v>832</v>
      </c>
      <c r="C1854" s="21">
        <f>(1)*(1)*(1)*(1)*(1 + (0))</f>
      </c>
      <c r="D1854" s="21" t="s">
        <v>45</v>
      </c>
      <c r="E1854" s="21"/>
      <c r="F1854" s="21">
        <f>C1854*E1854</f>
      </c>
    </row>
    <row r="1855">
      <c r="A1855" s="3"/>
      <c r="B1855" s="11" t="s">
        <v>82</v>
      </c>
      <c r="C1855" s="20"/>
      <c r="D1855" s="20"/>
      <c r="E1855" s="20"/>
      <c r="F1855" s="20"/>
    </row>
    <row r="1856">
      <c r="A1856" s="4"/>
      <c r="B1856" s="12" t="s">
        <v>1518</v>
      </c>
      <c r="C1856" s="21"/>
      <c r="D1856" s="21" t="s">
        <v>17</v>
      </c>
      <c r="E1856" s="21"/>
      <c r="F1856" s="21">
        <f>C1856*E1856</f>
      </c>
    </row>
    <row r="1857">
      <c r="A1857" s="3"/>
      <c r="B1857" s="11" t="s">
        <v>1519</v>
      </c>
      <c r="C1857" s="20"/>
      <c r="D1857" s="20"/>
      <c r="E1857" s="20"/>
      <c r="F1857" s="20"/>
    </row>
    <row r="1858">
      <c r="A1858" s="5"/>
      <c r="B1858" s="13" t="s">
        <v>1520</v>
      </c>
      <c r="C1858" s="22"/>
      <c r="D1858" s="22"/>
      <c r="E1858" s="22"/>
      <c r="F1858" s="22"/>
    </row>
    <row r="1859">
      <c r="A1859" s="4"/>
      <c r="B1859" s="14" t="s">
        <v>840</v>
      </c>
      <c r="C1859" s="21">
        <f>(583)*(1)*(1)*(1)*(1 + (0))</f>
      </c>
      <c r="D1859" s="21" t="s">
        <v>9</v>
      </c>
      <c r="E1859" s="21"/>
      <c r="F1859" s="21">
        <f>C1859*E1859</f>
      </c>
    </row>
    <row r="1860">
      <c r="A1860" s="4"/>
      <c r="B1860" s="14" t="s">
        <v>841</v>
      </c>
      <c r="C1860" s="21">
        <f>(441)*(1)*(1)*(1)*(1 + (0))</f>
      </c>
      <c r="D1860" s="21" t="s">
        <v>9</v>
      </c>
      <c r="E1860" s="21"/>
      <c r="F1860" s="21">
        <f>C1860*E1860</f>
      </c>
    </row>
    <row r="1861">
      <c r="A1861" s="5"/>
      <c r="B1861" s="13" t="s">
        <v>1521</v>
      </c>
      <c r="C1861" s="22"/>
      <c r="D1861" s="22"/>
      <c r="E1861" s="22"/>
      <c r="F1861" s="22"/>
    </row>
    <row r="1862">
      <c r="A1862" s="4"/>
      <c r="B1862" s="14" t="s">
        <v>840</v>
      </c>
      <c r="C1862" s="21">
        <f>(41)*(1)*(1)*(1)*(1 + (0))</f>
      </c>
      <c r="D1862" s="21" t="s">
        <v>9</v>
      </c>
      <c r="E1862" s="21"/>
      <c r="F1862" s="21">
        <f>C1862*E1862</f>
      </c>
    </row>
    <row r="1863">
      <c r="A1863" s="3"/>
      <c r="B1863" s="11" t="s">
        <v>1522</v>
      </c>
      <c r="C1863" s="20"/>
      <c r="D1863" s="20"/>
      <c r="E1863" s="20"/>
      <c r="F1863" s="20"/>
    </row>
    <row r="1864">
      <c r="A1864" s="4"/>
      <c r="B1864" s="12" t="s">
        <v>1523</v>
      </c>
      <c r="C1864" s="21">
        <f>(1064)*(1)*(1)*(1)*(1 + (0))</f>
      </c>
      <c r="D1864" s="21" t="s">
        <v>9</v>
      </c>
      <c r="E1864" s="21"/>
      <c r="F1864" s="21">
        <f>C1864*E1864</f>
      </c>
    </row>
    <row r="1865">
      <c r="A1865" s="4"/>
      <c r="B1865" s="12" t="s">
        <v>1524</v>
      </c>
      <c r="C1865" s="21">
        <f>(532)*(1)*(1)*(1)*(1 + (0))</f>
      </c>
      <c r="D1865" s="21" t="s">
        <v>9</v>
      </c>
      <c r="E1865" s="21"/>
      <c r="F1865" s="21">
        <f>C1865*E1865</f>
      </c>
    </row>
    <row r="1866">
      <c r="A1866" s="4"/>
      <c r="B1866" s="12" t="s">
        <v>1525</v>
      </c>
      <c r="C1866" s="21">
        <f>(1064)*(1)*(1)*(1)*(1 + (0))</f>
      </c>
      <c r="D1866" s="21" t="s">
        <v>9</v>
      </c>
      <c r="E1866" s="21"/>
      <c r="F1866" s="21">
        <f>C1866*E1866</f>
      </c>
    </row>
    <row r="1867">
      <c r="A1867" s="2"/>
      <c r="B1867" s="10" t="s">
        <v>1526</v>
      </c>
      <c r="C1867" s="19"/>
      <c r="D1867" s="19"/>
      <c r="E1867" s="19"/>
      <c r="F1867" s="19"/>
    </row>
    <row r="1868">
      <c r="A1868" s="3"/>
      <c r="B1868" s="11" t="s">
        <v>14</v>
      </c>
      <c r="C1868" s="20"/>
      <c r="D1868" s="20"/>
      <c r="E1868" s="20"/>
      <c r="F1868" s="20"/>
    </row>
    <row r="1869">
      <c r="A1869" s="4" t="s">
        <v>1527</v>
      </c>
      <c r="B1869" s="12" t="s">
        <v>16</v>
      </c>
      <c r="C1869" s="21"/>
      <c r="D1869" s="21" t="s">
        <v>17</v>
      </c>
      <c r="E1869" s="21"/>
      <c r="F1869" s="21">
        <f>C1869*E1869</f>
      </c>
    </row>
    <row r="1870">
      <c r="A1870" s="4" t="s">
        <v>1528</v>
      </c>
      <c r="B1870" s="12" t="s">
        <v>19</v>
      </c>
      <c r="C1870" s="21"/>
      <c r="D1870" s="21" t="s">
        <v>17</v>
      </c>
      <c r="E1870" s="21"/>
      <c r="F1870" s="21">
        <f>C1870*E1870</f>
      </c>
    </row>
    <row r="1871">
      <c r="A1871" s="3"/>
      <c r="B1871" s="11" t="s">
        <v>98</v>
      </c>
      <c r="C1871" s="20"/>
      <c r="D1871" s="20"/>
      <c r="E1871" s="20"/>
      <c r="F1871" s="20"/>
    </row>
    <row r="1872">
      <c r="A1872" s="4"/>
      <c r="B1872" s="12" t="s">
        <v>1529</v>
      </c>
      <c r="C1872" s="21"/>
      <c r="D1872" s="21" t="s">
        <v>17</v>
      </c>
      <c r="E1872" s="21"/>
      <c r="F1872" s="21">
        <f>C1872*E1872</f>
      </c>
    </row>
    <row r="1873">
      <c r="A1873" s="4"/>
      <c r="B1873" s="12" t="s">
        <v>803</v>
      </c>
      <c r="C1873" s="21"/>
      <c r="D1873" s="21" t="s">
        <v>17</v>
      </c>
      <c r="E1873" s="21"/>
      <c r="F1873" s="21">
        <f>C1873*E1873</f>
      </c>
    </row>
    <row r="1874">
      <c r="A1874" s="4"/>
      <c r="B1874" s="12" t="s">
        <v>804</v>
      </c>
      <c r="C1874" s="21"/>
      <c r="D1874" s="21" t="s">
        <v>17</v>
      </c>
      <c r="E1874" s="21"/>
      <c r="F1874" s="21">
        <f>C1874*E1874</f>
      </c>
    </row>
    <row r="1875">
      <c r="A1875" s="3"/>
      <c r="B1875" s="11" t="s">
        <v>24</v>
      </c>
      <c r="C1875" s="20"/>
      <c r="D1875" s="20"/>
      <c r="E1875" s="20"/>
      <c r="F1875" s="20"/>
    </row>
    <row r="1876">
      <c r="A1876" s="5"/>
      <c r="B1876" s="13" t="s">
        <v>25</v>
      </c>
      <c r="C1876" s="22"/>
      <c r="D1876" s="22"/>
      <c r="E1876" s="22"/>
      <c r="F1876" s="22"/>
    </row>
    <row r="1877">
      <c r="A1877" s="4" t="s">
        <v>1508</v>
      </c>
      <c r="B1877" s="14" t="s">
        <v>1509</v>
      </c>
      <c r="C1877" s="21"/>
      <c r="D1877" s="21" t="s">
        <v>17</v>
      </c>
      <c r="E1877" s="21"/>
      <c r="F1877" s="21">
        <f>C1877*E1877</f>
      </c>
    </row>
    <row r="1878">
      <c r="A1878" s="4" t="s">
        <v>1510</v>
      </c>
      <c r="B1878" s="14" t="s">
        <v>1511</v>
      </c>
      <c r="C1878" s="21"/>
      <c r="D1878" s="21" t="s">
        <v>17</v>
      </c>
      <c r="E1878" s="21"/>
      <c r="F1878" s="21">
        <f>C1878*E1878</f>
      </c>
    </row>
    <row r="1879">
      <c r="A1879" s="4" t="s">
        <v>1512</v>
      </c>
      <c r="B1879" s="14" t="s">
        <v>194</v>
      </c>
      <c r="C1879" s="21"/>
      <c r="D1879" s="21" t="s">
        <v>17</v>
      </c>
      <c r="E1879" s="21"/>
      <c r="F1879" s="21">
        <f>C1879*E1879</f>
      </c>
    </row>
    <row r="1880">
      <c r="A1880" s="3"/>
      <c r="B1880" s="11" t="s">
        <v>42</v>
      </c>
      <c r="C1880" s="20"/>
      <c r="D1880" s="20"/>
      <c r="E1880" s="20"/>
      <c r="F1880" s="20"/>
    </row>
    <row r="1881">
      <c r="A1881" s="4" t="s">
        <v>1530</v>
      </c>
      <c r="B1881" s="12" t="s">
        <v>1531</v>
      </c>
      <c r="C1881" s="21">
        <f>(1)*(1)*(1)*(1)*(1 + (0))</f>
      </c>
      <c r="D1881" s="21" t="s">
        <v>45</v>
      </c>
      <c r="E1881" s="21"/>
      <c r="F1881" s="21">
        <f>C1881*E1881</f>
      </c>
    </row>
    <row r="1882">
      <c r="A1882" s="4" t="s">
        <v>1532</v>
      </c>
      <c r="B1882" s="12" t="s">
        <v>1019</v>
      </c>
      <c r="C1882" s="21">
        <f>(1)*(1)*(1)*(1)*(1 + (0))</f>
      </c>
      <c r="D1882" s="21" t="s">
        <v>45</v>
      </c>
      <c r="E1882" s="21"/>
      <c r="F1882" s="21">
        <f>C1882*E1882</f>
      </c>
    </row>
    <row r="1883">
      <c r="A1883" s="4" t="s">
        <v>1533</v>
      </c>
      <c r="B1883" s="12" t="s">
        <v>894</v>
      </c>
      <c r="C1883" s="21">
        <f>(1)*(1)*(1)*(1)*(1 + (0))</f>
      </c>
      <c r="D1883" s="21" t="s">
        <v>45</v>
      </c>
      <c r="E1883" s="21"/>
      <c r="F1883" s="21">
        <f>C1883*E1883</f>
      </c>
    </row>
    <row r="1884">
      <c r="A1884" s="4" t="s">
        <v>1534</v>
      </c>
      <c r="B1884" s="12" t="s">
        <v>1178</v>
      </c>
      <c r="C1884" s="21">
        <f>(1)*(1)*(1)*(1)*(1 + (0))</f>
      </c>
      <c r="D1884" s="21" t="s">
        <v>45</v>
      </c>
      <c r="E1884" s="21"/>
      <c r="F1884" s="21">
        <f>C1884*E1884</f>
      </c>
    </row>
    <row r="1885">
      <c r="A1885" s="4" t="s">
        <v>1535</v>
      </c>
      <c r="B1885" s="12" t="s">
        <v>251</v>
      </c>
      <c r="C1885" s="21">
        <f>(1)*(1)*(1)*(1)*(1 + (0))</f>
      </c>
      <c r="D1885" s="21" t="s">
        <v>45</v>
      </c>
      <c r="E1885" s="21"/>
      <c r="F1885" s="21">
        <f>C1885*E1885</f>
      </c>
    </row>
    <row r="1886">
      <c r="A1886" s="4" t="s">
        <v>1536</v>
      </c>
      <c r="B1886" s="12" t="s">
        <v>1169</v>
      </c>
      <c r="C1886" s="21">
        <f>(1)*(1)*(1)*(1)*(1 + (0))</f>
      </c>
      <c r="D1886" s="21" t="s">
        <v>45</v>
      </c>
      <c r="E1886" s="21"/>
      <c r="F1886" s="21">
        <f>C1886*E1886</f>
      </c>
    </row>
    <row r="1887">
      <c r="A1887" s="4" t="s">
        <v>1537</v>
      </c>
      <c r="B1887" s="12" t="s">
        <v>59</v>
      </c>
      <c r="C1887" s="21">
        <f>(1)*(1)*(1)*(1)*(1 + (0))</f>
      </c>
      <c r="D1887" s="21" t="s">
        <v>45</v>
      </c>
      <c r="E1887" s="21"/>
      <c r="F1887" s="21">
        <f>C1887*E1887</f>
      </c>
    </row>
    <row r="1888">
      <c r="A1888" s="4" t="s">
        <v>1538</v>
      </c>
      <c r="B1888" s="12" t="s">
        <v>1539</v>
      </c>
      <c r="C1888" s="21">
        <f>(1)*(1)*(1)*(1)*(1 + (0))</f>
      </c>
      <c r="D1888" s="21" t="s">
        <v>45</v>
      </c>
      <c r="E1888" s="21"/>
      <c r="F1888" s="21">
        <f>C1888*E1888</f>
      </c>
    </row>
    <row r="1889">
      <c r="A1889" s="4" t="s">
        <v>1540</v>
      </c>
      <c r="B1889" s="12" t="s">
        <v>834</v>
      </c>
      <c r="C1889" s="21">
        <f>(1)*(1)*(1)*(1)*(1 + (0))</f>
      </c>
      <c r="D1889" s="21" t="s">
        <v>45</v>
      </c>
      <c r="E1889" s="21"/>
      <c r="F1889" s="21">
        <f>C1889*E1889</f>
      </c>
    </row>
    <row r="1890">
      <c r="A1890" s="4" t="s">
        <v>1541</v>
      </c>
      <c r="B1890" s="12" t="s">
        <v>832</v>
      </c>
      <c r="C1890" s="21">
        <f>(1)*(1)*(1)*(1)*(1 + (0))</f>
      </c>
      <c r="D1890" s="21" t="s">
        <v>45</v>
      </c>
      <c r="E1890" s="21"/>
      <c r="F1890" s="21">
        <f>C1890*E1890</f>
      </c>
    </row>
    <row r="1891">
      <c r="A1891" s="3"/>
      <c r="B1891" s="11" t="s">
        <v>82</v>
      </c>
      <c r="C1891" s="20"/>
      <c r="D1891" s="20"/>
      <c r="E1891" s="20"/>
      <c r="F1891" s="20"/>
    </row>
    <row r="1892">
      <c r="A1892" s="4"/>
      <c r="B1892" s="12" t="s">
        <v>1518</v>
      </c>
      <c r="C1892" s="21"/>
      <c r="D1892" s="21" t="s">
        <v>17</v>
      </c>
      <c r="E1892" s="21"/>
      <c r="F1892" s="21">
        <f>C1892*E1892</f>
      </c>
    </row>
    <row r="1893">
      <c r="A1893" s="3"/>
      <c r="B1893" s="11" t="s">
        <v>1542</v>
      </c>
      <c r="C1893" s="20"/>
      <c r="D1893" s="20"/>
      <c r="E1893" s="20"/>
      <c r="F1893" s="20"/>
    </row>
    <row r="1894">
      <c r="A1894" s="5"/>
      <c r="B1894" s="13" t="s">
        <v>1543</v>
      </c>
      <c r="C1894" s="22"/>
      <c r="D1894" s="22"/>
      <c r="E1894" s="22"/>
      <c r="F1894" s="22"/>
    </row>
    <row r="1895">
      <c r="A1895" s="4"/>
      <c r="B1895" s="14" t="s">
        <v>840</v>
      </c>
      <c r="C1895" s="21">
        <f>(106)*(1)*(1)*(1)*(1 + (0))</f>
      </c>
      <c r="D1895" s="21" t="s">
        <v>9</v>
      </c>
      <c r="E1895" s="21"/>
      <c r="F1895" s="21">
        <f>C1895*E1895</f>
      </c>
    </row>
    <row r="1896">
      <c r="A1896" s="4"/>
      <c r="B1896" s="14" t="s">
        <v>841</v>
      </c>
      <c r="C1896" s="21">
        <f>(15)*(1)*(1)*(1)*(1 + (0))</f>
      </c>
      <c r="D1896" s="21" t="s">
        <v>9</v>
      </c>
      <c r="E1896" s="21"/>
      <c r="F1896" s="21">
        <f>C1896*E1896</f>
      </c>
    </row>
    <row r="1897">
      <c r="A1897" s="3"/>
      <c r="B1897" s="11" t="s">
        <v>1544</v>
      </c>
      <c r="C1897" s="20"/>
      <c r="D1897" s="20"/>
      <c r="E1897" s="20"/>
      <c r="F1897" s="20"/>
    </row>
    <row r="1898">
      <c r="A1898" s="5"/>
      <c r="B1898" s="13" t="s">
        <v>1545</v>
      </c>
      <c r="C1898" s="22"/>
      <c r="D1898" s="22"/>
      <c r="E1898" s="22"/>
      <c r="F1898" s="22"/>
    </row>
    <row r="1899">
      <c r="A1899" s="4"/>
      <c r="B1899" s="14" t="s">
        <v>840</v>
      </c>
      <c r="C1899" s="21">
        <f>(309)*(1)*(1)*(1)*(1 + (0))</f>
      </c>
      <c r="D1899" s="21" t="s">
        <v>9</v>
      </c>
      <c r="E1899" s="21"/>
      <c r="F1899" s="21">
        <f>C1899*E1899</f>
      </c>
    </row>
    <row r="1900">
      <c r="A1900" s="3"/>
      <c r="B1900" s="11" t="s">
        <v>1546</v>
      </c>
      <c r="C1900" s="20"/>
      <c r="D1900" s="20"/>
      <c r="E1900" s="20"/>
      <c r="F1900" s="20"/>
    </row>
    <row r="1901">
      <c r="A1901" s="5"/>
      <c r="B1901" s="13" t="s">
        <v>1547</v>
      </c>
      <c r="C1901" s="22"/>
      <c r="D1901" s="22"/>
      <c r="E1901" s="22"/>
      <c r="F1901" s="22"/>
    </row>
    <row r="1902">
      <c r="A1902" s="4"/>
      <c r="B1902" s="14" t="s">
        <v>840</v>
      </c>
      <c r="C1902" s="21">
        <f>(3)*(1)*(1)*(1)*(1 + (0))</f>
      </c>
      <c r="D1902" s="21" t="s">
        <v>167</v>
      </c>
      <c r="E1902" s="21"/>
      <c r="F1902" s="21">
        <f>C1902*E1902</f>
      </c>
    </row>
    <row r="1903">
      <c r="A1903" s="5"/>
      <c r="B1903" s="13" t="s">
        <v>1548</v>
      </c>
      <c r="C1903" s="22"/>
      <c r="D1903" s="22"/>
      <c r="E1903" s="22"/>
      <c r="F1903" s="22"/>
    </row>
    <row r="1904">
      <c r="A1904" s="4"/>
      <c r="B1904" s="14" t="s">
        <v>841</v>
      </c>
      <c r="C1904" s="21">
        <f>(2)*(1)*(1)*(1)*(1 + (0))</f>
      </c>
      <c r="D1904" s="21" t="s">
        <v>167</v>
      </c>
      <c r="E1904" s="21"/>
      <c r="F1904" s="21">
        <f>C1904*E1904</f>
      </c>
    </row>
    <row r="1905">
      <c r="A1905" s="5"/>
      <c r="B1905" s="13" t="s">
        <v>1549</v>
      </c>
      <c r="C1905" s="22"/>
      <c r="D1905" s="22"/>
      <c r="E1905" s="22"/>
      <c r="F1905" s="22"/>
    </row>
    <row r="1906">
      <c r="A1906" s="4"/>
      <c r="B1906" s="14" t="s">
        <v>840</v>
      </c>
      <c r="C1906" s="21">
        <f>(1)*(1)*(1)*(1)*(1 + (0))</f>
      </c>
      <c r="D1906" s="21" t="s">
        <v>167</v>
      </c>
      <c r="E1906" s="21"/>
      <c r="F1906" s="21">
        <f>C1906*E1906</f>
      </c>
    </row>
    <row r="1907">
      <c r="A1907" s="5"/>
      <c r="B1907" s="13" t="s">
        <v>1550</v>
      </c>
      <c r="C1907" s="22"/>
      <c r="D1907" s="22"/>
      <c r="E1907" s="22"/>
      <c r="F1907" s="22"/>
    </row>
    <row r="1908">
      <c r="A1908" s="4"/>
      <c r="B1908" s="14" t="s">
        <v>840</v>
      </c>
      <c r="C1908" s="21">
        <f>(3)*(1)*(1)*(1)*(1 + (0))</f>
      </c>
      <c r="D1908" s="21" t="s">
        <v>167</v>
      </c>
      <c r="E1908" s="21"/>
      <c r="F1908" s="21">
        <f>C1908*E1908</f>
      </c>
    </row>
    <row r="1909">
      <c r="A1909" s="3"/>
      <c r="B1909" s="11" t="s">
        <v>1522</v>
      </c>
      <c r="C1909" s="20"/>
      <c r="D1909" s="20"/>
      <c r="E1909" s="20"/>
      <c r="F1909" s="20"/>
    </row>
    <row r="1910">
      <c r="A1910" s="4"/>
      <c r="B1910" s="12" t="s">
        <v>1523</v>
      </c>
      <c r="C1910" s="21">
        <f>(429)*(1)*(1)*(1)*(1 + (0))</f>
      </c>
      <c r="D1910" s="21" t="s">
        <v>9</v>
      </c>
      <c r="E1910" s="21"/>
      <c r="F1910" s="21">
        <f>C1910*E1910</f>
      </c>
    </row>
    <row r="1911">
      <c r="A1911" s="4"/>
      <c r="B1911" s="12" t="s">
        <v>1551</v>
      </c>
      <c r="C1911" s="21">
        <f>(15)*(1)*(1)*(1)*(1 + (0))</f>
      </c>
      <c r="D1911" s="21" t="s">
        <v>9</v>
      </c>
      <c r="E1911" s="21"/>
      <c r="F1911" s="21">
        <f>C1911*E1911</f>
      </c>
    </row>
    <row r="1912">
      <c r="A1912" s="4"/>
      <c r="B1912" s="12" t="s">
        <v>1524</v>
      </c>
      <c r="C1912" s="21">
        <f>(215)*(1)*(1)*(1)*(1 + (0))</f>
      </c>
      <c r="D1912" s="21" t="s">
        <v>9</v>
      </c>
      <c r="E1912" s="21"/>
      <c r="F1912" s="21">
        <f>C1912*E1912</f>
      </c>
    </row>
    <row r="1913">
      <c r="A1913" s="4"/>
      <c r="B1913" s="12" t="s">
        <v>1552</v>
      </c>
      <c r="C1913" s="21">
        <f>(120)*(1)*(1)*(1)*(1 + (0))</f>
      </c>
      <c r="D1913" s="21" t="s">
        <v>9</v>
      </c>
      <c r="E1913" s="21"/>
      <c r="F1913" s="21">
        <f>C1913*E1913</f>
      </c>
    </row>
    <row r="1914">
      <c r="A1914" s="4"/>
      <c r="B1914" s="12" t="s">
        <v>1553</v>
      </c>
      <c r="C1914" s="21">
        <f>(120)*(1)*(1)*(1)*(1 + (0))</f>
      </c>
      <c r="D1914" s="21" t="s">
        <v>9</v>
      </c>
      <c r="E1914" s="21"/>
      <c r="F1914" s="21">
        <f>C1914*E1914</f>
      </c>
    </row>
    <row r="1915">
      <c r="A1915" s="3"/>
      <c r="B1915" s="11" t="s">
        <v>1554</v>
      </c>
      <c r="C1915" s="20"/>
      <c r="D1915" s="20"/>
      <c r="E1915" s="20"/>
      <c r="F1915" s="20"/>
    </row>
    <row r="1916">
      <c r="A1916" s="5"/>
      <c r="B1916" s="13" t="s">
        <v>1555</v>
      </c>
      <c r="C1916" s="22"/>
      <c r="D1916" s="22"/>
      <c r="E1916" s="22"/>
      <c r="F1916" s="22"/>
    </row>
    <row r="1917">
      <c r="A1917" s="4"/>
      <c r="B1917" s="14" t="s">
        <v>997</v>
      </c>
      <c r="C1917" s="21">
        <f>(93)*(1)*(1)*(1)*(1 + (0))</f>
      </c>
      <c r="D1917" s="21" t="s">
        <v>167</v>
      </c>
      <c r="E1917" s="21"/>
      <c r="F1917" s="21">
        <f>C1917*E1917</f>
      </c>
    </row>
    <row r="1918">
      <c r="A1918" s="3"/>
      <c r="B1918" s="11" t="s">
        <v>1556</v>
      </c>
      <c r="C1918" s="20"/>
      <c r="D1918" s="20"/>
      <c r="E1918" s="20"/>
      <c r="F1918" s="20"/>
    </row>
    <row r="1919">
      <c r="A1919" s="5"/>
      <c r="B1919" s="13" t="s">
        <v>1557</v>
      </c>
      <c r="C1919" s="22"/>
      <c r="D1919" s="22"/>
      <c r="E1919" s="22"/>
      <c r="F1919" s="22"/>
    </row>
    <row r="1920">
      <c r="A1920" s="4"/>
      <c r="B1920" s="14" t="s">
        <v>997</v>
      </c>
      <c r="C1920" s="21">
        <f>(343)*(1)*(1)*(1)*(1 + (0))</f>
      </c>
      <c r="D1920" s="21" t="s">
        <v>167</v>
      </c>
      <c r="E1920" s="21"/>
      <c r="F1920" s="21">
        <f>C1920*E1920</f>
      </c>
    </row>
    <row r="1921">
      <c r="A1921" s="4"/>
      <c r="B1921" s="14" t="s">
        <v>1558</v>
      </c>
      <c r="C1921" s="21">
        <f>(287)*(1)*(1)*(1)*(1 + (0))</f>
      </c>
      <c r="D1921" s="21" t="s">
        <v>167</v>
      </c>
      <c r="E1921" s="21"/>
      <c r="F1921" s="21">
        <f>C1921*E1921</f>
      </c>
    </row>
    <row r="1922">
      <c r="A1922" s="5"/>
      <c r="B1922" s="13" t="s">
        <v>1559</v>
      </c>
      <c r="C1922" s="22"/>
      <c r="D1922" s="22"/>
      <c r="E1922" s="22"/>
      <c r="F1922" s="22"/>
    </row>
    <row r="1923">
      <c r="A1923" s="4"/>
      <c r="B1923" s="14" t="s">
        <v>997</v>
      </c>
      <c r="C1923" s="21">
        <f>(112)*(1)*(1)*(1)*(1 + (0))</f>
      </c>
      <c r="D1923" s="21" t="s">
        <v>167</v>
      </c>
      <c r="E1923" s="21"/>
      <c r="F1923" s="21">
        <f>C1923*E1923</f>
      </c>
    </row>
    <row r="1924">
      <c r="A1924" s="2"/>
      <c r="B1924" s="10" t="s">
        <v>1560</v>
      </c>
      <c r="C1924" s="19"/>
      <c r="D1924" s="19"/>
      <c r="E1924" s="19"/>
      <c r="F1924" s="19"/>
    </row>
    <row r="1925">
      <c r="A1925" s="3"/>
      <c r="B1925" s="11" t="s">
        <v>14</v>
      </c>
      <c r="C1925" s="20"/>
      <c r="D1925" s="20"/>
      <c r="E1925" s="20"/>
      <c r="F1925" s="20"/>
    </row>
    <row r="1926">
      <c r="A1926" s="4" t="s">
        <v>1505</v>
      </c>
      <c r="B1926" s="12" t="s">
        <v>16</v>
      </c>
      <c r="C1926" s="21"/>
      <c r="D1926" s="21" t="s">
        <v>17</v>
      </c>
      <c r="E1926" s="21"/>
      <c r="F1926" s="21">
        <f>C1926*E1926</f>
      </c>
    </row>
    <row r="1927">
      <c r="A1927" s="4" t="s">
        <v>1506</v>
      </c>
      <c r="B1927" s="12" t="s">
        <v>19</v>
      </c>
      <c r="C1927" s="21"/>
      <c r="D1927" s="21" t="s">
        <v>17</v>
      </c>
      <c r="E1927" s="21"/>
      <c r="F1927" s="21">
        <f>C1927*E1927</f>
      </c>
    </row>
    <row r="1928">
      <c r="A1928" s="3"/>
      <c r="B1928" s="11" t="s">
        <v>98</v>
      </c>
      <c r="C1928" s="20"/>
      <c r="D1928" s="20"/>
      <c r="E1928" s="20"/>
      <c r="F1928" s="20"/>
    </row>
    <row r="1929">
      <c r="A1929" s="4"/>
      <c r="B1929" s="12" t="s">
        <v>1561</v>
      </c>
      <c r="C1929" s="21"/>
      <c r="D1929" s="21" t="s">
        <v>17</v>
      </c>
      <c r="E1929" s="21"/>
      <c r="F1929" s="21">
        <f>C1929*E1929</f>
      </c>
    </row>
    <row r="1930">
      <c r="A1930" s="4"/>
      <c r="B1930" s="12" t="s">
        <v>803</v>
      </c>
      <c r="C1930" s="21"/>
      <c r="D1930" s="21" t="s">
        <v>17</v>
      </c>
      <c r="E1930" s="21"/>
      <c r="F1930" s="21">
        <f>C1930*E1930</f>
      </c>
    </row>
    <row r="1931">
      <c r="A1931" s="4"/>
      <c r="B1931" s="12" t="s">
        <v>1562</v>
      </c>
      <c r="C1931" s="21"/>
      <c r="D1931" s="21" t="s">
        <v>17</v>
      </c>
      <c r="E1931" s="21"/>
      <c r="F1931" s="21">
        <f>C1931*E1931</f>
      </c>
    </row>
    <row r="1932">
      <c r="A1932" s="3"/>
      <c r="B1932" s="11" t="s">
        <v>24</v>
      </c>
      <c r="C1932" s="20"/>
      <c r="D1932" s="20"/>
      <c r="E1932" s="20"/>
      <c r="F1932" s="20"/>
    </row>
    <row r="1933">
      <c r="A1933" s="5"/>
      <c r="B1933" s="13" t="s">
        <v>25</v>
      </c>
      <c r="C1933" s="22"/>
      <c r="D1933" s="22"/>
      <c r="E1933" s="22"/>
      <c r="F1933" s="22"/>
    </row>
    <row r="1934">
      <c r="A1934" s="4" t="s">
        <v>1563</v>
      </c>
      <c r="B1934" s="14" t="s">
        <v>1564</v>
      </c>
      <c r="C1934" s="21"/>
      <c r="D1934" s="21" t="s">
        <v>17</v>
      </c>
      <c r="E1934" s="21"/>
      <c r="F1934" s="21">
        <f>C1934*E1934</f>
      </c>
    </row>
    <row r="1935">
      <c r="A1935" s="4" t="s">
        <v>1565</v>
      </c>
      <c r="B1935" s="14" t="s">
        <v>1566</v>
      </c>
      <c r="C1935" s="21"/>
      <c r="D1935" s="21" t="s">
        <v>17</v>
      </c>
      <c r="E1935" s="21"/>
      <c r="F1935" s="21">
        <f>C1935*E1935</f>
      </c>
    </row>
    <row r="1936">
      <c r="A1936" s="4" t="s">
        <v>1567</v>
      </c>
      <c r="B1936" s="14" t="s">
        <v>1568</v>
      </c>
      <c r="C1936" s="21"/>
      <c r="D1936" s="21" t="s">
        <v>17</v>
      </c>
      <c r="E1936" s="21"/>
      <c r="F1936" s="21">
        <f>C1936*E1936</f>
      </c>
    </row>
    <row r="1937">
      <c r="A1937" s="4" t="s">
        <v>1569</v>
      </c>
      <c r="B1937" s="14" t="s">
        <v>1570</v>
      </c>
      <c r="C1937" s="21"/>
      <c r="D1937" s="21" t="s">
        <v>17</v>
      </c>
      <c r="E1937" s="21"/>
      <c r="F1937" s="21">
        <f>C1937*E1937</f>
      </c>
    </row>
    <row r="1938">
      <c r="A1938" s="4" t="s">
        <v>1571</v>
      </c>
      <c r="B1938" s="14" t="s">
        <v>1572</v>
      </c>
      <c r="C1938" s="21"/>
      <c r="D1938" s="21" t="s">
        <v>17</v>
      </c>
      <c r="E1938" s="21"/>
      <c r="F1938" s="21">
        <f>C1938*E1938</f>
      </c>
    </row>
    <row r="1939">
      <c r="A1939" s="4" t="s">
        <v>1573</v>
      </c>
      <c r="B1939" s="14" t="s">
        <v>194</v>
      </c>
      <c r="C1939" s="21"/>
      <c r="D1939" s="21" t="s">
        <v>17</v>
      </c>
      <c r="E1939" s="21"/>
      <c r="F1939" s="21">
        <f>C1939*E1939</f>
      </c>
    </row>
    <row r="1940">
      <c r="A1940" s="3"/>
      <c r="B1940" s="11" t="s">
        <v>42</v>
      </c>
      <c r="C1940" s="20"/>
      <c r="D1940" s="20"/>
      <c r="E1940" s="20"/>
      <c r="F1940" s="20"/>
    </row>
    <row r="1941">
      <c r="A1941" s="4" t="s">
        <v>1574</v>
      </c>
      <c r="B1941" s="12" t="s">
        <v>1531</v>
      </c>
      <c r="C1941" s="21">
        <f>(1)*(1)*(1)*(1)*(1 + (0))</f>
      </c>
      <c r="D1941" s="21" t="s">
        <v>45</v>
      </c>
      <c r="E1941" s="21"/>
      <c r="F1941" s="21">
        <f>C1941*E1941</f>
      </c>
    </row>
    <row r="1942">
      <c r="A1942" s="4" t="s">
        <v>1575</v>
      </c>
      <c r="B1942" s="12" t="s">
        <v>1019</v>
      </c>
      <c r="C1942" s="21">
        <f>(1)*(1)*(1)*(1)*(1 + (0))</f>
      </c>
      <c r="D1942" s="21" t="s">
        <v>45</v>
      </c>
      <c r="E1942" s="21"/>
      <c r="F1942" s="21">
        <f>C1942*E1942</f>
      </c>
    </row>
    <row r="1943">
      <c r="A1943" s="4" t="s">
        <v>1576</v>
      </c>
      <c r="B1943" s="12" t="s">
        <v>251</v>
      </c>
      <c r="C1943" s="21">
        <f>(1)*(1)*(1)*(1)*(1 + (0))</f>
      </c>
      <c r="D1943" s="21" t="s">
        <v>45</v>
      </c>
      <c r="E1943" s="21"/>
      <c r="F1943" s="21">
        <f>C1943*E1943</f>
      </c>
    </row>
    <row r="1944">
      <c r="A1944" s="4" t="s">
        <v>1577</v>
      </c>
      <c r="B1944" s="12" t="s">
        <v>1578</v>
      </c>
      <c r="C1944" s="21">
        <f>(1)*(1)*(1)*(1)*(1 + (0))</f>
      </c>
      <c r="D1944" s="21" t="s">
        <v>45</v>
      </c>
      <c r="E1944" s="21"/>
      <c r="F1944" s="21">
        <f>C1944*E1944</f>
      </c>
    </row>
    <row r="1945">
      <c r="A1945" s="4" t="s">
        <v>1579</v>
      </c>
      <c r="B1945" s="12" t="s">
        <v>1302</v>
      </c>
      <c r="C1945" s="21">
        <f>(1)*(1)*(1)*(1)*(1 + (0))</f>
      </c>
      <c r="D1945" s="21" t="s">
        <v>45</v>
      </c>
      <c r="E1945" s="21"/>
      <c r="F1945" s="21">
        <f>C1945*E1945</f>
      </c>
    </row>
    <row r="1946">
      <c r="A1946" s="4" t="s">
        <v>1580</v>
      </c>
      <c r="B1946" s="12" t="s">
        <v>1581</v>
      </c>
      <c r="C1946" s="21">
        <f>(1)*(1)*(1)*(1)*(1 + (0))</f>
      </c>
      <c r="D1946" s="21" t="s">
        <v>45</v>
      </c>
      <c r="E1946" s="21"/>
      <c r="F1946" s="21">
        <f>C1946*E1946</f>
      </c>
    </row>
    <row r="1947">
      <c r="A1947" s="4" t="s">
        <v>1582</v>
      </c>
      <c r="B1947" s="12" t="s">
        <v>1583</v>
      </c>
      <c r="C1947" s="21">
        <f>(1)*(1)*(1)*(1)*(1 + (0))</f>
      </c>
      <c r="D1947" s="21" t="s">
        <v>45</v>
      </c>
      <c r="E1947" s="21"/>
      <c r="F1947" s="21">
        <f>C1947*E1947</f>
      </c>
    </row>
    <row r="1948">
      <c r="A1948" s="4" t="s">
        <v>1584</v>
      </c>
      <c r="B1948" s="12" t="s">
        <v>1585</v>
      </c>
      <c r="C1948" s="21">
        <f>(1)*(1)*(1)*(1)*(1 + (0))</f>
      </c>
      <c r="D1948" s="21" t="s">
        <v>45</v>
      </c>
      <c r="E1948" s="21"/>
      <c r="F1948" s="21">
        <f>C1948*E1948</f>
      </c>
    </row>
    <row r="1949">
      <c r="A1949" s="4" t="s">
        <v>1586</v>
      </c>
      <c r="B1949" s="12" t="s">
        <v>1587</v>
      </c>
      <c r="C1949" s="21">
        <f>(1)*(1)*(1)*(1)*(1 + (0))</f>
      </c>
      <c r="D1949" s="21" t="s">
        <v>45</v>
      </c>
      <c r="E1949" s="21"/>
      <c r="F1949" s="21">
        <f>C1949*E1949</f>
      </c>
    </row>
    <row r="1950">
      <c r="A1950" s="4" t="s">
        <v>1588</v>
      </c>
      <c r="B1950" s="12" t="s">
        <v>832</v>
      </c>
      <c r="C1950" s="21">
        <f>(1)*(1)*(1)*(1)*(1 + (0))</f>
      </c>
      <c r="D1950" s="21" t="s">
        <v>45</v>
      </c>
      <c r="E1950" s="21"/>
      <c r="F1950" s="21">
        <f>C1950*E1950</f>
      </c>
    </row>
    <row r="1951">
      <c r="A1951" s="3"/>
      <c r="B1951" s="11" t="s">
        <v>82</v>
      </c>
      <c r="C1951" s="20"/>
      <c r="D1951" s="20"/>
      <c r="E1951" s="20"/>
      <c r="F1951" s="20"/>
    </row>
    <row r="1952">
      <c r="A1952" s="4"/>
      <c r="B1952" s="12" t="s">
        <v>1589</v>
      </c>
      <c r="C1952" s="21"/>
      <c r="D1952" s="21" t="s">
        <v>17</v>
      </c>
      <c r="E1952" s="21"/>
      <c r="F1952" s="21">
        <f>C1952*E1952</f>
      </c>
    </row>
    <row r="1953">
      <c r="A1953" s="3"/>
      <c r="B1953" s="11" t="s">
        <v>1590</v>
      </c>
      <c r="C1953" s="20"/>
      <c r="D1953" s="20"/>
      <c r="E1953" s="20"/>
      <c r="F1953" s="20"/>
    </row>
    <row r="1954">
      <c r="A1954" s="5"/>
      <c r="B1954" s="13" t="s">
        <v>1591</v>
      </c>
      <c r="C1954" s="22"/>
      <c r="D1954" s="22"/>
      <c r="E1954" s="22"/>
      <c r="F1954" s="22"/>
    </row>
    <row r="1955">
      <c r="A1955" s="4"/>
      <c r="B1955" s="14" t="s">
        <v>840</v>
      </c>
      <c r="C1955" s="21">
        <f>(231)*(1)*(1)*(1)*(1 + (0))</f>
      </c>
      <c r="D1955" s="21" t="s">
        <v>9</v>
      </c>
      <c r="E1955" s="21"/>
      <c r="F1955" s="21">
        <f>C1955*E1955</f>
      </c>
    </row>
    <row r="1956">
      <c r="A1956" s="4"/>
      <c r="B1956" s="14" t="s">
        <v>841</v>
      </c>
      <c r="C1956" s="21">
        <f>(40)*(1)*(1)*(1)*(1 + (0))</f>
      </c>
      <c r="D1956" s="21" t="s">
        <v>9</v>
      </c>
      <c r="E1956" s="21"/>
      <c r="F1956" s="21">
        <f>C1956*E1956</f>
      </c>
    </row>
    <row r="1957">
      <c r="A1957" s="3"/>
      <c r="B1957" s="11" t="s">
        <v>1592</v>
      </c>
      <c r="C1957" s="20"/>
      <c r="D1957" s="20"/>
      <c r="E1957" s="20"/>
      <c r="F1957" s="20"/>
    </row>
    <row r="1958">
      <c r="A1958" s="5"/>
      <c r="B1958" s="13" t="s">
        <v>1593</v>
      </c>
      <c r="C1958" s="22"/>
      <c r="D1958" s="22"/>
      <c r="E1958" s="22"/>
      <c r="F1958" s="22"/>
    </row>
    <row r="1959">
      <c r="A1959" s="4"/>
      <c r="B1959" s="14" t="s">
        <v>999</v>
      </c>
      <c r="C1959" s="21">
        <f>(649)*(1)*(1)*(1)*(1 + (0))</f>
      </c>
      <c r="D1959" s="21" t="s">
        <v>9</v>
      </c>
      <c r="E1959" s="21"/>
      <c r="F1959" s="21">
        <f>C1959*E1959</f>
      </c>
    </row>
    <row r="1960">
      <c r="A1960" s="4"/>
      <c r="B1960" s="14" t="s">
        <v>1558</v>
      </c>
      <c r="C1960" s="21">
        <f>(85)*(1)*(1)*(1)*(1 + (0))</f>
      </c>
      <c r="D1960" s="21" t="s">
        <v>9</v>
      </c>
      <c r="E1960" s="21"/>
      <c r="F1960" s="21">
        <f>C1960*E1960</f>
      </c>
    </row>
    <row r="1961">
      <c r="A1961" s="3"/>
      <c r="B1961" s="11" t="s">
        <v>1594</v>
      </c>
      <c r="C1961" s="20"/>
      <c r="D1961" s="20"/>
      <c r="E1961" s="20"/>
      <c r="F1961" s="20"/>
    </row>
    <row r="1962">
      <c r="A1962" s="5"/>
      <c r="B1962" s="13" t="s">
        <v>1595</v>
      </c>
      <c r="C1962" s="22"/>
      <c r="D1962" s="22"/>
      <c r="E1962" s="22"/>
      <c r="F1962" s="22"/>
    </row>
    <row r="1963">
      <c r="A1963" s="4"/>
      <c r="B1963" s="14" t="s">
        <v>997</v>
      </c>
      <c r="C1963" s="21">
        <f>(161)*(1)*(1)*(1)*(1 + (0))</f>
      </c>
      <c r="D1963" s="21" t="s">
        <v>167</v>
      </c>
      <c r="E1963" s="21"/>
      <c r="F1963" s="21">
        <f>C1963*E1963</f>
      </c>
    </row>
    <row r="1964">
      <c r="A1964" s="3"/>
      <c r="B1964" s="11" t="s">
        <v>1546</v>
      </c>
      <c r="C1964" s="20"/>
      <c r="D1964" s="20"/>
      <c r="E1964" s="20"/>
      <c r="F1964" s="20"/>
    </row>
    <row r="1965">
      <c r="A1965" s="5"/>
      <c r="B1965" s="13" t="s">
        <v>1596</v>
      </c>
      <c r="C1965" s="22"/>
      <c r="D1965" s="22"/>
      <c r="E1965" s="22"/>
      <c r="F1965" s="22"/>
    </row>
    <row r="1966">
      <c r="A1966" s="4"/>
      <c r="B1966" s="14" t="s">
        <v>840</v>
      </c>
      <c r="C1966" s="21">
        <f>(11)*(1)*(1)*(1)*(1 + (0))</f>
      </c>
      <c r="D1966" s="21" t="s">
        <v>167</v>
      </c>
      <c r="E1966" s="21"/>
      <c r="F1966" s="21">
        <f>C1966*E1966</f>
      </c>
    </row>
    <row r="1967">
      <c r="A1967" s="4"/>
      <c r="B1967" s="14" t="s">
        <v>1597</v>
      </c>
      <c r="C1967" s="21">
        <f>(6)*(1)*(1)*(1)*(1 + (0))</f>
      </c>
      <c r="D1967" s="21" t="s">
        <v>167</v>
      </c>
      <c r="E1967" s="21"/>
      <c r="F1967" s="21">
        <f>C1967*E1967</f>
      </c>
    </row>
    <row r="1968">
      <c r="A1968" s="2"/>
      <c r="B1968" s="10" t="s">
        <v>1598</v>
      </c>
      <c r="C1968" s="19"/>
      <c r="D1968" s="19"/>
      <c r="E1968" s="19"/>
      <c r="F1968" s="19"/>
    </row>
    <row r="1969">
      <c r="A1969" s="3"/>
      <c r="B1969" s="11" t="s">
        <v>14</v>
      </c>
      <c r="C1969" s="20"/>
      <c r="D1969" s="20"/>
      <c r="E1969" s="20"/>
      <c r="F1969" s="20"/>
    </row>
    <row r="1970">
      <c r="A1970" s="4" t="s">
        <v>1599</v>
      </c>
      <c r="B1970" s="12" t="s">
        <v>16</v>
      </c>
      <c r="C1970" s="21"/>
      <c r="D1970" s="21" t="s">
        <v>17</v>
      </c>
      <c r="E1970" s="21"/>
      <c r="F1970" s="21">
        <f>C1970*E1970</f>
      </c>
    </row>
    <row r="1971">
      <c r="A1971" s="4" t="s">
        <v>1600</v>
      </c>
      <c r="B1971" s="12" t="s">
        <v>19</v>
      </c>
      <c r="C1971" s="21"/>
      <c r="D1971" s="21" t="s">
        <v>17</v>
      </c>
      <c r="E1971" s="21"/>
      <c r="F1971" s="21">
        <f>C1971*E1971</f>
      </c>
    </row>
    <row r="1972">
      <c r="A1972" s="3"/>
      <c r="B1972" s="11" t="s">
        <v>22</v>
      </c>
      <c r="C1972" s="20"/>
      <c r="D1972" s="20"/>
      <c r="E1972" s="20"/>
      <c r="F1972" s="20"/>
    </row>
    <row r="1973">
      <c r="A1973" s="4"/>
      <c r="B1973" s="12" t="s">
        <v>1601</v>
      </c>
      <c r="C1973" s="21"/>
      <c r="D1973" s="21" t="s">
        <v>17</v>
      </c>
      <c r="E1973" s="21"/>
      <c r="F1973" s="21">
        <f>C1973*E1973</f>
      </c>
    </row>
    <row r="1974">
      <c r="A1974" s="4"/>
      <c r="B1974" s="12" t="s">
        <v>1602</v>
      </c>
      <c r="C1974" s="21"/>
      <c r="D1974" s="21" t="s">
        <v>17</v>
      </c>
      <c r="E1974" s="21"/>
      <c r="F1974" s="21">
        <f>C1974*E1974</f>
      </c>
    </row>
    <row r="1975">
      <c r="A1975" s="3"/>
      <c r="B1975" s="11" t="s">
        <v>24</v>
      </c>
      <c r="C1975" s="20"/>
      <c r="D1975" s="20"/>
      <c r="E1975" s="20"/>
      <c r="F1975" s="20"/>
    </row>
    <row r="1976">
      <c r="A1976" s="5"/>
      <c r="B1976" s="13" t="s">
        <v>25</v>
      </c>
      <c r="C1976" s="22"/>
      <c r="D1976" s="22"/>
      <c r="E1976" s="22"/>
      <c r="F1976" s="22"/>
    </row>
    <row r="1977">
      <c r="A1977" s="4" t="s">
        <v>1603</v>
      </c>
      <c r="B1977" s="14" t="s">
        <v>1604</v>
      </c>
      <c r="C1977" s="21"/>
      <c r="D1977" s="21" t="s">
        <v>17</v>
      </c>
      <c r="E1977" s="21"/>
      <c r="F1977" s="21">
        <f>C1977*E1977</f>
      </c>
    </row>
    <row r="1978">
      <c r="A1978" s="4" t="s">
        <v>1605</v>
      </c>
      <c r="B1978" s="14" t="s">
        <v>1606</v>
      </c>
      <c r="C1978" s="21"/>
      <c r="D1978" s="21" t="s">
        <v>17</v>
      </c>
      <c r="E1978" s="21"/>
      <c r="F1978" s="21">
        <f>C1978*E1978</f>
      </c>
    </row>
    <row r="1979">
      <c r="A1979" s="4" t="s">
        <v>1607</v>
      </c>
      <c r="B1979" s="14" t="s">
        <v>1608</v>
      </c>
      <c r="C1979" s="21"/>
      <c r="D1979" s="21" t="s">
        <v>17</v>
      </c>
      <c r="E1979" s="21"/>
      <c r="F1979" s="21">
        <f>C1979*E1979</f>
      </c>
    </row>
    <row r="1980">
      <c r="A1980" s="4" t="s">
        <v>1609</v>
      </c>
      <c r="B1980" s="14" t="s">
        <v>1610</v>
      </c>
      <c r="C1980" s="21"/>
      <c r="D1980" s="21" t="s">
        <v>17</v>
      </c>
      <c r="E1980" s="21"/>
      <c r="F1980" s="21">
        <f>C1980*E1980</f>
      </c>
    </row>
    <row r="1981">
      <c r="A1981" s="4" t="s">
        <v>1611</v>
      </c>
      <c r="B1981" s="14" t="s">
        <v>1612</v>
      </c>
      <c r="C1981" s="21"/>
      <c r="D1981" s="21" t="s">
        <v>17</v>
      </c>
      <c r="E1981" s="21"/>
      <c r="F1981" s="21">
        <f>C1981*E1981</f>
      </c>
    </row>
    <row r="1982">
      <c r="A1982" s="4" t="s">
        <v>1613</v>
      </c>
      <c r="B1982" s="14" t="s">
        <v>1614</v>
      </c>
      <c r="C1982" s="21"/>
      <c r="D1982" s="21" t="s">
        <v>17</v>
      </c>
      <c r="E1982" s="21"/>
      <c r="F1982" s="21">
        <f>C1982*E1982</f>
      </c>
    </row>
    <row r="1983">
      <c r="A1983" s="4" t="s">
        <v>1615</v>
      </c>
      <c r="B1983" s="14" t="s">
        <v>1616</v>
      </c>
      <c r="C1983" s="21"/>
      <c r="D1983" s="21" t="s">
        <v>17</v>
      </c>
      <c r="E1983" s="21"/>
      <c r="F1983" s="21">
        <f>C1983*E1983</f>
      </c>
    </row>
    <row r="1984">
      <c r="A1984" s="4" t="s">
        <v>1617</v>
      </c>
      <c r="B1984" s="14" t="s">
        <v>194</v>
      </c>
      <c r="C1984" s="21"/>
      <c r="D1984" s="21" t="s">
        <v>17</v>
      </c>
      <c r="E1984" s="21"/>
      <c r="F1984" s="21">
        <f>C1984*E1984</f>
      </c>
    </row>
    <row r="1985">
      <c r="A1985" s="3"/>
      <c r="B1985" s="11" t="s">
        <v>42</v>
      </c>
      <c r="C1985" s="20"/>
      <c r="D1985" s="20"/>
      <c r="E1985" s="20"/>
      <c r="F1985" s="20"/>
    </row>
    <row r="1986">
      <c r="A1986" s="4" t="s">
        <v>1618</v>
      </c>
      <c r="B1986" s="12" t="s">
        <v>128</v>
      </c>
      <c r="C1986" s="21">
        <f>(1)*(1)*(1)*(1)*(1 + (0))</f>
      </c>
      <c r="D1986" s="21" t="s">
        <v>45</v>
      </c>
      <c r="E1986" s="21"/>
      <c r="F1986" s="21">
        <f>C1986*E1986</f>
      </c>
    </row>
    <row r="1987">
      <c r="A1987" s="4" t="s">
        <v>1619</v>
      </c>
      <c r="B1987" s="12" t="s">
        <v>1620</v>
      </c>
      <c r="C1987" s="21">
        <f>(1)*(1)*(1)*(1)*(1 + (0))</f>
      </c>
      <c r="D1987" s="21" t="s">
        <v>45</v>
      </c>
      <c r="E1987" s="21"/>
      <c r="F1987" s="21">
        <f>C1987*E1987</f>
      </c>
    </row>
    <row r="1988">
      <c r="A1988" s="4" t="s">
        <v>1621</v>
      </c>
      <c r="B1988" s="12" t="s">
        <v>1622</v>
      </c>
      <c r="C1988" s="21">
        <f>(1)*(1)*(1)*(1)*(1 + (0))</f>
      </c>
      <c r="D1988" s="21" t="s">
        <v>45</v>
      </c>
      <c r="E1988" s="21"/>
      <c r="F1988" s="21">
        <f>C1988*E1988</f>
      </c>
    </row>
    <row r="1989">
      <c r="A1989" s="4" t="s">
        <v>1623</v>
      </c>
      <c r="B1989" s="12" t="s">
        <v>251</v>
      </c>
      <c r="C1989" s="21">
        <f>(1)*(1)*(1)*(1)*(1 + (0))</f>
      </c>
      <c r="D1989" s="21" t="s">
        <v>45</v>
      </c>
      <c r="E1989" s="21"/>
      <c r="F1989" s="21">
        <f>C1989*E1989</f>
      </c>
    </row>
    <row r="1990">
      <c r="A1990" s="4" t="s">
        <v>1624</v>
      </c>
      <c r="B1990" s="12" t="s">
        <v>1169</v>
      </c>
      <c r="C1990" s="21">
        <f>(1)*(1)*(1)*(1)*(1 + (0))</f>
      </c>
      <c r="D1990" s="21" t="s">
        <v>45</v>
      </c>
      <c r="E1990" s="21"/>
      <c r="F1990" s="21">
        <f>C1990*E1990</f>
      </c>
    </row>
    <row r="1991">
      <c r="A1991" s="4" t="s">
        <v>1625</v>
      </c>
      <c r="B1991" s="12" t="s">
        <v>61</v>
      </c>
      <c r="C1991" s="21">
        <f>(1)*(1)*(1)*(1)*(1 + (0))</f>
      </c>
      <c r="D1991" s="21" t="s">
        <v>45</v>
      </c>
      <c r="E1991" s="21"/>
      <c r="F1991" s="21">
        <f>C1991*E1991</f>
      </c>
    </row>
    <row r="1992">
      <c r="A1992" s="4" t="s">
        <v>1626</v>
      </c>
      <c r="B1992" s="12" t="s">
        <v>59</v>
      </c>
      <c r="C1992" s="21">
        <f>(1)*(1)*(1)*(1)*(1 + (0))</f>
      </c>
      <c r="D1992" s="21" t="s">
        <v>45</v>
      </c>
      <c r="E1992" s="21"/>
      <c r="F1992" s="21">
        <f>C1992*E1992</f>
      </c>
    </row>
    <row r="1993">
      <c r="A1993" s="4" t="s">
        <v>1627</v>
      </c>
      <c r="B1993" s="12" t="s">
        <v>1628</v>
      </c>
      <c r="C1993" s="21">
        <f>(1)*(1)*(1)*(1)*(1 + (0))</f>
      </c>
      <c r="D1993" s="21" t="s">
        <v>45</v>
      </c>
      <c r="E1993" s="21"/>
      <c r="F1993" s="21">
        <f>C1993*E1993</f>
      </c>
    </row>
    <row r="1994">
      <c r="A1994" s="4" t="s">
        <v>1629</v>
      </c>
      <c r="B1994" s="12" t="s">
        <v>832</v>
      </c>
      <c r="C1994" s="21">
        <f>(1)*(1)*(1)*(1)*(1 + (0))</f>
      </c>
      <c r="D1994" s="21" t="s">
        <v>45</v>
      </c>
      <c r="E1994" s="21"/>
      <c r="F1994" s="21">
        <f>C1994*E1994</f>
      </c>
    </row>
    <row r="1995">
      <c r="A1995" s="3"/>
      <c r="B1995" s="11" t="s">
        <v>82</v>
      </c>
      <c r="C1995" s="20"/>
      <c r="D1995" s="20"/>
      <c r="E1995" s="20"/>
      <c r="F1995" s="20"/>
    </row>
    <row r="1996">
      <c r="A1996" s="4"/>
      <c r="B1996" s="12" t="s">
        <v>1630</v>
      </c>
      <c r="C1996" s="21"/>
      <c r="D1996" s="21" t="s">
        <v>17</v>
      </c>
      <c r="E1996" s="21"/>
      <c r="F1996" s="21">
        <f>C1996*E1996</f>
      </c>
    </row>
    <row r="1997">
      <c r="A1997" s="4"/>
      <c r="B1997" s="12" t="s">
        <v>1631</v>
      </c>
      <c r="C1997" s="21"/>
      <c r="D1997" s="21" t="s">
        <v>17</v>
      </c>
      <c r="E1997" s="21"/>
      <c r="F1997" s="21">
        <f>C1997*E1997</f>
      </c>
    </row>
    <row r="1998">
      <c r="A1998" s="3"/>
      <c r="B1998" s="11" t="s">
        <v>1632</v>
      </c>
      <c r="C1998" s="20"/>
      <c r="D1998" s="20"/>
      <c r="E1998" s="20"/>
      <c r="F1998" s="20"/>
    </row>
    <row r="1999">
      <c r="A1999" s="5"/>
      <c r="B1999" s="13" t="s">
        <v>1633</v>
      </c>
      <c r="C1999" s="22"/>
      <c r="D1999" s="22"/>
      <c r="E1999" s="22"/>
      <c r="F1999" s="22"/>
    </row>
    <row r="2000">
      <c r="A2000" s="6"/>
      <c r="B2000" s="15" t="s">
        <v>1634</v>
      </c>
      <c r="C2000" s="23"/>
      <c r="D2000" s="23"/>
      <c r="E2000" s="23"/>
      <c r="F2000" s="23"/>
    </row>
    <row r="2001">
      <c r="A2001" s="4"/>
      <c r="B2001" s="16" t="s">
        <v>1635</v>
      </c>
      <c r="C2001" s="21"/>
      <c r="D2001" s="21"/>
      <c r="E2001" s="21"/>
      <c r="F2001" s="21"/>
    </row>
    <row r="2002">
      <c r="A2002" s="4"/>
      <c r="B2002" s="17" t="s">
        <v>1490</v>
      </c>
      <c r="C2002" s="21">
        <f>(423)*(1)*(1)*(1)*(1 + (0))</f>
      </c>
      <c r="D2002" s="21" t="s">
        <v>9</v>
      </c>
      <c r="E2002" s="21"/>
      <c r="F2002" s="21">
        <f>C2002*E2002</f>
      </c>
    </row>
    <row r="2003">
      <c r="A2003" s="4"/>
      <c r="B2003" s="17" t="s">
        <v>1491</v>
      </c>
      <c r="C2003" s="21">
        <f>(462)*(1)*(1)*(1)*(1 + (0))</f>
      </c>
      <c r="D2003" s="21" t="s">
        <v>9</v>
      </c>
      <c r="E2003" s="21"/>
      <c r="F2003" s="21">
        <f>C2003*E2003</f>
      </c>
    </row>
    <row r="2004">
      <c r="A2004" s="4"/>
      <c r="B2004" s="16" t="s">
        <v>1636</v>
      </c>
      <c r="C2004" s="21"/>
      <c r="D2004" s="21"/>
      <c r="E2004" s="21"/>
      <c r="F2004" s="21"/>
    </row>
    <row r="2005">
      <c r="A2005" s="4"/>
      <c r="B2005" s="17" t="s">
        <v>1490</v>
      </c>
      <c r="C2005" s="21">
        <f>(319)*(1)*(1)*(1)*(1 + (0))</f>
      </c>
      <c r="D2005" s="21" t="s">
        <v>9</v>
      </c>
      <c r="E2005" s="21"/>
      <c r="F2005" s="21">
        <f>C2005*E2005</f>
      </c>
    </row>
    <row r="2006">
      <c r="A2006" s="4"/>
      <c r="B2006" s="17" t="s">
        <v>1491</v>
      </c>
      <c r="C2006" s="21">
        <f>(31)*(1)*(1)*(1)*(1 + (0))</f>
      </c>
      <c r="D2006" s="21" t="s">
        <v>9</v>
      </c>
      <c r="E2006" s="21"/>
      <c r="F2006" s="21">
        <f>C2006*E2006</f>
      </c>
    </row>
    <row r="2007">
      <c r="A2007" s="4"/>
      <c r="B2007" s="16" t="s">
        <v>1637</v>
      </c>
      <c r="C2007" s="21"/>
      <c r="D2007" s="21"/>
      <c r="E2007" s="21"/>
      <c r="F2007" s="21"/>
    </row>
    <row r="2008">
      <c r="A2008" s="4"/>
      <c r="B2008" s="17" t="s">
        <v>1490</v>
      </c>
      <c r="C2008" s="21">
        <f>(9)*(1)*(1)*(1)*(1 + (0))</f>
      </c>
      <c r="D2008" s="21" t="s">
        <v>9</v>
      </c>
      <c r="E2008" s="21"/>
      <c r="F2008" s="21">
        <f>C2008*E2008</f>
      </c>
    </row>
    <row r="2009">
      <c r="A2009" s="3"/>
      <c r="B2009" s="11" t="s">
        <v>1638</v>
      </c>
      <c r="C2009" s="20"/>
      <c r="D2009" s="20"/>
      <c r="E2009" s="20"/>
      <c r="F2009" s="20"/>
    </row>
    <row r="2010">
      <c r="A2010" s="5"/>
      <c r="B2010" s="13" t="s">
        <v>1639</v>
      </c>
      <c r="C2010" s="22"/>
      <c r="D2010" s="22"/>
      <c r="E2010" s="22"/>
      <c r="F2010" s="22"/>
    </row>
    <row r="2011">
      <c r="A2011" s="4"/>
      <c r="B2011" s="14" t="s">
        <v>841</v>
      </c>
      <c r="C2011" s="21">
        <f>(22)*(1)*(1)*(1)*(1 + (0))</f>
      </c>
      <c r="D2011" s="21" t="s">
        <v>9</v>
      </c>
      <c r="E2011" s="21"/>
      <c r="F2011" s="21">
        <f>C2011*E2011</f>
      </c>
    </row>
    <row r="2012">
      <c r="A2012" s="3"/>
      <c r="B2012" s="11" t="s">
        <v>1640</v>
      </c>
      <c r="C2012" s="20"/>
      <c r="D2012" s="20"/>
      <c r="E2012" s="20"/>
      <c r="F2012" s="20"/>
    </row>
    <row r="2013">
      <c r="A2013" s="5"/>
      <c r="B2013" s="13" t="s">
        <v>1641</v>
      </c>
      <c r="C2013" s="22"/>
      <c r="D2013" s="22"/>
      <c r="E2013" s="22"/>
      <c r="F2013" s="22"/>
    </row>
    <row r="2014">
      <c r="A2014" s="4"/>
      <c r="B2014" s="14" t="s">
        <v>999</v>
      </c>
      <c r="C2014" s="21">
        <f>(2676)*(1)*(1)*(1)*(1 + (0))</f>
      </c>
      <c r="D2014" s="21" t="s">
        <v>9</v>
      </c>
      <c r="E2014" s="21"/>
      <c r="F2014" s="21">
        <f>C2014*E2014</f>
      </c>
    </row>
    <row r="2015">
      <c r="A2015" s="4"/>
      <c r="B2015" s="14" t="s">
        <v>1642</v>
      </c>
      <c r="C2015" s="21">
        <f>(840)*(1)*(1)*(1)*(1 + (0))</f>
      </c>
      <c r="D2015" s="21" t="s">
        <v>9</v>
      </c>
      <c r="E2015" s="21"/>
      <c r="F2015" s="21">
        <f>C2015*E2015</f>
      </c>
    </row>
    <row r="2016">
      <c r="A2016" s="5"/>
      <c r="B2016" s="13" t="s">
        <v>1643</v>
      </c>
      <c r="C2016" s="22"/>
      <c r="D2016" s="22"/>
      <c r="E2016" s="22"/>
      <c r="F2016" s="22"/>
    </row>
    <row r="2017">
      <c r="A2017" s="4"/>
      <c r="B2017" s="14" t="s">
        <v>999</v>
      </c>
      <c r="C2017" s="21">
        <f>(364)*(1)*(1)*(1)*(1 + (0))</f>
      </c>
      <c r="D2017" s="21" t="s">
        <v>9</v>
      </c>
      <c r="E2017" s="21"/>
      <c r="F2017" s="21">
        <f>C2017*E2017</f>
      </c>
    </row>
    <row r="2018">
      <c r="A2018" s="4"/>
      <c r="B2018" s="14" t="s">
        <v>1558</v>
      </c>
      <c r="C2018" s="21">
        <f>(149)*(1)*(1)*(1)*(1 + (0))</f>
      </c>
      <c r="D2018" s="21" t="s">
        <v>9</v>
      </c>
      <c r="E2018" s="21"/>
      <c r="F2018" s="21">
        <f>C2018*E2018</f>
      </c>
    </row>
    <row r="2019">
      <c r="A2019" s="3"/>
      <c r="B2019" s="11" t="s">
        <v>1644</v>
      </c>
      <c r="C2019" s="20"/>
      <c r="D2019" s="20"/>
      <c r="E2019" s="20"/>
      <c r="F2019" s="20"/>
    </row>
    <row r="2020">
      <c r="A2020" s="5"/>
      <c r="B2020" s="13" t="s">
        <v>1238</v>
      </c>
      <c r="C2020" s="22"/>
      <c r="D2020" s="22"/>
      <c r="E2020" s="22"/>
      <c r="F2020" s="22"/>
    </row>
    <row r="2021">
      <c r="A2021" s="4"/>
      <c r="B2021" s="14" t="s">
        <v>1645</v>
      </c>
      <c r="C2021" s="21">
        <f>(3)*(1)*(1)*(1)*(1 + (0))</f>
      </c>
      <c r="D2021" s="21" t="s">
        <v>170</v>
      </c>
      <c r="E2021" s="21"/>
      <c r="F2021" s="21">
        <f>C2021*E2021</f>
      </c>
    </row>
    <row r="2022">
      <c r="A2022" s="4"/>
      <c r="B2022" s="14" t="s">
        <v>1646</v>
      </c>
      <c r="C2022" s="21">
        <f>(4)*(1)*(1)*(1)*(1 + (0))</f>
      </c>
      <c r="D2022" s="21" t="s">
        <v>170</v>
      </c>
      <c r="E2022" s="21"/>
      <c r="F2022" s="21">
        <f>C2022*E2022</f>
      </c>
    </row>
    <row r="2023">
      <c r="A2023" s="4"/>
      <c r="B2023" s="14" t="s">
        <v>1647</v>
      </c>
      <c r="C2023" s="21">
        <f>(6)*(1)*(1)*(1)*(1 + (0))</f>
      </c>
      <c r="D2023" s="21" t="s">
        <v>170</v>
      </c>
      <c r="E2023" s="21"/>
      <c r="F2023" s="21">
        <f>C2023*E2023</f>
      </c>
    </row>
    <row r="2024">
      <c r="A2024" s="5"/>
      <c r="B2024" s="13" t="s">
        <v>1257</v>
      </c>
      <c r="C2024" s="22"/>
      <c r="D2024" s="22"/>
      <c r="E2024" s="22"/>
      <c r="F2024" s="22"/>
    </row>
    <row r="2025">
      <c r="A2025" s="4"/>
      <c r="B2025" s="14" t="s">
        <v>1648</v>
      </c>
      <c r="C2025" s="21">
        <f>(2)*(1)*(1)*(1)*(1 + (0))</f>
      </c>
      <c r="D2025" s="21" t="s">
        <v>170</v>
      </c>
      <c r="E2025" s="21"/>
      <c r="F2025" s="21">
        <f>C2025*E2025</f>
      </c>
    </row>
    <row r="2026">
      <c r="A2026" s="3"/>
      <c r="B2026" s="11" t="s">
        <v>1649</v>
      </c>
      <c r="C2026" s="20"/>
      <c r="D2026" s="20"/>
      <c r="E2026" s="20"/>
      <c r="F2026" s="20"/>
    </row>
    <row r="2027">
      <c r="A2027" s="5"/>
      <c r="B2027" s="13" t="s">
        <v>1238</v>
      </c>
      <c r="C2027" s="22"/>
      <c r="D2027" s="22"/>
      <c r="E2027" s="22"/>
      <c r="F2027" s="22"/>
    </row>
    <row r="2028">
      <c r="A2028" s="4"/>
      <c r="B2028" s="14" t="s">
        <v>1650</v>
      </c>
      <c r="C2028" s="21">
        <f>(19)*(1)*(1)*(1)*(1 + (0))</f>
      </c>
      <c r="D2028" s="21" t="s">
        <v>170</v>
      </c>
      <c r="E2028" s="21"/>
      <c r="F2028" s="21">
        <f>C2028*E2028</f>
      </c>
    </row>
    <row r="2029">
      <c r="A2029" s="4"/>
      <c r="B2029" s="14" t="s">
        <v>1646</v>
      </c>
      <c r="C2029" s="21">
        <f>(4)*(1)*(1)*(1)*(1 + (0))</f>
      </c>
      <c r="D2029" s="21" t="s">
        <v>170</v>
      </c>
      <c r="E2029" s="21"/>
      <c r="F2029" s="21">
        <f>C2029*E2029</f>
      </c>
    </row>
    <row r="2030">
      <c r="A2030" s="4"/>
      <c r="B2030" s="14" t="s">
        <v>1647</v>
      </c>
      <c r="C2030" s="21">
        <f>(3)*(1)*(1)*(1)*(1 + (0))</f>
      </c>
      <c r="D2030" s="21" t="s">
        <v>170</v>
      </c>
      <c r="E2030" s="21"/>
      <c r="F2030" s="21">
        <f>C2030*E2030</f>
      </c>
    </row>
    <row r="2031">
      <c r="A2031" s="4"/>
      <c r="B2031" s="14" t="s">
        <v>1651</v>
      </c>
      <c r="C2031" s="21">
        <f>(3)*(1)*(1)*(1)*(1 + (0))</f>
      </c>
      <c r="D2031" s="21" t="s">
        <v>170</v>
      </c>
      <c r="E2031" s="21"/>
      <c r="F2031" s="21">
        <f>C2031*E2031</f>
      </c>
    </row>
    <row r="2032">
      <c r="A2032" s="5"/>
      <c r="B2032" s="13" t="s">
        <v>1257</v>
      </c>
      <c r="C2032" s="22"/>
      <c r="D2032" s="22"/>
      <c r="E2032" s="22"/>
      <c r="F2032" s="22"/>
    </row>
    <row r="2033">
      <c r="A2033" s="4"/>
      <c r="B2033" s="14" t="s">
        <v>1650</v>
      </c>
      <c r="C2033" s="21">
        <f>(5)*(1)*(1)*(1)*(1 + (0))</f>
      </c>
      <c r="D2033" s="21" t="s">
        <v>170</v>
      </c>
      <c r="E2033" s="21"/>
      <c r="F2033" s="21">
        <f>C2033*E2033</f>
      </c>
    </row>
    <row r="2034">
      <c r="A2034" s="4"/>
      <c r="B2034" s="14" t="s">
        <v>1646</v>
      </c>
      <c r="C2034" s="21">
        <f>(3)*(1)*(1)*(1)*(1 + (0))</f>
      </c>
      <c r="D2034" s="21" t="s">
        <v>170</v>
      </c>
      <c r="E2034" s="21"/>
      <c r="F2034" s="21">
        <f>C2034*E2034</f>
      </c>
    </row>
    <row r="2035">
      <c r="A2035" s="2"/>
      <c r="B2035" s="10" t="s">
        <v>1652</v>
      </c>
      <c r="C2035" s="19"/>
      <c r="D2035" s="19"/>
      <c r="E2035" s="19"/>
      <c r="F2035" s="19"/>
    </row>
    <row r="2036">
      <c r="A2036" s="3"/>
      <c r="B2036" s="11" t="s">
        <v>14</v>
      </c>
      <c r="C2036" s="20"/>
      <c r="D2036" s="20"/>
      <c r="E2036" s="20"/>
      <c r="F2036" s="20"/>
    </row>
    <row r="2037">
      <c r="A2037" s="4" t="s">
        <v>1653</v>
      </c>
      <c r="B2037" s="12" t="s">
        <v>16</v>
      </c>
      <c r="C2037" s="21"/>
      <c r="D2037" s="21" t="s">
        <v>17</v>
      </c>
      <c r="E2037" s="21"/>
      <c r="F2037" s="21">
        <f>C2037*E2037</f>
      </c>
    </row>
    <row r="2038">
      <c r="A2038" s="4" t="s">
        <v>1654</v>
      </c>
      <c r="B2038" s="12" t="s">
        <v>19</v>
      </c>
      <c r="C2038" s="21"/>
      <c r="D2038" s="21" t="s">
        <v>17</v>
      </c>
      <c r="E2038" s="21"/>
      <c r="F2038" s="21">
        <f>C2038*E2038</f>
      </c>
    </row>
    <row r="2039">
      <c r="A2039" s="3"/>
      <c r="B2039" s="11" t="s">
        <v>22</v>
      </c>
      <c r="C2039" s="20"/>
      <c r="D2039" s="20"/>
      <c r="E2039" s="20"/>
      <c r="F2039" s="20"/>
    </row>
    <row r="2040">
      <c r="A2040" s="4"/>
      <c r="B2040" s="12" t="s">
        <v>1655</v>
      </c>
      <c r="C2040" s="21"/>
      <c r="D2040" s="21" t="s">
        <v>17</v>
      </c>
      <c r="E2040" s="21"/>
      <c r="F2040" s="21">
        <f>C2040*E2040</f>
      </c>
    </row>
    <row r="2041">
      <c r="A2041" s="4"/>
      <c r="B2041" s="12" t="s">
        <v>1656</v>
      </c>
      <c r="C2041" s="21"/>
      <c r="D2041" s="21" t="s">
        <v>17</v>
      </c>
      <c r="E2041" s="21"/>
      <c r="F2041" s="21">
        <f>C2041*E2041</f>
      </c>
    </row>
    <row r="2042">
      <c r="A2042" s="4"/>
      <c r="B2042" s="12" t="s">
        <v>1657</v>
      </c>
      <c r="C2042" s="21"/>
      <c r="D2042" s="21" t="s">
        <v>17</v>
      </c>
      <c r="E2042" s="21"/>
      <c r="F2042" s="21">
        <f>C2042*E2042</f>
      </c>
    </row>
    <row r="2043">
      <c r="A2043" s="4"/>
      <c r="B2043" s="12" t="s">
        <v>1658</v>
      </c>
      <c r="C2043" s="21"/>
      <c r="D2043" s="21" t="s">
        <v>17</v>
      </c>
      <c r="E2043" s="21"/>
      <c r="F2043" s="21">
        <f>C2043*E2043</f>
      </c>
    </row>
    <row r="2044">
      <c r="A2044" s="3"/>
      <c r="B2044" s="11" t="s">
        <v>24</v>
      </c>
      <c r="C2044" s="20"/>
      <c r="D2044" s="20"/>
      <c r="E2044" s="20"/>
      <c r="F2044" s="20"/>
    </row>
    <row r="2045">
      <c r="A2045" s="5"/>
      <c r="B2045" s="13" t="s">
        <v>25</v>
      </c>
      <c r="C2045" s="22"/>
      <c r="D2045" s="22"/>
      <c r="E2045" s="22"/>
      <c r="F2045" s="22"/>
    </row>
    <row r="2046">
      <c r="A2046" s="4" t="s">
        <v>1659</v>
      </c>
      <c r="B2046" s="14" t="s">
        <v>1137</v>
      </c>
      <c r="C2046" s="21"/>
      <c r="D2046" s="21" t="s">
        <v>17</v>
      </c>
      <c r="E2046" s="21"/>
      <c r="F2046" s="21">
        <f>C2046*E2046</f>
      </c>
    </row>
    <row r="2047">
      <c r="A2047" s="4" t="s">
        <v>1660</v>
      </c>
      <c r="B2047" s="14" t="s">
        <v>194</v>
      </c>
      <c r="C2047" s="21"/>
      <c r="D2047" s="21" t="s">
        <v>17</v>
      </c>
      <c r="E2047" s="21"/>
      <c r="F2047" s="21">
        <f>C2047*E2047</f>
      </c>
    </row>
    <row r="2048">
      <c r="A2048" s="3"/>
      <c r="B2048" s="11" t="s">
        <v>42</v>
      </c>
      <c r="C2048" s="20"/>
      <c r="D2048" s="20"/>
      <c r="E2048" s="20"/>
      <c r="F2048" s="20"/>
    </row>
    <row r="2049">
      <c r="A2049" s="4" t="s">
        <v>1661</v>
      </c>
      <c r="B2049" s="12" t="s">
        <v>251</v>
      </c>
      <c r="C2049" s="21">
        <f>(1)*(1)*(1)*(1)*(1 + (0))</f>
      </c>
      <c r="D2049" s="21" t="s">
        <v>45</v>
      </c>
      <c r="E2049" s="21"/>
      <c r="F2049" s="21">
        <f>C2049*E2049</f>
      </c>
    </row>
    <row r="2050">
      <c r="A2050" s="4" t="s">
        <v>1662</v>
      </c>
      <c r="B2050" s="12" t="s">
        <v>59</v>
      </c>
      <c r="C2050" s="21">
        <f>(1)*(1)*(1)*(1)*(1 + (0))</f>
      </c>
      <c r="D2050" s="21" t="s">
        <v>45</v>
      </c>
      <c r="E2050" s="21"/>
      <c r="F2050" s="21">
        <f>C2050*E2050</f>
      </c>
    </row>
    <row r="2051">
      <c r="A2051" s="4" t="s">
        <v>1663</v>
      </c>
      <c r="B2051" s="12" t="s">
        <v>1304</v>
      </c>
      <c r="C2051" s="21">
        <f>(1)*(1)*(1)*(1)*(1 + (0))</f>
      </c>
      <c r="D2051" s="21" t="s">
        <v>45</v>
      </c>
      <c r="E2051" s="21"/>
      <c r="F2051" s="21">
        <f>C2051*E2051</f>
      </c>
    </row>
    <row r="2052">
      <c r="A2052" s="4" t="s">
        <v>1664</v>
      </c>
      <c r="B2052" s="12" t="s">
        <v>832</v>
      </c>
      <c r="C2052" s="21">
        <f>(1)*(1)*(1)*(1)*(1 + (0))</f>
      </c>
      <c r="D2052" s="21" t="s">
        <v>45</v>
      </c>
      <c r="E2052" s="21"/>
      <c r="F2052" s="21">
        <f>C2052*E2052</f>
      </c>
    </row>
    <row r="2053">
      <c r="A2053" s="3"/>
      <c r="B2053" s="11" t="s">
        <v>82</v>
      </c>
      <c r="C2053" s="20"/>
      <c r="D2053" s="20"/>
      <c r="E2053" s="20"/>
      <c r="F2053" s="20"/>
    </row>
    <row r="2054">
      <c r="A2054" s="4"/>
      <c r="B2054" s="12" t="s">
        <v>1665</v>
      </c>
      <c r="C2054" s="21"/>
      <c r="D2054" s="21" t="s">
        <v>17</v>
      </c>
      <c r="E2054" s="21"/>
      <c r="F2054" s="21">
        <f>C2054*E2054</f>
      </c>
    </row>
    <row r="2055">
      <c r="A2055" s="4"/>
      <c r="B2055" s="12" t="s">
        <v>1666</v>
      </c>
      <c r="C2055" s="21"/>
      <c r="D2055" s="21" t="s">
        <v>17</v>
      </c>
      <c r="E2055" s="21"/>
      <c r="F2055" s="21">
        <f>C2055*E2055</f>
      </c>
    </row>
    <row r="2056">
      <c r="A2056" s="4"/>
      <c r="B2056" s="12" t="s">
        <v>1667</v>
      </c>
      <c r="C2056" s="21"/>
      <c r="D2056" s="21" t="s">
        <v>17</v>
      </c>
      <c r="E2056" s="21"/>
      <c r="F2056" s="21">
        <f>C2056*E2056</f>
      </c>
    </row>
    <row r="2057">
      <c r="A2057" s="3"/>
      <c r="B2057" s="11" t="s">
        <v>1668</v>
      </c>
      <c r="C2057" s="20"/>
      <c r="D2057" s="20"/>
      <c r="E2057" s="20"/>
      <c r="F2057" s="20"/>
    </row>
    <row r="2058">
      <c r="A2058" s="5"/>
      <c r="B2058" s="13" t="s">
        <v>1669</v>
      </c>
      <c r="C2058" s="22"/>
      <c r="D2058" s="22"/>
      <c r="E2058" s="22"/>
      <c r="F2058" s="22"/>
    </row>
    <row r="2059">
      <c r="A2059" s="4"/>
      <c r="B2059" s="14" t="s">
        <v>1670</v>
      </c>
      <c r="C2059" s="21">
        <f>(6)*(1)*(1)*(1)*(1 + (0))</f>
      </c>
      <c r="D2059" s="21" t="s">
        <v>170</v>
      </c>
      <c r="E2059" s="21"/>
      <c r="F2059" s="21">
        <f>C2059*E2059</f>
      </c>
    </row>
    <row r="2060">
      <c r="A2060" s="5"/>
      <c r="B2060" s="13" t="s">
        <v>1671</v>
      </c>
      <c r="C2060" s="22"/>
      <c r="D2060" s="22"/>
      <c r="E2060" s="22"/>
      <c r="F2060" s="22"/>
    </row>
    <row r="2061">
      <c r="A2061" s="4"/>
      <c r="B2061" s="14" t="s">
        <v>1672</v>
      </c>
      <c r="C2061" s="21">
        <f>(2)*(1)*(1)*(1)*(1 + (0))</f>
      </c>
      <c r="D2061" s="21" t="s">
        <v>170</v>
      </c>
      <c r="E2061" s="21"/>
      <c r="F2061" s="21">
        <f>C2061*E2061</f>
      </c>
    </row>
    <row r="2062">
      <c r="A2062" s="4"/>
      <c r="B2062" s="14" t="s">
        <v>1673</v>
      </c>
      <c r="C2062" s="21">
        <f>(5)*(1)*(1)*(1)*(1 + (0))</f>
      </c>
      <c r="D2062" s="21" t="s">
        <v>170</v>
      </c>
      <c r="E2062" s="21"/>
      <c r="F2062" s="21">
        <f>C2062*E2062</f>
      </c>
    </row>
    <row r="2063">
      <c r="A2063" s="4"/>
      <c r="B2063" s="14" t="s">
        <v>1674</v>
      </c>
      <c r="C2063" s="21">
        <f>(29)*(1)*(1)*(1)*(1 + (0))</f>
      </c>
      <c r="D2063" s="21" t="s">
        <v>170</v>
      </c>
      <c r="E2063" s="21"/>
      <c r="F2063" s="21">
        <f>C2063*E2063</f>
      </c>
    </row>
    <row r="2064">
      <c r="A2064" s="4"/>
      <c r="B2064" s="14" t="s">
        <v>1675</v>
      </c>
      <c r="C2064" s="21">
        <f>(12)*(1)*(1)*(1)*(1 + (0))</f>
      </c>
      <c r="D2064" s="21" t="s">
        <v>170</v>
      </c>
      <c r="E2064" s="21"/>
      <c r="F2064" s="21">
        <f>C2064*E2064</f>
      </c>
    </row>
    <row r="2065">
      <c r="A2065" s="4"/>
      <c r="B2065" s="14" t="s">
        <v>1676</v>
      </c>
      <c r="C2065" s="21">
        <f>(12)*(1)*(1)*(1)*(1 + (0))</f>
      </c>
      <c r="D2065" s="21" t="s">
        <v>170</v>
      </c>
      <c r="E2065" s="21"/>
      <c r="F2065" s="21">
        <f>C2065*E2065</f>
      </c>
    </row>
    <row r="2066">
      <c r="A2066" s="4"/>
      <c r="B2066" s="14" t="s">
        <v>1677</v>
      </c>
      <c r="C2066" s="21">
        <f>(4)*(1)*(1)*(1)*(1 + (0))</f>
      </c>
      <c r="D2066" s="21" t="s">
        <v>170</v>
      </c>
      <c r="E2066" s="21"/>
      <c r="F2066" s="21">
        <f>C2066*E2066</f>
      </c>
    </row>
    <row r="2067">
      <c r="A2067" s="4"/>
      <c r="B2067" s="14" t="s">
        <v>1678</v>
      </c>
      <c r="C2067" s="21">
        <f>(4)*(1)*(1)*(1)*(1 + (0))</f>
      </c>
      <c r="D2067" s="21" t="s">
        <v>170</v>
      </c>
      <c r="E2067" s="21"/>
      <c r="F2067" s="21">
        <f>C2067*E2067</f>
      </c>
    </row>
    <row r="2068">
      <c r="A2068" s="4"/>
      <c r="B2068" s="14" t="s">
        <v>1679</v>
      </c>
      <c r="C2068" s="21">
        <f>(1)*(1)*(1)*(1)*(1 + (0))</f>
      </c>
      <c r="D2068" s="21" t="s">
        <v>170</v>
      </c>
      <c r="E2068" s="21"/>
      <c r="F2068" s="21">
        <f>C2068*E2068</f>
      </c>
    </row>
    <row r="2069">
      <c r="A2069" s="4"/>
      <c r="B2069" s="14" t="s">
        <v>1680</v>
      </c>
      <c r="C2069" s="21">
        <f>(3)*(1)*(1)*(1)*(1 + (0))</f>
      </c>
      <c r="D2069" s="21" t="s">
        <v>170</v>
      </c>
      <c r="E2069" s="21"/>
      <c r="F2069" s="21">
        <f>C2069*E2069</f>
      </c>
    </row>
    <row r="2070">
      <c r="A2070" s="4"/>
      <c r="B2070" s="14" t="s">
        <v>1681</v>
      </c>
      <c r="C2070" s="21">
        <f>(12)*(1)*(1)*(1)*(1 + (0))</f>
      </c>
      <c r="D2070" s="21" t="s">
        <v>170</v>
      </c>
      <c r="E2070" s="21"/>
      <c r="F2070" s="21">
        <f>C2070*E2070</f>
      </c>
    </row>
    <row r="2071">
      <c r="A2071" s="4"/>
      <c r="B2071" s="14" t="s">
        <v>1682</v>
      </c>
      <c r="C2071" s="21">
        <f>(12)*(1)*(1)*(1)*(1 + (0))</f>
      </c>
      <c r="D2071" s="21" t="s">
        <v>170</v>
      </c>
      <c r="E2071" s="21"/>
      <c r="F2071" s="21">
        <f>C2071*E2071</f>
      </c>
    </row>
    <row r="2072">
      <c r="A2072" s="4"/>
      <c r="B2072" s="14" t="s">
        <v>1683</v>
      </c>
      <c r="C2072" s="21">
        <f>(3)*(1)*(1)*(1)*(1 + (0))</f>
      </c>
      <c r="D2072" s="21" t="s">
        <v>170</v>
      </c>
      <c r="E2072" s="21"/>
      <c r="F2072" s="21">
        <f>C2072*E2072</f>
      </c>
    </row>
    <row r="2073">
      <c r="A2073" s="4"/>
      <c r="B2073" s="14" t="s">
        <v>1684</v>
      </c>
      <c r="C2073" s="21">
        <f>(8)*(1)*(1)*(1)*(1 + (0))</f>
      </c>
      <c r="D2073" s="21" t="s">
        <v>170</v>
      </c>
      <c r="E2073" s="21"/>
      <c r="F2073" s="21">
        <f>C2073*E2073</f>
      </c>
    </row>
    <row r="2074">
      <c r="A2074" s="4"/>
      <c r="B2074" s="14" t="s">
        <v>1685</v>
      </c>
      <c r="C2074" s="21">
        <f>(8)*(1)*(1)*(1)*(1 + (0))</f>
      </c>
      <c r="D2074" s="21" t="s">
        <v>170</v>
      </c>
      <c r="E2074" s="21"/>
      <c r="F2074" s="21">
        <f>C2074*E2074</f>
      </c>
    </row>
    <row r="2075">
      <c r="A2075" s="4"/>
      <c r="B2075" s="14" t="s">
        <v>1686</v>
      </c>
      <c r="C2075" s="21">
        <f>(1)*(1)*(1)*(1)*(1 + (0))</f>
      </c>
      <c r="D2075" s="21" t="s">
        <v>170</v>
      </c>
      <c r="E2075" s="21"/>
      <c r="F2075" s="21">
        <f>C2075*E2075</f>
      </c>
    </row>
    <row r="2076">
      <c r="A2076" s="4"/>
      <c r="B2076" s="14" t="s">
        <v>1687</v>
      </c>
      <c r="C2076" s="21">
        <f>(1)*(1)*(1)*(1)*(1 + (0))</f>
      </c>
      <c r="D2076" s="21" t="s">
        <v>170</v>
      </c>
      <c r="E2076" s="21"/>
      <c r="F2076" s="21">
        <f>C2076*E2076</f>
      </c>
    </row>
    <row r="2077">
      <c r="A2077" s="4"/>
      <c r="B2077" s="14" t="s">
        <v>1688</v>
      </c>
      <c r="C2077" s="21">
        <f>(4)*(1)*(1)*(1)*(1 + (0))</f>
      </c>
      <c r="D2077" s="21" t="s">
        <v>170</v>
      </c>
      <c r="E2077" s="21"/>
      <c r="F2077" s="21">
        <f>C2077*E2077</f>
      </c>
    </row>
    <row r="2078">
      <c r="A2078" s="4"/>
      <c r="B2078" s="14" t="s">
        <v>1689</v>
      </c>
      <c r="C2078" s="21">
        <f>(4)*(1)*(1)*(1)*(1 + (0))</f>
      </c>
      <c r="D2078" s="21" t="s">
        <v>170</v>
      </c>
      <c r="E2078" s="21"/>
      <c r="F2078" s="21">
        <f>C2078*E2078</f>
      </c>
    </row>
    <row r="2079">
      <c r="A2079" s="4"/>
      <c r="B2079" s="14" t="s">
        <v>1690</v>
      </c>
      <c r="C2079" s="21">
        <f>(4)*(1)*(1)*(1)*(1 + (0))</f>
      </c>
      <c r="D2079" s="21" t="s">
        <v>170</v>
      </c>
      <c r="E2079" s="21"/>
      <c r="F2079" s="21">
        <f>C2079*E2079</f>
      </c>
    </row>
    <row r="2080">
      <c r="A2080" s="4"/>
      <c r="B2080" s="14" t="s">
        <v>1691</v>
      </c>
      <c r="C2080" s="21">
        <f>(1)*(1)*(1)*(1)*(1 + (0))</f>
      </c>
      <c r="D2080" s="21" t="s">
        <v>170</v>
      </c>
      <c r="E2080" s="21"/>
      <c r="F2080" s="21">
        <f>C2080*E2080</f>
      </c>
    </row>
    <row r="2081">
      <c r="A2081" s="4"/>
      <c r="B2081" s="14" t="s">
        <v>1692</v>
      </c>
      <c r="C2081" s="21">
        <f>(6)*(1)*(1)*(1)*(1 + (0))</f>
      </c>
      <c r="D2081" s="21" t="s">
        <v>170</v>
      </c>
      <c r="E2081" s="21"/>
      <c r="F2081" s="21">
        <f>C2081*E2081</f>
      </c>
    </row>
    <row r="2082">
      <c r="A2082" s="4"/>
      <c r="B2082" s="14" t="s">
        <v>1693</v>
      </c>
      <c r="C2082" s="21">
        <f>(1)*(1)*(1)*(1)*(1 + (0))</f>
      </c>
      <c r="D2082" s="21" t="s">
        <v>170</v>
      </c>
      <c r="E2082" s="21"/>
      <c r="F2082" s="21">
        <f>C2082*E2082</f>
      </c>
    </row>
    <row r="2083">
      <c r="A2083" s="5"/>
      <c r="B2083" s="13" t="s">
        <v>1694</v>
      </c>
      <c r="C2083" s="22"/>
      <c r="D2083" s="22"/>
      <c r="E2083" s="22"/>
      <c r="F2083" s="22"/>
    </row>
    <row r="2084">
      <c r="A2084" s="4"/>
      <c r="B2084" s="14" t="s">
        <v>1695</v>
      </c>
      <c r="C2084" s="21">
        <f>(13)*(1)*(1)*(1)*(1 + (0))</f>
      </c>
      <c r="D2084" s="21" t="s">
        <v>170</v>
      </c>
      <c r="E2084" s="21"/>
      <c r="F2084" s="21">
        <f>C2084*E2084</f>
      </c>
    </row>
    <row r="2085">
      <c r="A2085" s="4"/>
      <c r="B2085" s="14" t="s">
        <v>1696</v>
      </c>
      <c r="C2085" s="21">
        <f>(17)*(1)*(1)*(1)*(1 + (0))</f>
      </c>
      <c r="D2085" s="21" t="s">
        <v>170</v>
      </c>
      <c r="E2085" s="21"/>
      <c r="F2085" s="21">
        <f>C2085*E2085</f>
      </c>
    </row>
    <row r="2086">
      <c r="A2086" s="4"/>
      <c r="B2086" s="14" t="s">
        <v>1697</v>
      </c>
      <c r="C2086" s="21">
        <f>(17)*(1)*(1)*(1)*(1 + (0))</f>
      </c>
      <c r="D2086" s="21" t="s">
        <v>170</v>
      </c>
      <c r="E2086" s="21"/>
      <c r="F2086" s="21">
        <f>C2086*E2086</f>
      </c>
    </row>
    <row r="2087">
      <c r="A2087" s="4"/>
      <c r="B2087" s="14" t="s">
        <v>1698</v>
      </c>
      <c r="C2087" s="21">
        <f>(4)*(1)*(1)*(1)*(1 + (0))</f>
      </c>
      <c r="D2087" s="21" t="s">
        <v>170</v>
      </c>
      <c r="E2087" s="21"/>
      <c r="F2087" s="21">
        <f>C2087*E2087</f>
      </c>
    </row>
    <row r="2088">
      <c r="A2088" s="4"/>
      <c r="B2088" s="14" t="s">
        <v>1699</v>
      </c>
      <c r="C2088" s="21">
        <f>(4)*(1)*(1)*(1)*(1 + (0))</f>
      </c>
      <c r="D2088" s="21" t="s">
        <v>170</v>
      </c>
      <c r="E2088" s="21"/>
      <c r="F2088" s="21">
        <f>C2088*E2088</f>
      </c>
    </row>
    <row r="2089">
      <c r="A2089" s="4"/>
      <c r="B2089" s="14" t="s">
        <v>1700</v>
      </c>
      <c r="C2089" s="21">
        <f>(17)*(1)*(1)*(1)*(1 + (0))</f>
      </c>
      <c r="D2089" s="21" t="s">
        <v>170</v>
      </c>
      <c r="E2089" s="21"/>
      <c r="F2089" s="21">
        <f>C2089*E2089</f>
      </c>
    </row>
    <row r="2090">
      <c r="A2090" s="4"/>
      <c r="B2090" s="14" t="s">
        <v>1701</v>
      </c>
      <c r="C2090" s="21">
        <f>(4)*(1)*(1)*(1)*(1 + (0))</f>
      </c>
      <c r="D2090" s="21" t="s">
        <v>170</v>
      </c>
      <c r="E2090" s="21"/>
      <c r="F2090" s="21">
        <f>C2090*E2090</f>
      </c>
    </row>
    <row r="2091">
      <c r="A2091" s="4"/>
      <c r="B2091" s="14" t="s">
        <v>1702</v>
      </c>
      <c r="C2091" s="21">
        <f>(6)*(1)*(1)*(1)*(1 + (0))</f>
      </c>
      <c r="D2091" s="21" t="s">
        <v>170</v>
      </c>
      <c r="E2091" s="21"/>
      <c r="F2091" s="21">
        <f>C2091*E2091</f>
      </c>
    </row>
    <row r="2092">
      <c r="A2092" s="5"/>
      <c r="B2092" s="13" t="s">
        <v>1703</v>
      </c>
      <c r="C2092" s="22"/>
      <c r="D2092" s="22"/>
      <c r="E2092" s="22"/>
      <c r="F2092" s="22"/>
    </row>
    <row r="2093">
      <c r="A2093" s="4"/>
      <c r="B2093" s="14" t="s">
        <v>1704</v>
      </c>
      <c r="C2093" s="21">
        <f>(4)*(1)*(1)*(1)*(1 + (0))</f>
      </c>
      <c r="D2093" s="21" t="s">
        <v>170</v>
      </c>
      <c r="E2093" s="21"/>
      <c r="F2093" s="21">
        <f>C2093*E2093</f>
      </c>
    </row>
    <row r="2094">
      <c r="A2094" s="4"/>
      <c r="B2094" s="14" t="s">
        <v>1705</v>
      </c>
      <c r="C2094" s="21">
        <f>(5)*(1)*(1)*(1)*(1 + (0))</f>
      </c>
      <c r="D2094" s="21" t="s">
        <v>170</v>
      </c>
      <c r="E2094" s="21"/>
      <c r="F2094" s="21">
        <f>C2094*E2094</f>
      </c>
    </row>
    <row r="2095">
      <c r="A2095" s="4"/>
      <c r="B2095" s="14" t="s">
        <v>1706</v>
      </c>
      <c r="C2095" s="21">
        <f>(4)*(1)*(1)*(1)*(1 + (0))</f>
      </c>
      <c r="D2095" s="21" t="s">
        <v>170</v>
      </c>
      <c r="E2095" s="21"/>
      <c r="F2095" s="21">
        <f>C2095*E2095</f>
      </c>
    </row>
    <row r="2096">
      <c r="A2096" s="5"/>
      <c r="B2096" s="13" t="s">
        <v>1707</v>
      </c>
      <c r="C2096" s="22"/>
      <c r="D2096" s="22"/>
      <c r="E2096" s="22"/>
      <c r="F2096" s="22"/>
    </row>
    <row r="2097">
      <c r="A2097" s="4"/>
      <c r="B2097" s="14" t="s">
        <v>1708</v>
      </c>
      <c r="C2097" s="21">
        <f>(12)*(1)*(1)*(1)*(1 + (0))</f>
      </c>
      <c r="D2097" s="21" t="s">
        <v>167</v>
      </c>
      <c r="E2097" s="21"/>
      <c r="F2097" s="21">
        <f>C2097*E2097</f>
      </c>
    </row>
    <row r="2098">
      <c r="A2098" s="5"/>
      <c r="B2098" s="13" t="s">
        <v>1709</v>
      </c>
      <c r="C2098" s="22"/>
      <c r="D2098" s="22"/>
      <c r="E2098" s="22"/>
      <c r="F2098" s="22"/>
    </row>
    <row r="2099">
      <c r="A2099" s="4"/>
      <c r="B2099" s="14" t="s">
        <v>1710</v>
      </c>
      <c r="C2099" s="21">
        <f>(161)*(1)*(1)*(1)*(1 + (0))</f>
      </c>
      <c r="D2099" s="21" t="s">
        <v>9</v>
      </c>
      <c r="E2099" s="21"/>
      <c r="F2099" s="21">
        <f>C2099*E2099</f>
      </c>
    </row>
    <row r="2100">
      <c r="A2100" s="4"/>
      <c r="B2100" s="14" t="s">
        <v>1711</v>
      </c>
      <c r="C2100" s="21">
        <f>(29)*(1)*(1)*(1)*(1 + (0))</f>
      </c>
      <c r="D2100" s="21" t="s">
        <v>170</v>
      </c>
      <c r="E2100" s="21"/>
      <c r="F2100" s="21">
        <f>C2100*E2100</f>
      </c>
    </row>
    <row r="2101">
      <c r="A2101" s="4"/>
      <c r="B2101" s="14" t="s">
        <v>1712</v>
      </c>
      <c r="C2101" s="21">
        <f>(5)*(1)*(1)*(1)*(1 + (0))</f>
      </c>
      <c r="D2101" s="21" t="s">
        <v>170</v>
      </c>
      <c r="E2101" s="21"/>
      <c r="F2101" s="21">
        <f>C2101*E2101</f>
      </c>
    </row>
    <row r="2102">
      <c r="A2102" s="4"/>
      <c r="B2102" s="14" t="s">
        <v>1713</v>
      </c>
      <c r="C2102" s="21">
        <f>(6)*(1)*(1)*(1)*(1 + (0))</f>
      </c>
      <c r="D2102" s="21" t="s">
        <v>170</v>
      </c>
      <c r="E2102" s="21"/>
      <c r="F2102" s="21">
        <f>C2102*E2102</f>
      </c>
    </row>
    <row r="2103">
      <c r="A2103" s="4"/>
      <c r="B2103" s="14" t="s">
        <v>1714</v>
      </c>
      <c r="C2103" s="21">
        <f>(1)*(1)*(1)*(1)*(1 + (0))</f>
      </c>
      <c r="D2103" s="21" t="s">
        <v>170</v>
      </c>
      <c r="E2103" s="21"/>
      <c r="F2103" s="21">
        <f>C2103*E2103</f>
      </c>
    </row>
    <row r="2104">
      <c r="A2104" s="4"/>
      <c r="B2104" s="14" t="s">
        <v>1715</v>
      </c>
      <c r="C2104" s="21">
        <f>(11)*(1)*(1)*(1)*(1 + (0))</f>
      </c>
      <c r="D2104" s="21" t="s">
        <v>170</v>
      </c>
      <c r="E2104" s="21"/>
      <c r="F2104" s="21">
        <f>C2104*E2104</f>
      </c>
    </row>
    <row r="2105">
      <c r="A2105" s="5"/>
      <c r="B2105" s="13" t="s">
        <v>1716</v>
      </c>
      <c r="C2105" s="22"/>
      <c r="D2105" s="22"/>
      <c r="E2105" s="22"/>
      <c r="F2105" s="22"/>
    </row>
    <row r="2106">
      <c r="A2106" s="4"/>
      <c r="B2106" s="14" t="s">
        <v>1717</v>
      </c>
      <c r="C2106" s="21">
        <f>(23)*(1)*(1)*(1)*(1 + (0))</f>
      </c>
      <c r="D2106" s="21" t="s">
        <v>170</v>
      </c>
      <c r="E2106" s="21"/>
      <c r="F2106" s="21">
        <f>C2106*E2106</f>
      </c>
    </row>
    <row r="2107">
      <c r="A2107" s="4"/>
      <c r="B2107" s="14" t="s">
        <v>1718</v>
      </c>
      <c r="C2107" s="21">
        <f>(1)*(1)*(1)*(1)*(1 + (0))</f>
      </c>
      <c r="D2107" s="21" t="s">
        <v>170</v>
      </c>
      <c r="E2107" s="21"/>
      <c r="F2107" s="21">
        <f>C2107*E2107</f>
      </c>
    </row>
    <row r="2108">
      <c r="A2108" s="5"/>
      <c r="B2108" s="13" t="s">
        <v>989</v>
      </c>
      <c r="C2108" s="22"/>
      <c r="D2108" s="22"/>
      <c r="E2108" s="22"/>
      <c r="F2108" s="22"/>
    </row>
    <row r="2109">
      <c r="A2109" s="4"/>
      <c r="B2109" s="14" t="s">
        <v>1719</v>
      </c>
      <c r="C2109" s="21">
        <f>(2)*(1)*(1)*(1)*(1 + (0))</f>
      </c>
      <c r="D2109" s="21" t="s">
        <v>170</v>
      </c>
      <c r="E2109" s="21"/>
      <c r="F2109" s="21">
        <f>C2109*E2109</f>
      </c>
    </row>
    <row r="2110">
      <c r="A2110" s="4"/>
      <c r="B2110" s="14" t="s">
        <v>1720</v>
      </c>
      <c r="C2110" s="21">
        <f>(4)*(1)*(1)*(1)*(1 + (0))</f>
      </c>
      <c r="D2110" s="21" t="s">
        <v>170</v>
      </c>
      <c r="E2110" s="21"/>
      <c r="F2110" s="21">
        <f>C2110*E2110</f>
      </c>
    </row>
    <row r="2111">
      <c r="A2111" s="4"/>
      <c r="B2111" s="14" t="s">
        <v>1721</v>
      </c>
      <c r="C2111" s="21">
        <f>(3)*(1)*(1)*(1)*(1 + (0))</f>
      </c>
      <c r="D2111" s="21" t="s">
        <v>170</v>
      </c>
      <c r="E2111" s="21"/>
      <c r="F2111" s="21">
        <f>C2111*E2111</f>
      </c>
    </row>
    <row r="2112">
      <c r="A2112" s="4"/>
      <c r="B2112" s="14" t="s">
        <v>1722</v>
      </c>
      <c r="C2112" s="21">
        <f>(10)*(1)*(1)*(1)*(1 + (0))</f>
      </c>
      <c r="D2112" s="21" t="s">
        <v>170</v>
      </c>
      <c r="E2112" s="21"/>
      <c r="F2112" s="21">
        <f>C2112*E2112</f>
      </c>
    </row>
    <row r="2113">
      <c r="A2113" s="5"/>
      <c r="B2113" s="13" t="s">
        <v>1723</v>
      </c>
      <c r="C2113" s="22"/>
      <c r="D2113" s="22"/>
      <c r="E2113" s="22"/>
      <c r="F2113" s="22"/>
    </row>
    <row r="2114">
      <c r="A2114" s="4"/>
      <c r="B2114" s="14" t="s">
        <v>1724</v>
      </c>
      <c r="C2114" s="21">
        <f>(4)*(1)*(1)*(1)*(1 + (0))</f>
      </c>
      <c r="D2114" s="21" t="s">
        <v>170</v>
      </c>
      <c r="E2114" s="21"/>
      <c r="F2114" s="21">
        <f>C2114*E2114</f>
      </c>
    </row>
    <row r="2115">
      <c r="A2115" s="4"/>
      <c r="B2115" s="14" t="s">
        <v>1725</v>
      </c>
      <c r="C2115" s="21">
        <f>(4)*(1)*(1)*(1)*(1 + (0))</f>
      </c>
      <c r="D2115" s="21" t="s">
        <v>170</v>
      </c>
      <c r="E2115" s="21"/>
      <c r="F2115" s="21">
        <f>C2115*E2115</f>
      </c>
    </row>
    <row r="2116">
      <c r="A2116" s="4"/>
      <c r="B2116" s="14" t="s">
        <v>1726</v>
      </c>
      <c r="C2116" s="21">
        <f>(12)*(1)*(1)*(1)*(1 + (0))</f>
      </c>
      <c r="D2116" s="21" t="s">
        <v>170</v>
      </c>
      <c r="E2116" s="21"/>
      <c r="F2116" s="21">
        <f>C2116*E2116</f>
      </c>
    </row>
    <row r="2117">
      <c r="A2117" s="3"/>
      <c r="B2117" s="11" t="s">
        <v>1727</v>
      </c>
      <c r="C2117" s="20"/>
      <c r="D2117" s="20"/>
      <c r="E2117" s="20"/>
      <c r="F2117" s="20"/>
    </row>
    <row r="2118">
      <c r="A2118" s="5"/>
      <c r="B2118" s="13" t="s">
        <v>1703</v>
      </c>
      <c r="C2118" s="22"/>
      <c r="D2118" s="22"/>
      <c r="E2118" s="22"/>
      <c r="F2118" s="22"/>
    </row>
    <row r="2119">
      <c r="A2119" s="4"/>
      <c r="B2119" s="14" t="s">
        <v>1728</v>
      </c>
      <c r="C2119" s="21">
        <f>(1)*(1)*(1)*(1)*(1 + (0))</f>
      </c>
      <c r="D2119" s="21" t="s">
        <v>170</v>
      </c>
      <c r="E2119" s="21"/>
      <c r="F2119" s="21">
        <f>C2119*E2119</f>
      </c>
    </row>
    <row r="2120">
      <c r="A2120" s="4"/>
      <c r="B2120" s="14" t="s">
        <v>1729</v>
      </c>
      <c r="C2120" s="21">
        <f>(1)*(1)*(1)*(1)*(1 + (0))</f>
      </c>
      <c r="D2120" s="21" t="s">
        <v>170</v>
      </c>
      <c r="E2120" s="21"/>
      <c r="F2120" s="21">
        <f>C2120*E2120</f>
      </c>
    </row>
    <row r="2121">
      <c r="A2121" s="4"/>
      <c r="B2121" s="14" t="s">
        <v>1730</v>
      </c>
      <c r="C2121" s="21">
        <f>(4)*(1)*(1)*(1)*(1 + (0))</f>
      </c>
      <c r="D2121" s="21" t="s">
        <v>170</v>
      </c>
      <c r="E2121" s="21"/>
      <c r="F2121" s="21">
        <f>C2121*E2121</f>
      </c>
    </row>
    <row r="2122">
      <c r="A2122" s="5"/>
      <c r="B2122" s="13" t="s">
        <v>1731</v>
      </c>
      <c r="C2122" s="22"/>
      <c r="D2122" s="22"/>
      <c r="E2122" s="22"/>
      <c r="F2122" s="22"/>
    </row>
    <row r="2123">
      <c r="A2123" s="4"/>
      <c r="B2123" s="14" t="s">
        <v>1732</v>
      </c>
      <c r="C2123" s="21">
        <f>(3)*(1)*(1)*(1)*(1 + (0))</f>
      </c>
      <c r="D2123" s="21" t="s">
        <v>170</v>
      </c>
      <c r="E2123" s="21"/>
      <c r="F2123" s="21">
        <f>C2123*E2123</f>
      </c>
    </row>
    <row r="2124">
      <c r="A2124" s="3"/>
      <c r="B2124" s="11" t="s">
        <v>1733</v>
      </c>
      <c r="C2124" s="20"/>
      <c r="D2124" s="20"/>
      <c r="E2124" s="20"/>
      <c r="F2124" s="20"/>
    </row>
    <row r="2125">
      <c r="A2125" s="5"/>
      <c r="B2125" s="13" t="s">
        <v>1669</v>
      </c>
      <c r="C2125" s="22"/>
      <c r="D2125" s="22"/>
      <c r="E2125" s="22"/>
      <c r="F2125" s="22"/>
    </row>
    <row r="2126">
      <c r="A2126" s="4"/>
      <c r="B2126" s="14" t="s">
        <v>1734</v>
      </c>
      <c r="C2126" s="21">
        <f>(1)*(1)*(1)*(1)*(1 + (0))</f>
      </c>
      <c r="D2126" s="21" t="s">
        <v>170</v>
      </c>
      <c r="E2126" s="21"/>
      <c r="F2126" s="21">
        <f>C2126*E2126</f>
      </c>
    </row>
    <row r="2127">
      <c r="A2127" s="4"/>
      <c r="B2127" s="14" t="s">
        <v>1735</v>
      </c>
      <c r="C2127" s="21">
        <f>(2)*(1)*(1)*(1)*(1 + (0))</f>
      </c>
      <c r="D2127" s="21" t="s">
        <v>170</v>
      </c>
      <c r="E2127" s="21"/>
      <c r="F2127" s="21">
        <f>C2127*E2127</f>
      </c>
    </row>
    <row r="2128">
      <c r="A2128" s="4"/>
      <c r="B2128" s="14" t="s">
        <v>1736</v>
      </c>
      <c r="C2128" s="21">
        <f>(1)*(1)*(1)*(1)*(1 + (0))</f>
      </c>
      <c r="D2128" s="21" t="s">
        <v>170</v>
      </c>
      <c r="E2128" s="21"/>
      <c r="F2128" s="21">
        <f>C2128*E2128</f>
      </c>
    </row>
    <row r="2129">
      <c r="A2129" s="4"/>
      <c r="B2129" s="14" t="s">
        <v>1737</v>
      </c>
      <c r="C2129" s="21">
        <f>(2)*(1)*(1)*(1)*(1 + (0))</f>
      </c>
      <c r="D2129" s="21" t="s">
        <v>170</v>
      </c>
      <c r="E2129" s="21"/>
      <c r="F2129" s="21">
        <f>C2129*E2129</f>
      </c>
    </row>
    <row r="2130">
      <c r="A2130" s="4"/>
      <c r="B2130" s="14" t="s">
        <v>1738</v>
      </c>
      <c r="C2130" s="21">
        <f>(4)*(1)*(1)*(1)*(1 + (0))</f>
      </c>
      <c r="D2130" s="21" t="s">
        <v>170</v>
      </c>
      <c r="E2130" s="21"/>
      <c r="F2130" s="21">
        <f>C2130*E2130</f>
      </c>
    </row>
    <row r="2131">
      <c r="A2131" s="4"/>
      <c r="B2131" s="14" t="s">
        <v>1739</v>
      </c>
      <c r="C2131" s="21">
        <f>(1)*(1)*(1)*(1)*(1 + (0))</f>
      </c>
      <c r="D2131" s="21" t="s">
        <v>170</v>
      </c>
      <c r="E2131" s="21"/>
      <c r="F2131" s="21">
        <f>C2131*E2131</f>
      </c>
    </row>
    <row r="2132">
      <c r="A2132" s="4"/>
      <c r="B2132" s="14" t="s">
        <v>1740</v>
      </c>
      <c r="C2132" s="21">
        <f>(1)*(1)*(1)*(1)*(1 + (0))</f>
      </c>
      <c r="D2132" s="21" t="s">
        <v>170</v>
      </c>
      <c r="E2132" s="21"/>
      <c r="F2132" s="21">
        <f>C2132*E2132</f>
      </c>
    </row>
    <row r="2133">
      <c r="A2133" s="4"/>
      <c r="B2133" s="14" t="s">
        <v>1741</v>
      </c>
      <c r="C2133" s="21">
        <f>(1)*(1)*(1)*(1)*(1 + (0))</f>
      </c>
      <c r="D2133" s="21" t="s">
        <v>170</v>
      </c>
      <c r="E2133" s="21"/>
      <c r="F2133" s="21">
        <f>C2133*E2133</f>
      </c>
    </row>
    <row r="2134">
      <c r="A2134" s="4"/>
      <c r="B2134" s="14" t="s">
        <v>1742</v>
      </c>
      <c r="C2134" s="21">
        <f>(12)*(1)*(1)*(1)*(1 + (0))</f>
      </c>
      <c r="D2134" s="21" t="s">
        <v>170</v>
      </c>
      <c r="E2134" s="21"/>
      <c r="F2134" s="21">
        <f>C2134*E2134</f>
      </c>
    </row>
    <row r="2135">
      <c r="A2135" s="5"/>
      <c r="B2135" s="13" t="s">
        <v>1703</v>
      </c>
      <c r="C2135" s="22"/>
      <c r="D2135" s="22"/>
      <c r="E2135" s="22"/>
      <c r="F2135" s="22"/>
    </row>
    <row r="2136">
      <c r="A2136" s="4"/>
      <c r="B2136" s="14" t="s">
        <v>1728</v>
      </c>
      <c r="C2136" s="21">
        <f>(1)*(1)*(1)*(1)*(1 + (0))</f>
      </c>
      <c r="D2136" s="21" t="s">
        <v>170</v>
      </c>
      <c r="E2136" s="21"/>
      <c r="F2136" s="21">
        <f>C2136*E2136</f>
      </c>
    </row>
    <row r="2137">
      <c r="A2137" s="4"/>
      <c r="B2137" s="14" t="s">
        <v>1729</v>
      </c>
      <c r="C2137" s="21">
        <f>(1)*(1)*(1)*(1)*(1 + (0))</f>
      </c>
      <c r="D2137" s="21" t="s">
        <v>170</v>
      </c>
      <c r="E2137" s="21"/>
      <c r="F2137" s="21">
        <f>C2137*E2137</f>
      </c>
    </row>
    <row r="2138">
      <c r="A2138" s="4"/>
      <c r="B2138" s="14" t="s">
        <v>1730</v>
      </c>
      <c r="C2138" s="21">
        <f>(4)*(1)*(1)*(1)*(1 + (0))</f>
      </c>
      <c r="D2138" s="21" t="s">
        <v>170</v>
      </c>
      <c r="E2138" s="21"/>
      <c r="F2138" s="21">
        <f>C2138*E2138</f>
      </c>
    </row>
    <row r="2139">
      <c r="A2139" s="4"/>
      <c r="B2139" s="14" t="s">
        <v>1743</v>
      </c>
      <c r="C2139" s="21">
        <f>(1)*(1)*(1)*(1)*(1 + (0))</f>
      </c>
      <c r="D2139" s="21" t="s">
        <v>170</v>
      </c>
      <c r="E2139" s="21"/>
      <c r="F2139" s="21">
        <f>C2139*E2139</f>
      </c>
    </row>
    <row r="2140">
      <c r="A2140" s="4"/>
      <c r="B2140" s="14" t="s">
        <v>1744</v>
      </c>
      <c r="C2140" s="21">
        <f>(1)*(1)*(1)*(1)*(1 + (0))</f>
      </c>
      <c r="D2140" s="21" t="s">
        <v>170</v>
      </c>
      <c r="E2140" s="21"/>
      <c r="F2140" s="21">
        <f>C2140*E2140</f>
      </c>
    </row>
    <row r="2141">
      <c r="A2141" s="4"/>
      <c r="B2141" s="14" t="s">
        <v>1745</v>
      </c>
      <c r="C2141" s="21">
        <f>(1)*(1)*(1)*(1)*(1 + (0))</f>
      </c>
      <c r="D2141" s="21" t="s">
        <v>170</v>
      </c>
      <c r="E2141" s="21"/>
      <c r="F2141" s="21">
        <f>C2141*E2141</f>
      </c>
    </row>
    <row r="2142">
      <c r="A2142" s="4"/>
      <c r="B2142" s="14" t="s">
        <v>1746</v>
      </c>
      <c r="C2142" s="21">
        <f>(1)*(1)*(1)*(1)*(1 + (0))</f>
      </c>
      <c r="D2142" s="21" t="s">
        <v>170</v>
      </c>
      <c r="E2142" s="21"/>
      <c r="F2142" s="21">
        <f>C2142*E2142</f>
      </c>
    </row>
    <row r="2143">
      <c r="A2143" s="5"/>
      <c r="B2143" s="13" t="s">
        <v>1671</v>
      </c>
      <c r="C2143" s="22"/>
      <c r="D2143" s="22"/>
      <c r="E2143" s="22"/>
      <c r="F2143" s="22"/>
    </row>
    <row r="2144">
      <c r="A2144" s="4"/>
      <c r="B2144" s="14" t="s">
        <v>1747</v>
      </c>
      <c r="C2144" s="21">
        <f>(1)*(1)*(1)*(1)*(1 + (0))</f>
      </c>
      <c r="D2144" s="21" t="s">
        <v>170</v>
      </c>
      <c r="E2144" s="21"/>
      <c r="F2144" s="21">
        <f>C2144*E2144</f>
      </c>
    </row>
    <row r="2145">
      <c r="A2145" s="4"/>
      <c r="B2145" s="14" t="s">
        <v>1748</v>
      </c>
      <c r="C2145" s="21">
        <f>(1)*(1)*(1)*(1)*(1 + (0))</f>
      </c>
      <c r="D2145" s="21" t="s">
        <v>170</v>
      </c>
      <c r="E2145" s="21"/>
      <c r="F2145" s="21">
        <f>C2145*E2145</f>
      </c>
    </row>
    <row r="2146">
      <c r="A2146" s="5"/>
      <c r="B2146" s="13" t="s">
        <v>989</v>
      </c>
      <c r="C2146" s="22"/>
      <c r="D2146" s="22"/>
      <c r="E2146" s="22"/>
      <c r="F2146" s="22"/>
    </row>
    <row r="2147">
      <c r="A2147" s="4"/>
      <c r="B2147" s="14" t="s">
        <v>1749</v>
      </c>
      <c r="C2147" s="21">
        <f>(8)*(1)*(1)*(1)*(1 + (0))</f>
      </c>
      <c r="D2147" s="21" t="s">
        <v>170</v>
      </c>
      <c r="E2147" s="21"/>
      <c r="F2147" s="21">
        <f>C2147*E2147</f>
      </c>
    </row>
    <row r="2148">
      <c r="A2148" s="2"/>
      <c r="B2148" s="10" t="s">
        <v>1750</v>
      </c>
      <c r="C2148" s="19"/>
      <c r="D2148" s="19"/>
      <c r="E2148" s="19"/>
      <c r="F2148" s="19"/>
    </row>
    <row r="2149">
      <c r="A2149" s="3"/>
      <c r="B2149" s="11" t="s">
        <v>14</v>
      </c>
      <c r="C2149" s="20"/>
      <c r="D2149" s="20"/>
      <c r="E2149" s="20"/>
      <c r="F2149" s="20"/>
    </row>
    <row r="2150">
      <c r="A2150" s="4" t="s">
        <v>1653</v>
      </c>
      <c r="B2150" s="12" t="s">
        <v>16</v>
      </c>
      <c r="C2150" s="21"/>
      <c r="D2150" s="21" t="s">
        <v>17</v>
      </c>
      <c r="E2150" s="21"/>
      <c r="F2150" s="21">
        <f>C2150*E2150</f>
      </c>
    </row>
    <row r="2151">
      <c r="A2151" s="4" t="s">
        <v>1654</v>
      </c>
      <c r="B2151" s="12" t="s">
        <v>19</v>
      </c>
      <c r="C2151" s="21"/>
      <c r="D2151" s="21" t="s">
        <v>17</v>
      </c>
      <c r="E2151" s="21"/>
      <c r="F2151" s="21">
        <f>C2151*E2151</f>
      </c>
    </row>
    <row r="2152">
      <c r="A2152" s="3"/>
      <c r="B2152" s="11" t="s">
        <v>22</v>
      </c>
      <c r="C2152" s="20"/>
      <c r="D2152" s="20"/>
      <c r="E2152" s="20"/>
      <c r="F2152" s="20"/>
    </row>
    <row r="2153">
      <c r="A2153" s="4"/>
      <c r="B2153" s="12" t="s">
        <v>1655</v>
      </c>
      <c r="C2153" s="21"/>
      <c r="D2153" s="21" t="s">
        <v>17</v>
      </c>
      <c r="E2153" s="21"/>
      <c r="F2153" s="21">
        <f>C2153*E2153</f>
      </c>
    </row>
    <row r="2154">
      <c r="A2154" s="4"/>
      <c r="B2154" s="12" t="s">
        <v>1656</v>
      </c>
      <c r="C2154" s="21"/>
      <c r="D2154" s="21" t="s">
        <v>17</v>
      </c>
      <c r="E2154" s="21"/>
      <c r="F2154" s="21">
        <f>C2154*E2154</f>
      </c>
    </row>
    <row r="2155">
      <c r="A2155" s="4"/>
      <c r="B2155" s="12" t="s">
        <v>1657</v>
      </c>
      <c r="C2155" s="21"/>
      <c r="D2155" s="21" t="s">
        <v>17</v>
      </c>
      <c r="E2155" s="21"/>
      <c r="F2155" s="21">
        <f>C2155*E2155</f>
      </c>
    </row>
    <row r="2156">
      <c r="A2156" s="4"/>
      <c r="B2156" s="12" t="s">
        <v>1658</v>
      </c>
      <c r="C2156" s="21"/>
      <c r="D2156" s="21" t="s">
        <v>17</v>
      </c>
      <c r="E2156" s="21"/>
      <c r="F2156" s="21">
        <f>C2156*E2156</f>
      </c>
    </row>
    <row r="2157">
      <c r="A2157" s="3"/>
      <c r="B2157" s="11" t="s">
        <v>24</v>
      </c>
      <c r="C2157" s="20"/>
      <c r="D2157" s="20"/>
      <c r="E2157" s="20"/>
      <c r="F2157" s="20"/>
    </row>
    <row r="2158">
      <c r="A2158" s="5"/>
      <c r="B2158" s="13" t="s">
        <v>25</v>
      </c>
      <c r="C2158" s="22"/>
      <c r="D2158" s="22"/>
      <c r="E2158" s="22"/>
      <c r="F2158" s="22"/>
    </row>
    <row r="2159">
      <c r="A2159" s="4" t="s">
        <v>1659</v>
      </c>
      <c r="B2159" s="14" t="s">
        <v>1137</v>
      </c>
      <c r="C2159" s="21"/>
      <c r="D2159" s="21" t="s">
        <v>17</v>
      </c>
      <c r="E2159" s="21"/>
      <c r="F2159" s="21">
        <f>C2159*E2159</f>
      </c>
    </row>
    <row r="2160">
      <c r="A2160" s="4" t="s">
        <v>1660</v>
      </c>
      <c r="B2160" s="14" t="s">
        <v>194</v>
      </c>
      <c r="C2160" s="21"/>
      <c r="D2160" s="21" t="s">
        <v>17</v>
      </c>
      <c r="E2160" s="21"/>
      <c r="F2160" s="21">
        <f>C2160*E2160</f>
      </c>
    </row>
    <row r="2161">
      <c r="A2161" s="3"/>
      <c r="B2161" s="11" t="s">
        <v>42</v>
      </c>
      <c r="C2161" s="20"/>
      <c r="D2161" s="20"/>
      <c r="E2161" s="20"/>
      <c r="F2161" s="20"/>
    </row>
    <row r="2162">
      <c r="A2162" s="4" t="s">
        <v>1661</v>
      </c>
      <c r="B2162" s="12" t="s">
        <v>251</v>
      </c>
      <c r="C2162" s="21">
        <f>(1)*(1)*(1)*(1)*(1 + (0))</f>
      </c>
      <c r="D2162" s="21" t="s">
        <v>45</v>
      </c>
      <c r="E2162" s="21"/>
      <c r="F2162" s="21">
        <f>C2162*E2162</f>
      </c>
    </row>
    <row r="2163">
      <c r="A2163" s="4" t="s">
        <v>1662</v>
      </c>
      <c r="B2163" s="12" t="s">
        <v>59</v>
      </c>
      <c r="C2163" s="21">
        <f>(1)*(1)*(1)*(1)*(1 + (0))</f>
      </c>
      <c r="D2163" s="21" t="s">
        <v>45</v>
      </c>
      <c r="E2163" s="21"/>
      <c r="F2163" s="21">
        <f>C2163*E2163</f>
      </c>
    </row>
    <row r="2164">
      <c r="A2164" s="4" t="s">
        <v>1663</v>
      </c>
      <c r="B2164" s="12" t="s">
        <v>1304</v>
      </c>
      <c r="C2164" s="21">
        <f>(1)*(1)*(1)*(1)*(1 + (0))</f>
      </c>
      <c r="D2164" s="21" t="s">
        <v>45</v>
      </c>
      <c r="E2164" s="21"/>
      <c r="F2164" s="21">
        <f>C2164*E2164</f>
      </c>
    </row>
    <row r="2165">
      <c r="A2165" s="4" t="s">
        <v>1664</v>
      </c>
      <c r="B2165" s="12" t="s">
        <v>832</v>
      </c>
      <c r="C2165" s="21">
        <f>(1)*(1)*(1)*(1)*(1 + (0))</f>
      </c>
      <c r="D2165" s="21" t="s">
        <v>45</v>
      </c>
      <c r="E2165" s="21"/>
      <c r="F2165" s="21">
        <f>C2165*E2165</f>
      </c>
    </row>
    <row r="2166">
      <c r="A2166" s="3"/>
      <c r="B2166" s="11" t="s">
        <v>82</v>
      </c>
      <c r="C2166" s="20"/>
      <c r="D2166" s="20"/>
      <c r="E2166" s="20"/>
      <c r="F2166" s="20"/>
    </row>
    <row r="2167">
      <c r="A2167" s="4"/>
      <c r="B2167" s="12" t="s">
        <v>1665</v>
      </c>
      <c r="C2167" s="21"/>
      <c r="D2167" s="21" t="s">
        <v>17</v>
      </c>
      <c r="E2167" s="21"/>
      <c r="F2167" s="21">
        <f>C2167*E2167</f>
      </c>
    </row>
    <row r="2168">
      <c r="A2168" s="4"/>
      <c r="B2168" s="12" t="s">
        <v>1666</v>
      </c>
      <c r="C2168" s="21"/>
      <c r="D2168" s="21" t="s">
        <v>17</v>
      </c>
      <c r="E2168" s="21"/>
      <c r="F2168" s="21">
        <f>C2168*E2168</f>
      </c>
    </row>
    <row r="2169">
      <c r="A2169" s="4"/>
      <c r="B2169" s="12" t="s">
        <v>1667</v>
      </c>
      <c r="C2169" s="21"/>
      <c r="D2169" s="21" t="s">
        <v>17</v>
      </c>
      <c r="E2169" s="21"/>
      <c r="F2169" s="21">
        <f>C2169*E2169</f>
      </c>
    </row>
    <row r="2170">
      <c r="A2170" s="3"/>
      <c r="B2170" s="11" t="s">
        <v>1668</v>
      </c>
      <c r="C2170" s="20"/>
      <c r="D2170" s="20"/>
      <c r="E2170" s="20"/>
      <c r="F2170" s="20"/>
    </row>
    <row r="2171">
      <c r="A2171" s="5"/>
      <c r="B2171" s="13" t="s">
        <v>1751</v>
      </c>
      <c r="C2171" s="22"/>
      <c r="D2171" s="22"/>
      <c r="E2171" s="22"/>
      <c r="F2171" s="22"/>
    </row>
    <row r="2172">
      <c r="A2172" s="4"/>
      <c r="B2172" s="14" t="s">
        <v>1752</v>
      </c>
      <c r="C2172" s="21">
        <f>(3)*(1)*(1)*(1)*(1 + (0))</f>
      </c>
      <c r="D2172" s="21" t="s">
        <v>170</v>
      </c>
      <c r="E2172" s="21"/>
      <c r="F2172" s="21">
        <f>C2172*E2172</f>
      </c>
    </row>
    <row r="2173">
      <c r="A2173" s="4"/>
      <c r="B2173" s="14" t="s">
        <v>1753</v>
      </c>
      <c r="C2173" s="21">
        <f>(1)*(1)*(1)*(1)*(1 + (0))</f>
      </c>
      <c r="D2173" s="21" t="s">
        <v>170</v>
      </c>
      <c r="E2173" s="21"/>
      <c r="F2173" s="21">
        <f>C2173*E2173</f>
      </c>
    </row>
    <row r="2174">
      <c r="A2174" s="3"/>
      <c r="B2174" s="11" t="s">
        <v>1733</v>
      </c>
      <c r="C2174" s="20"/>
      <c r="D2174" s="20"/>
      <c r="E2174" s="20"/>
      <c r="F2174" s="20"/>
    </row>
    <row r="2175">
      <c r="A2175" s="5"/>
      <c r="B2175" s="13" t="s">
        <v>1751</v>
      </c>
      <c r="C2175" s="22"/>
      <c r="D2175" s="22"/>
      <c r="E2175" s="22"/>
      <c r="F2175" s="22"/>
    </row>
    <row r="2176">
      <c r="A2176" s="4"/>
      <c r="B2176" s="14" t="s">
        <v>1754</v>
      </c>
      <c r="C2176" s="21">
        <f>(1)*(1)*(1)*(1)*(1 + (0))</f>
      </c>
      <c r="D2176" s="21" t="s">
        <v>170</v>
      </c>
      <c r="E2176" s="21"/>
      <c r="F2176" s="21">
        <f>C2176*E2176</f>
      </c>
    </row>
    <row r="2177">
      <c r="A2177" s="4"/>
      <c r="B2177" s="14" t="s">
        <v>1755</v>
      </c>
      <c r="C2177" s="21">
        <f>(1)*(1)*(1)*(1)*(1 + (0))</f>
      </c>
      <c r="D2177" s="21" t="s">
        <v>170</v>
      </c>
      <c r="E2177" s="21"/>
      <c r="F2177" s="21">
        <f>C2177*E2177</f>
      </c>
    </row>
    <row r="2178">
      <c r="A2178" s="4"/>
      <c r="B2178" s="14" t="s">
        <v>1756</v>
      </c>
      <c r="C2178" s="21">
        <f>(2)*(1)*(1)*(1)*(1 + (0))</f>
      </c>
      <c r="D2178" s="21" t="s">
        <v>170</v>
      </c>
      <c r="E2178" s="21"/>
      <c r="F2178" s="21">
        <f>C2178*E2178</f>
      </c>
    </row>
    <row r="2179">
      <c r="A2179" s="4"/>
      <c r="B2179" s="14" t="s">
        <v>1757</v>
      </c>
      <c r="C2179" s="21">
        <f>(1)*(1)*(1)*(1)*(1 + (0))</f>
      </c>
      <c r="D2179" s="21" t="s">
        <v>170</v>
      </c>
      <c r="E2179" s="21"/>
      <c r="F2179" s="21">
        <f>C2179*E2179</f>
      </c>
    </row>
    <row r="2180">
      <c r="A2180" s="4"/>
      <c r="B2180" s="14" t="s">
        <v>1758</v>
      </c>
      <c r="C2180" s="21">
        <f>(1)*(1)*(1)*(1)*(1 + (0))</f>
      </c>
      <c r="D2180" s="21" t="s">
        <v>170</v>
      </c>
      <c r="E2180" s="21"/>
      <c r="F2180" s="21">
        <f>C2180*E2180</f>
      </c>
    </row>
    <row r="2181">
      <c r="A2181" s="4"/>
      <c r="B2181" s="14" t="s">
        <v>1759</v>
      </c>
      <c r="C2181" s="21">
        <f>(1)*(1)*(1)*(1)*(1 + (0))</f>
      </c>
      <c r="D2181" s="21" t="s">
        <v>170</v>
      </c>
      <c r="E2181" s="21"/>
      <c r="F2181" s="21">
        <f>C2181*E2181</f>
      </c>
    </row>
    <row r="2182">
      <c r="A2182" s="4"/>
      <c r="B2182" s="14" t="s">
        <v>1760</v>
      </c>
      <c r="C2182" s="21">
        <f>(2)*(1)*(1)*(1)*(1 + (0))</f>
      </c>
      <c r="D2182" s="21" t="s">
        <v>170</v>
      </c>
      <c r="E2182" s="21"/>
      <c r="F2182" s="21">
        <f>C2182*E2182</f>
      </c>
    </row>
    <row r="2183">
      <c r="A2183" s="4"/>
      <c r="B2183" s="14" t="s">
        <v>1761</v>
      </c>
      <c r="C2183" s="21">
        <f>(1)*(1)*(1)*(1)*(1 + (0))</f>
      </c>
      <c r="D2183" s="21" t="s">
        <v>170</v>
      </c>
      <c r="E2183" s="21"/>
      <c r="F2183" s="21">
        <f>C2183*E2183</f>
      </c>
    </row>
    <row r="2184">
      <c r="A2184" s="4"/>
      <c r="B2184" s="14" t="s">
        <v>1762</v>
      </c>
      <c r="C2184" s="21">
        <f>(1)*(1)*(1)*(1)*(1 + (0))</f>
      </c>
      <c r="D2184" s="21" t="s">
        <v>170</v>
      </c>
      <c r="E2184" s="21"/>
      <c r="F2184" s="21">
        <f>C2184*E2184</f>
      </c>
    </row>
    <row r="2185">
      <c r="A2185" s="4"/>
      <c r="B2185" s="14" t="s">
        <v>1763</v>
      </c>
      <c r="C2185" s="21">
        <f>(2)*(1)*(1)*(1)*(1 + (0))</f>
      </c>
      <c r="D2185" s="21" t="s">
        <v>170</v>
      </c>
      <c r="E2185" s="21"/>
      <c r="F2185" s="21">
        <f>C2185*E2185</f>
      </c>
    </row>
    <row r="2186">
      <c r="A2186" s="4"/>
      <c r="B2186" s="14" t="s">
        <v>1764</v>
      </c>
      <c r="C2186" s="21">
        <f>(2)*(1)*(1)*(1)*(1 + (0))</f>
      </c>
      <c r="D2186" s="21" t="s">
        <v>170</v>
      </c>
      <c r="E2186" s="21"/>
      <c r="F2186" s="21">
        <f>C2186*E2186</f>
      </c>
    </row>
    <row r="2187">
      <c r="A2187" s="2"/>
      <c r="B2187" s="10" t="s">
        <v>1765</v>
      </c>
      <c r="C2187" s="19"/>
      <c r="D2187" s="19"/>
      <c r="E2187" s="19"/>
      <c r="F2187" s="19"/>
    </row>
    <row r="2188">
      <c r="A2188" s="3"/>
      <c r="B2188" s="11" t="s">
        <v>14</v>
      </c>
      <c r="C2188" s="20"/>
      <c r="D2188" s="20"/>
      <c r="E2188" s="20"/>
      <c r="F2188" s="20"/>
    </row>
    <row r="2189">
      <c r="A2189" s="4" t="s">
        <v>1766</v>
      </c>
      <c r="B2189" s="12" t="s">
        <v>16</v>
      </c>
      <c r="C2189" s="21"/>
      <c r="D2189" s="21" t="s">
        <v>17</v>
      </c>
      <c r="E2189" s="21"/>
      <c r="F2189" s="21">
        <f>C2189*E2189</f>
      </c>
    </row>
    <row r="2190">
      <c r="A2190" s="4" t="s">
        <v>1767</v>
      </c>
      <c r="B2190" s="12" t="s">
        <v>19</v>
      </c>
      <c r="C2190" s="21"/>
      <c r="D2190" s="21" t="s">
        <v>17</v>
      </c>
      <c r="E2190" s="21"/>
      <c r="F2190" s="21">
        <f>C2190*E2190</f>
      </c>
    </row>
    <row r="2191">
      <c r="A2191" s="3"/>
      <c r="B2191" s="11" t="s">
        <v>22</v>
      </c>
      <c r="C2191" s="20"/>
      <c r="D2191" s="20"/>
      <c r="E2191" s="20"/>
      <c r="F2191" s="20"/>
    </row>
    <row r="2192">
      <c r="A2192" s="4"/>
      <c r="B2192" s="12" t="s">
        <v>1768</v>
      </c>
      <c r="C2192" s="21"/>
      <c r="D2192" s="21" t="s">
        <v>17</v>
      </c>
      <c r="E2192" s="21"/>
      <c r="F2192" s="21">
        <f>C2192*E2192</f>
      </c>
    </row>
    <row r="2193">
      <c r="A2193" s="4"/>
      <c r="B2193" s="12" t="s">
        <v>1769</v>
      </c>
      <c r="C2193" s="21"/>
      <c r="D2193" s="21" t="s">
        <v>17</v>
      </c>
      <c r="E2193" s="21"/>
      <c r="F2193" s="21">
        <f>C2193*E2193</f>
      </c>
    </row>
    <row r="2194">
      <c r="A2194" s="3"/>
      <c r="B2194" s="11" t="s">
        <v>24</v>
      </c>
      <c r="C2194" s="20"/>
      <c r="D2194" s="20"/>
      <c r="E2194" s="20"/>
      <c r="F2194" s="20"/>
    </row>
    <row r="2195">
      <c r="A2195" s="5"/>
      <c r="B2195" s="13" t="s">
        <v>25</v>
      </c>
      <c r="C2195" s="22"/>
      <c r="D2195" s="22"/>
      <c r="E2195" s="22"/>
      <c r="F2195" s="22"/>
    </row>
    <row r="2196">
      <c r="A2196" s="4" t="s">
        <v>1770</v>
      </c>
      <c r="B2196" s="14" t="s">
        <v>1771</v>
      </c>
      <c r="C2196" s="21"/>
      <c r="D2196" s="21" t="s">
        <v>17</v>
      </c>
      <c r="E2196" s="21"/>
      <c r="F2196" s="21">
        <f>C2196*E2196</f>
      </c>
    </row>
    <row r="2197">
      <c r="A2197" s="4" t="s">
        <v>1772</v>
      </c>
      <c r="B2197" s="14" t="s">
        <v>1773</v>
      </c>
      <c r="C2197" s="21"/>
      <c r="D2197" s="21" t="s">
        <v>17</v>
      </c>
      <c r="E2197" s="21"/>
      <c r="F2197" s="21">
        <f>C2197*E2197</f>
      </c>
    </row>
    <row r="2198">
      <c r="A2198" s="4" t="s">
        <v>1774</v>
      </c>
      <c r="B2198" s="14" t="s">
        <v>1011</v>
      </c>
      <c r="C2198" s="21"/>
      <c r="D2198" s="21" t="s">
        <v>17</v>
      </c>
      <c r="E2198" s="21"/>
      <c r="F2198" s="21">
        <f>C2198*E2198</f>
      </c>
    </row>
    <row r="2199">
      <c r="A2199" s="4" t="s">
        <v>1775</v>
      </c>
      <c r="B2199" s="14" t="s">
        <v>194</v>
      </c>
      <c r="C2199" s="21"/>
      <c r="D2199" s="21" t="s">
        <v>17</v>
      </c>
      <c r="E2199" s="21"/>
      <c r="F2199" s="21">
        <f>C2199*E2199</f>
      </c>
    </row>
    <row r="2200">
      <c r="A2200" s="3"/>
      <c r="B2200" s="11" t="s">
        <v>42</v>
      </c>
      <c r="C2200" s="20"/>
      <c r="D2200" s="20"/>
      <c r="E2200" s="20"/>
      <c r="F2200" s="20"/>
    </row>
    <row r="2201">
      <c r="A2201" s="4" t="s">
        <v>1776</v>
      </c>
      <c r="B2201" s="12" t="s">
        <v>59</v>
      </c>
      <c r="C2201" s="21">
        <f>(1)*(1)*(1)*(1)*(1 + (0))</f>
      </c>
      <c r="D2201" s="21" t="s">
        <v>45</v>
      </c>
      <c r="E2201" s="21"/>
      <c r="F2201" s="21">
        <f>C2201*E2201</f>
      </c>
    </row>
    <row r="2202">
      <c r="A2202" s="4" t="s">
        <v>1777</v>
      </c>
      <c r="B2202" s="12" t="s">
        <v>251</v>
      </c>
      <c r="C2202" s="21">
        <f>(1)*(1)*(1)*(1)*(1 + (0))</f>
      </c>
      <c r="D2202" s="21" t="s">
        <v>45</v>
      </c>
      <c r="E2202" s="21"/>
      <c r="F2202" s="21">
        <f>C2202*E2202</f>
      </c>
    </row>
    <row r="2203">
      <c r="A2203" s="4" t="s">
        <v>1778</v>
      </c>
      <c r="B2203" s="12" t="s">
        <v>207</v>
      </c>
      <c r="C2203" s="21">
        <f>(1)*(1)*(1)*(1)*(1 + (0))</f>
      </c>
      <c r="D2203" s="21" t="s">
        <v>45</v>
      </c>
      <c r="E2203" s="21"/>
      <c r="F2203" s="21">
        <f>C2203*E2203</f>
      </c>
    </row>
    <row r="2204">
      <c r="A2204" s="4" t="s">
        <v>1779</v>
      </c>
      <c r="B2204" s="12" t="s">
        <v>1183</v>
      </c>
      <c r="C2204" s="21">
        <f>(1)*(1)*(1)*(1)*(1 + (0))</f>
      </c>
      <c r="D2204" s="21" t="s">
        <v>45</v>
      </c>
      <c r="E2204" s="21"/>
      <c r="F2204" s="21">
        <f>C2204*E2204</f>
      </c>
    </row>
    <row r="2205">
      <c r="A2205" s="4" t="s">
        <v>1780</v>
      </c>
      <c r="B2205" s="12" t="s">
        <v>832</v>
      </c>
      <c r="C2205" s="21">
        <f>(1)*(1)*(1)*(1)*(1 + (0))</f>
      </c>
      <c r="D2205" s="21" t="s">
        <v>45</v>
      </c>
      <c r="E2205" s="21"/>
      <c r="F2205" s="21">
        <f>C2205*E2205</f>
      </c>
    </row>
    <row r="2206">
      <c r="A2206" s="4" t="s">
        <v>1781</v>
      </c>
      <c r="B2206" s="12" t="s">
        <v>1782</v>
      </c>
      <c r="C2206" s="21">
        <f>(1)*(1)*(1)*(1)*(1 + (0))</f>
      </c>
      <c r="D2206" s="21" t="s">
        <v>45</v>
      </c>
      <c r="E2206" s="21"/>
      <c r="F2206" s="21">
        <f>C2206*E2206</f>
      </c>
    </row>
    <row r="2207">
      <c r="A2207" s="3"/>
      <c r="B2207" s="11" t="s">
        <v>1783</v>
      </c>
      <c r="C2207" s="20"/>
      <c r="D2207" s="20"/>
      <c r="E2207" s="20"/>
      <c r="F2207" s="20"/>
    </row>
    <row r="2208">
      <c r="A2208" s="5"/>
      <c r="B2208" s="13" t="s">
        <v>1784</v>
      </c>
      <c r="C2208" s="22"/>
      <c r="D2208" s="22"/>
      <c r="E2208" s="22"/>
      <c r="F2208" s="22"/>
    </row>
    <row r="2209">
      <c r="A2209" s="4"/>
      <c r="B2209" s="14" t="s">
        <v>1785</v>
      </c>
      <c r="C2209" s="21">
        <f>(1)*(1)*(1)*(1)*(1 + (0))</f>
      </c>
      <c r="D2209" s="21" t="s">
        <v>170</v>
      </c>
      <c r="E2209" s="21"/>
      <c r="F2209" s="21">
        <f>C2209*E2209</f>
      </c>
    </row>
    <row r="2210">
      <c r="A2210" s="4"/>
      <c r="B2210" s="14" t="s">
        <v>1786</v>
      </c>
      <c r="C2210" s="21">
        <f>(1)*(1)*(1)*(1)*(1 + (0))</f>
      </c>
      <c r="D2210" s="21" t="s">
        <v>170</v>
      </c>
      <c r="E2210" s="21"/>
      <c r="F2210" s="21">
        <f>C2210*E2210</f>
      </c>
    </row>
    <row r="2211">
      <c r="A2211" s="5"/>
      <c r="B2211" s="13" t="s">
        <v>1787</v>
      </c>
      <c r="C2211" s="22"/>
      <c r="D2211" s="22"/>
      <c r="E2211" s="22"/>
      <c r="F2211" s="22"/>
    </row>
    <row r="2212">
      <c r="A2212" s="4"/>
      <c r="B2212" s="14" t="s">
        <v>1786</v>
      </c>
      <c r="C2212" s="21">
        <f>(1)*(1)*(1)*(1)*(1 + (0))</f>
      </c>
      <c r="D2212" s="21" t="s">
        <v>170</v>
      </c>
      <c r="E2212" s="21"/>
      <c r="F2212" s="21">
        <f>C2212*E2212</f>
      </c>
    </row>
    <row r="2213">
      <c r="A2213" s="5"/>
      <c r="B2213" s="13" t="s">
        <v>1788</v>
      </c>
      <c r="C2213" s="22"/>
      <c r="D2213" s="22"/>
      <c r="E2213" s="22"/>
      <c r="F2213" s="22"/>
    </row>
    <row r="2214">
      <c r="A2214" s="4"/>
      <c r="B2214" s="14" t="s">
        <v>1786</v>
      </c>
      <c r="C2214" s="21">
        <f>(1)*(1)*(1)*(1)*(1 + (0))</f>
      </c>
      <c r="D2214" s="21" t="s">
        <v>170</v>
      </c>
      <c r="E2214" s="21"/>
      <c r="F2214" s="21">
        <f>C2214*E2214</f>
      </c>
    </row>
    <row r="2215">
      <c r="A2215" s="5"/>
      <c r="B2215" s="13" t="s">
        <v>1789</v>
      </c>
      <c r="C2215" s="22"/>
      <c r="D2215" s="22"/>
      <c r="E2215" s="22"/>
      <c r="F2215" s="22"/>
    </row>
    <row r="2216">
      <c r="A2216" s="4"/>
      <c r="B2216" s="14" t="s">
        <v>1785</v>
      </c>
      <c r="C2216" s="21">
        <f>(2)*(1)*(1)*(1)*(1 + (0))</f>
      </c>
      <c r="D2216" s="21" t="s">
        <v>170</v>
      </c>
      <c r="E2216" s="21"/>
      <c r="F2216" s="21">
        <f>C2216*E2216</f>
      </c>
    </row>
    <row r="2217">
      <c r="A2217" s="4"/>
      <c r="B2217" s="14" t="s">
        <v>1786</v>
      </c>
      <c r="C2217" s="21">
        <f>(1)*(1)*(1)*(1)*(1 + (0))</f>
      </c>
      <c r="D2217" s="21" t="s">
        <v>170</v>
      </c>
      <c r="E2217" s="21"/>
      <c r="F2217" s="21">
        <f>C2217*E2217</f>
      </c>
    </row>
    <row r="2218">
      <c r="A2218" s="5"/>
      <c r="B2218" s="13" t="s">
        <v>1790</v>
      </c>
      <c r="C2218" s="22"/>
      <c r="D2218" s="22"/>
      <c r="E2218" s="22"/>
      <c r="F2218" s="22"/>
    </row>
    <row r="2219">
      <c r="A2219" s="4"/>
      <c r="B2219" s="14" t="s">
        <v>1785</v>
      </c>
      <c r="C2219" s="21">
        <f>(2)*(1)*(1)*(1)*(1 + (0))</f>
      </c>
      <c r="D2219" s="21" t="s">
        <v>170</v>
      </c>
      <c r="E2219" s="21"/>
      <c r="F2219" s="21">
        <f>C2219*E2219</f>
      </c>
    </row>
    <row r="2220">
      <c r="A2220" s="4"/>
      <c r="B2220" s="14" t="s">
        <v>1786</v>
      </c>
      <c r="C2220" s="21">
        <f>(1)*(1)*(1)*(1)*(1 + (0))</f>
      </c>
      <c r="D2220" s="21" t="s">
        <v>170</v>
      </c>
      <c r="E2220" s="21"/>
      <c r="F2220" s="21">
        <f>C2220*E2220</f>
      </c>
    </row>
    <row r="2221">
      <c r="A2221" s="5"/>
      <c r="B2221" s="13" t="s">
        <v>1791</v>
      </c>
      <c r="C2221" s="22"/>
      <c r="D2221" s="22"/>
      <c r="E2221" s="22"/>
      <c r="F2221" s="22"/>
    </row>
    <row r="2222">
      <c r="A2222" s="4"/>
      <c r="B2222" s="14" t="s">
        <v>1785</v>
      </c>
      <c r="C2222" s="21">
        <f>(1)*(1)*(1)*(1)*(1 + (0))</f>
      </c>
      <c r="D2222" s="21" t="s">
        <v>170</v>
      </c>
      <c r="E2222" s="21"/>
      <c r="F2222" s="21">
        <f>C2222*E2222</f>
      </c>
    </row>
    <row r="2223">
      <c r="A2223" s="5"/>
      <c r="B2223" s="13" t="s">
        <v>1792</v>
      </c>
      <c r="C2223" s="22"/>
      <c r="D2223" s="22"/>
      <c r="E2223" s="22"/>
      <c r="F2223" s="22"/>
    </row>
    <row r="2224">
      <c r="A2224" s="4"/>
      <c r="B2224" s="14" t="s">
        <v>1785</v>
      </c>
      <c r="C2224" s="21">
        <f>(1)*(1)*(1)*(1)*(1 + (0))</f>
      </c>
      <c r="D2224" s="21" t="s">
        <v>170</v>
      </c>
      <c r="E2224" s="21"/>
      <c r="F2224" s="21">
        <f>C2224*E2224</f>
      </c>
    </row>
    <row r="2225">
      <c r="A2225" s="5"/>
      <c r="B2225" s="13" t="s">
        <v>1793</v>
      </c>
      <c r="C2225" s="22"/>
      <c r="D2225" s="22"/>
      <c r="E2225" s="22"/>
      <c r="F2225" s="22"/>
    </row>
    <row r="2226">
      <c r="A2226" s="4"/>
      <c r="B2226" s="14" t="s">
        <v>1785</v>
      </c>
      <c r="C2226" s="21">
        <f>(1)*(1)*(1)*(1)*(1 + (0))</f>
      </c>
      <c r="D2226" s="21" t="s">
        <v>170</v>
      </c>
      <c r="E2226" s="21"/>
      <c r="F2226" s="21">
        <f>C2226*E2226</f>
      </c>
    </row>
    <row r="2227">
      <c r="A2227" s="5"/>
      <c r="B2227" s="13" t="s">
        <v>1794</v>
      </c>
      <c r="C2227" s="22"/>
      <c r="D2227" s="22"/>
      <c r="E2227" s="22"/>
      <c r="F2227" s="22"/>
    </row>
    <row r="2228">
      <c r="A2228" s="4"/>
      <c r="B2228" s="14" t="s">
        <v>1785</v>
      </c>
      <c r="C2228" s="21">
        <f>(2)*(1)*(1)*(1)*(1 + (0))</f>
      </c>
      <c r="D2228" s="21" t="s">
        <v>170</v>
      </c>
      <c r="E2228" s="21"/>
      <c r="F2228" s="21">
        <f>C2228*E2228</f>
      </c>
    </row>
    <row r="2229">
      <c r="A2229" s="5"/>
      <c r="B2229" s="13" t="s">
        <v>1795</v>
      </c>
      <c r="C2229" s="22"/>
      <c r="D2229" s="22"/>
      <c r="E2229" s="22"/>
      <c r="F2229" s="22"/>
    </row>
    <row r="2230">
      <c r="A2230" s="4"/>
      <c r="B2230" s="14" t="s">
        <v>1785</v>
      </c>
      <c r="C2230" s="21">
        <f>(1)*(1)*(1)*(1)*(1 + (0))</f>
      </c>
      <c r="D2230" s="21" t="s">
        <v>170</v>
      </c>
      <c r="E2230" s="21"/>
      <c r="F2230" s="21">
        <f>C2230*E2230</f>
      </c>
    </row>
    <row r="2231">
      <c r="A2231" s="5"/>
      <c r="B2231" s="13" t="s">
        <v>1796</v>
      </c>
      <c r="C2231" s="22"/>
      <c r="D2231" s="22"/>
      <c r="E2231" s="22"/>
      <c r="F2231" s="22"/>
    </row>
    <row r="2232">
      <c r="A2232" s="4"/>
      <c r="B2232" s="14" t="s">
        <v>1785</v>
      </c>
      <c r="C2232" s="21">
        <f>(1)*(1)*(1)*(1)*(1 + (0))</f>
      </c>
      <c r="D2232" s="21" t="s">
        <v>170</v>
      </c>
      <c r="E2232" s="21"/>
      <c r="F2232" s="21">
        <f>C2232*E2232</f>
      </c>
    </row>
    <row r="2233">
      <c r="A2233" s="5"/>
      <c r="B2233" s="13" t="s">
        <v>1797</v>
      </c>
      <c r="C2233" s="22"/>
      <c r="D2233" s="22"/>
      <c r="E2233" s="22"/>
      <c r="F2233" s="22"/>
    </row>
    <row r="2234">
      <c r="A2234" s="4"/>
      <c r="B2234" s="14" t="s">
        <v>1785</v>
      </c>
      <c r="C2234" s="21">
        <f>(1)*(1)*(1)*(1)*(1 + (0))</f>
      </c>
      <c r="D2234" s="21" t="s">
        <v>170</v>
      </c>
      <c r="E2234" s="21"/>
      <c r="F2234" s="21">
        <f>C2234*E2234</f>
      </c>
    </row>
    <row r="2235">
      <c r="A2235" s="4"/>
      <c r="B2235" s="14" t="s">
        <v>1786</v>
      </c>
      <c r="C2235" s="21">
        <f>(1)*(1)*(1)*(1)*(1 + (0))</f>
      </c>
      <c r="D2235" s="21" t="s">
        <v>170</v>
      </c>
      <c r="E2235" s="21"/>
      <c r="F2235" s="21">
        <f>C2235*E2235</f>
      </c>
    </row>
    <row r="2236">
      <c r="A2236" s="5"/>
      <c r="B2236" s="13" t="s">
        <v>1798</v>
      </c>
      <c r="C2236" s="22"/>
      <c r="D2236" s="22"/>
      <c r="E2236" s="22"/>
      <c r="F2236" s="22"/>
    </row>
    <row r="2237">
      <c r="A2237" s="4"/>
      <c r="B2237" s="14" t="s">
        <v>1785</v>
      </c>
      <c r="C2237" s="21">
        <f>(2)*(1)*(1)*(1)*(1 + (0))</f>
      </c>
      <c r="D2237" s="21" t="s">
        <v>170</v>
      </c>
      <c r="E2237" s="21"/>
      <c r="F2237" s="21">
        <f>C2237*E2237</f>
      </c>
    </row>
    <row r="2238">
      <c r="A2238" s="4"/>
      <c r="B2238" s="14" t="s">
        <v>1786</v>
      </c>
      <c r="C2238" s="21">
        <f>(1)*(1)*(1)*(1)*(1 + (0))</f>
      </c>
      <c r="D2238" s="21" t="s">
        <v>170</v>
      </c>
      <c r="E2238" s="21"/>
      <c r="F2238" s="21">
        <f>C2238*E2238</f>
      </c>
    </row>
    <row r="2239">
      <c r="A2239" s="5"/>
      <c r="B2239" s="13" t="s">
        <v>1799</v>
      </c>
      <c r="C2239" s="22"/>
      <c r="D2239" s="22"/>
      <c r="E2239" s="22"/>
      <c r="F2239" s="22"/>
    </row>
    <row r="2240">
      <c r="A2240" s="4"/>
      <c r="B2240" s="14" t="s">
        <v>1800</v>
      </c>
      <c r="C2240" s="21">
        <f>(1)*(1)*(1)*(1)*(1 + (0))</f>
      </c>
      <c r="D2240" s="21" t="s">
        <v>45</v>
      </c>
      <c r="E2240" s="21"/>
      <c r="F2240" s="21">
        <f>C2240*E2240</f>
      </c>
    </row>
    <row r="2241">
      <c r="A2241" s="3"/>
      <c r="B2241" s="11" t="s">
        <v>1801</v>
      </c>
      <c r="C2241" s="20"/>
      <c r="D2241" s="20"/>
      <c r="E2241" s="20"/>
      <c r="F2241" s="20"/>
    </row>
    <row r="2242">
      <c r="A2242" s="5"/>
      <c r="B2242" s="13" t="s">
        <v>1802</v>
      </c>
      <c r="C2242" s="22"/>
      <c r="D2242" s="22"/>
      <c r="E2242" s="22"/>
      <c r="F2242" s="22"/>
    </row>
    <row r="2243">
      <c r="A2243" s="4"/>
      <c r="B2243" s="14" t="s">
        <v>1803</v>
      </c>
      <c r="C2243" s="21"/>
      <c r="D2243" s="21"/>
      <c r="E2243" s="21"/>
      <c r="F2243" s="21">
        <f>C2243*E2243</f>
      </c>
    </row>
    <row r="2244">
      <c r="A2244" s="4"/>
      <c r="B2244" s="14" t="s">
        <v>1804</v>
      </c>
      <c r="C2244" s="21"/>
      <c r="D2244" s="21"/>
      <c r="E2244" s="21"/>
      <c r="F2244" s="21">
        <f>C2244*E2244</f>
      </c>
    </row>
    <row r="2245">
      <c r="A2245" s="2"/>
      <c r="B2245" s="10" t="s">
        <v>1805</v>
      </c>
      <c r="C2245" s="19"/>
      <c r="D2245" s="19"/>
      <c r="E2245" s="19"/>
      <c r="F2245" s="19"/>
    </row>
    <row r="2246">
      <c r="A2246" s="3"/>
      <c r="B2246" s="11" t="s">
        <v>14</v>
      </c>
      <c r="C2246" s="20"/>
      <c r="D2246" s="20"/>
      <c r="E2246" s="20"/>
      <c r="F2246" s="20"/>
    </row>
    <row r="2247">
      <c r="A2247" s="4" t="s">
        <v>1806</v>
      </c>
      <c r="B2247" s="12" t="s">
        <v>16</v>
      </c>
      <c r="C2247" s="21"/>
      <c r="D2247" s="21" t="s">
        <v>17</v>
      </c>
      <c r="E2247" s="21"/>
      <c r="F2247" s="21">
        <f>C2247*E2247</f>
      </c>
    </row>
    <row r="2248">
      <c r="A2248" s="4" t="s">
        <v>1807</v>
      </c>
      <c r="B2248" s="12" t="s">
        <v>19</v>
      </c>
      <c r="C2248" s="21"/>
      <c r="D2248" s="21" t="s">
        <v>17</v>
      </c>
      <c r="E2248" s="21"/>
      <c r="F2248" s="21">
        <f>C2248*E2248</f>
      </c>
    </row>
    <row r="2249">
      <c r="A2249" s="3"/>
      <c r="B2249" s="11" t="s">
        <v>22</v>
      </c>
      <c r="C2249" s="20"/>
      <c r="D2249" s="20"/>
      <c r="E2249" s="20"/>
      <c r="F2249" s="20"/>
    </row>
    <row r="2250">
      <c r="A2250" s="4"/>
      <c r="B2250" s="12" t="s">
        <v>1808</v>
      </c>
      <c r="C2250" s="21"/>
      <c r="D2250" s="21" t="s">
        <v>17</v>
      </c>
      <c r="E2250" s="21"/>
      <c r="F2250" s="21">
        <f>C2250*E2250</f>
      </c>
    </row>
    <row r="2251">
      <c r="A2251" s="4"/>
      <c r="B2251" s="12" t="s">
        <v>1809</v>
      </c>
      <c r="C2251" s="21"/>
      <c r="D2251" s="21" t="s">
        <v>17</v>
      </c>
      <c r="E2251" s="21"/>
      <c r="F2251" s="21">
        <f>C2251*E2251</f>
      </c>
    </row>
    <row r="2252">
      <c r="A2252" s="3"/>
      <c r="B2252" s="11" t="s">
        <v>24</v>
      </c>
      <c r="C2252" s="20"/>
      <c r="D2252" s="20"/>
      <c r="E2252" s="20"/>
      <c r="F2252" s="20"/>
    </row>
    <row r="2253">
      <c r="A2253" s="5"/>
      <c r="B2253" s="13" t="s">
        <v>25</v>
      </c>
      <c r="C2253" s="22"/>
      <c r="D2253" s="22"/>
      <c r="E2253" s="22"/>
      <c r="F2253" s="22"/>
    </row>
    <row r="2254">
      <c r="A2254" s="4" t="s">
        <v>1810</v>
      </c>
      <c r="B2254" s="14" t="s">
        <v>1297</v>
      </c>
      <c r="C2254" s="21"/>
      <c r="D2254" s="21" t="s">
        <v>17</v>
      </c>
      <c r="E2254" s="21"/>
      <c r="F2254" s="21">
        <f>C2254*E2254</f>
      </c>
    </row>
    <row r="2255">
      <c r="A2255" s="4" t="s">
        <v>1811</v>
      </c>
      <c r="B2255" s="14" t="s">
        <v>1298</v>
      </c>
      <c r="C2255" s="21"/>
      <c r="D2255" s="21" t="s">
        <v>17</v>
      </c>
      <c r="E2255" s="21"/>
      <c r="F2255" s="21">
        <f>C2255*E2255</f>
      </c>
    </row>
    <row r="2256">
      <c r="A2256" s="4" t="s">
        <v>1812</v>
      </c>
      <c r="B2256" s="14" t="s">
        <v>1137</v>
      </c>
      <c r="C2256" s="21"/>
      <c r="D2256" s="21" t="s">
        <v>17</v>
      </c>
      <c r="E2256" s="21"/>
      <c r="F2256" s="21">
        <f>C2256*E2256</f>
      </c>
    </row>
    <row r="2257">
      <c r="A2257" s="4" t="s">
        <v>1813</v>
      </c>
      <c r="B2257" s="14" t="s">
        <v>1814</v>
      </c>
      <c r="C2257" s="21"/>
      <c r="D2257" s="21" t="s">
        <v>17</v>
      </c>
      <c r="E2257" s="21"/>
      <c r="F2257" s="21">
        <f>C2257*E2257</f>
      </c>
    </row>
    <row r="2258">
      <c r="A2258" s="4" t="s">
        <v>1815</v>
      </c>
      <c r="B2258" s="14" t="s">
        <v>1816</v>
      </c>
      <c r="C2258" s="21"/>
      <c r="D2258" s="21" t="s">
        <v>17</v>
      </c>
      <c r="E2258" s="21"/>
      <c r="F2258" s="21">
        <f>C2258*E2258</f>
      </c>
    </row>
    <row r="2259">
      <c r="A2259" s="4" t="s">
        <v>1817</v>
      </c>
      <c r="B2259" s="14" t="s">
        <v>194</v>
      </c>
      <c r="C2259" s="21"/>
      <c r="D2259" s="21" t="s">
        <v>17</v>
      </c>
      <c r="E2259" s="21"/>
      <c r="F2259" s="21">
        <f>C2259*E2259</f>
      </c>
    </row>
    <row r="2260">
      <c r="A2260" s="3"/>
      <c r="B2260" s="11" t="s">
        <v>42</v>
      </c>
      <c r="C2260" s="20"/>
      <c r="D2260" s="20"/>
      <c r="E2260" s="20"/>
      <c r="F2260" s="20"/>
    </row>
    <row r="2261">
      <c r="A2261" s="4" t="s">
        <v>1818</v>
      </c>
      <c r="B2261" s="12" t="s">
        <v>59</v>
      </c>
      <c r="C2261" s="21">
        <f>(1)*(1)*(1)*(1)*(1 + (0))</f>
      </c>
      <c r="D2261" s="21" t="s">
        <v>45</v>
      </c>
      <c r="E2261" s="21"/>
      <c r="F2261" s="21">
        <f>C2261*E2261</f>
      </c>
    </row>
    <row r="2262">
      <c r="A2262" s="4" t="s">
        <v>1819</v>
      </c>
      <c r="B2262" s="12" t="s">
        <v>1476</v>
      </c>
      <c r="C2262" s="21">
        <f>(1)*(1)*(1)*(1)*(1 + (0))</f>
      </c>
      <c r="D2262" s="21" t="s">
        <v>45</v>
      </c>
      <c r="E2262" s="21"/>
      <c r="F2262" s="21">
        <f>C2262*E2262</f>
      </c>
    </row>
    <row r="2263">
      <c r="A2263" s="4" t="s">
        <v>1820</v>
      </c>
      <c r="B2263" s="12" t="s">
        <v>1821</v>
      </c>
      <c r="C2263" s="21">
        <f>(1)*(1)*(1)*(1)*(1 + (0))</f>
      </c>
      <c r="D2263" s="21" t="s">
        <v>45</v>
      </c>
      <c r="E2263" s="21"/>
      <c r="F2263" s="21">
        <f>C2263*E2263</f>
      </c>
    </row>
    <row r="2264">
      <c r="A2264" s="4" t="s">
        <v>1822</v>
      </c>
      <c r="B2264" s="12" t="s">
        <v>1531</v>
      </c>
      <c r="C2264" s="21">
        <f>(1)*(1)*(1)*(1)*(1 + (0))</f>
      </c>
      <c r="D2264" s="21" t="s">
        <v>45</v>
      </c>
      <c r="E2264" s="21"/>
      <c r="F2264" s="21">
        <f>C2264*E2264</f>
      </c>
    </row>
    <row r="2265">
      <c r="A2265" s="4" t="s">
        <v>1823</v>
      </c>
      <c r="B2265" s="12" t="s">
        <v>1019</v>
      </c>
      <c r="C2265" s="21">
        <f>(1)*(1)*(1)*(1)*(1 + (0))</f>
      </c>
      <c r="D2265" s="21" t="s">
        <v>45</v>
      </c>
      <c r="E2265" s="21"/>
      <c r="F2265" s="21">
        <f>C2265*E2265</f>
      </c>
    </row>
    <row r="2266">
      <c r="A2266" s="4" t="s">
        <v>1824</v>
      </c>
      <c r="B2266" s="12" t="s">
        <v>832</v>
      </c>
      <c r="C2266" s="21">
        <f>(1)*(1)*(1)*(1)*(1 + (0))</f>
      </c>
      <c r="D2266" s="21" t="s">
        <v>45</v>
      </c>
      <c r="E2266" s="21"/>
      <c r="F2266" s="21">
        <f>C2266*E2266</f>
      </c>
    </row>
    <row r="2267">
      <c r="A2267" s="3"/>
      <c r="B2267" s="11" t="s">
        <v>1825</v>
      </c>
      <c r="C2267" s="20"/>
      <c r="D2267" s="20"/>
      <c r="E2267" s="20"/>
      <c r="F2267" s="20"/>
    </row>
    <row r="2268">
      <c r="A2268" s="4"/>
      <c r="B2268" s="12" t="s">
        <v>1826</v>
      </c>
      <c r="C2268" s="21"/>
      <c r="D2268" s="21" t="s">
        <v>1035</v>
      </c>
      <c r="E2268" s="21"/>
      <c r="F2268" s="21">
        <f>C2268*E2268</f>
      </c>
    </row>
    <row r="2269">
      <c r="A2269" s="4"/>
      <c r="B2269" s="12" t="s">
        <v>1827</v>
      </c>
      <c r="C2269" s="21"/>
      <c r="D2269" s="21" t="s">
        <v>1035</v>
      </c>
      <c r="E2269" s="21"/>
      <c r="F2269" s="21">
        <f>C2269*E2269</f>
      </c>
    </row>
    <row r="2270">
      <c r="A2270" s="4"/>
      <c r="B2270" s="12" t="s">
        <v>1828</v>
      </c>
      <c r="C2270" s="21"/>
      <c r="D2270" s="21" t="s">
        <v>1035</v>
      </c>
      <c r="E2270" s="21"/>
      <c r="F2270" s="21">
        <f>C2270*E2270</f>
      </c>
    </row>
    <row r="2271">
      <c r="A2271" s="4"/>
      <c r="B2271" s="12" t="s">
        <v>1829</v>
      </c>
      <c r="C2271" s="21"/>
      <c r="D2271" s="21" t="s">
        <v>1035</v>
      </c>
      <c r="E2271" s="21"/>
      <c r="F2271" s="21">
        <f>C2271*E2271</f>
      </c>
    </row>
    <row r="2272">
      <c r="A2272" s="3"/>
      <c r="B2272" s="11" t="s">
        <v>1830</v>
      </c>
      <c r="C2272" s="20"/>
      <c r="D2272" s="20"/>
      <c r="E2272" s="20"/>
      <c r="F2272" s="20"/>
    </row>
    <row r="2273">
      <c r="A2273" s="4"/>
      <c r="B2273" s="12" t="s">
        <v>1831</v>
      </c>
      <c r="C2273" s="21">
        <f>(6)*(1)*(1)*(1)*(1 + (0))</f>
      </c>
      <c r="D2273" s="21" t="s">
        <v>170</v>
      </c>
      <c r="E2273" s="21"/>
      <c r="F2273" s="21">
        <f>C2273*E2273</f>
      </c>
    </row>
    <row r="2274">
      <c r="A2274" s="4"/>
      <c r="B2274" s="12" t="s">
        <v>1832</v>
      </c>
      <c r="C2274" s="21">
        <f>(1)*(1)*(1)*(1)*(1 + (0))</f>
      </c>
      <c r="D2274" s="21" t="s">
        <v>170</v>
      </c>
      <c r="E2274" s="21"/>
      <c r="F2274" s="21">
        <f>C2274*E2274</f>
      </c>
    </row>
    <row r="2275">
      <c r="A2275" s="4"/>
      <c r="B2275" s="12" t="s">
        <v>1833</v>
      </c>
      <c r="C2275" s="21">
        <f>(1)*(1)*(1)*(1)*(1 + (0))</f>
      </c>
      <c r="D2275" s="21" t="s">
        <v>170</v>
      </c>
      <c r="E2275" s="21"/>
      <c r="F2275" s="21">
        <f>C2275*E2275</f>
      </c>
    </row>
    <row r="2276">
      <c r="A2276" s="4"/>
      <c r="B2276" s="12" t="s">
        <v>1834</v>
      </c>
      <c r="C2276" s="21">
        <f>(1)*(1)*(1)*(1)*(1 + (0))</f>
      </c>
      <c r="D2276" s="21" t="s">
        <v>170</v>
      </c>
      <c r="E2276" s="21"/>
      <c r="F2276" s="21">
        <f>C2276*E2276</f>
      </c>
    </row>
    <row r="2277">
      <c r="A2277" s="4"/>
      <c r="B2277" s="12" t="s">
        <v>1835</v>
      </c>
      <c r="C2277" s="21">
        <f>(1)*(1)*(1)*(1)*(1 + (0))</f>
      </c>
      <c r="D2277" s="21" t="s">
        <v>170</v>
      </c>
      <c r="E2277" s="21"/>
      <c r="F2277" s="21">
        <f>C2277*E2277</f>
      </c>
    </row>
    <row r="2278">
      <c r="A2278" s="4"/>
      <c r="B2278" s="12" t="s">
        <v>1836</v>
      </c>
      <c r="C2278" s="21">
        <f>(1)*(1)*(1)*(1)*(1 + (0))</f>
      </c>
      <c r="D2278" s="21" t="s">
        <v>170</v>
      </c>
      <c r="E2278" s="21"/>
      <c r="F2278" s="21">
        <f>C2278*E2278</f>
      </c>
    </row>
    <row r="2279">
      <c r="A2279" s="4"/>
      <c r="B2279" s="12" t="s">
        <v>1837</v>
      </c>
      <c r="C2279" s="21">
        <f>(3)*(1)*(1)*(1)*(1 + (0))</f>
      </c>
      <c r="D2279" s="21" t="s">
        <v>170</v>
      </c>
      <c r="E2279" s="21"/>
      <c r="F2279" s="21">
        <f>C2279*E2279</f>
      </c>
    </row>
    <row r="2280">
      <c r="A2280" s="4"/>
      <c r="B2280" s="12" t="s">
        <v>1838</v>
      </c>
      <c r="C2280" s="21">
        <f>(1)*(1)*(1)*(1)*(1 + (0))</f>
      </c>
      <c r="D2280" s="21" t="s">
        <v>170</v>
      </c>
      <c r="E2280" s="21"/>
      <c r="F2280" s="21">
        <f>C2280*E2280</f>
      </c>
    </row>
    <row r="2281">
      <c r="A2281" s="4"/>
      <c r="B2281" s="12" t="s">
        <v>1839</v>
      </c>
      <c r="C2281" s="21">
        <f>(3)*(1)*(1)*(1)*(1 + (0))</f>
      </c>
      <c r="D2281" s="21" t="s">
        <v>170</v>
      </c>
      <c r="E2281" s="21"/>
      <c r="F2281" s="21">
        <f>C2281*E2281</f>
      </c>
    </row>
    <row r="2282">
      <c r="A2282" s="4"/>
      <c r="B2282" s="12" t="s">
        <v>1840</v>
      </c>
      <c r="C2282" s="21">
        <f>(1)*(1)*(1)*(1)*(1 + (0))</f>
      </c>
      <c r="D2282" s="21" t="s">
        <v>170</v>
      </c>
      <c r="E2282" s="21"/>
      <c r="F2282" s="21">
        <f>C2282*E2282</f>
      </c>
    </row>
    <row r="2283">
      <c r="A2283" s="4"/>
      <c r="B2283" s="12" t="s">
        <v>1841</v>
      </c>
      <c r="C2283" s="21">
        <f>(1)*(1)*(1)*(1)*(1 + (0))</f>
      </c>
      <c r="D2283" s="21" t="s">
        <v>170</v>
      </c>
      <c r="E2283" s="21"/>
      <c r="F2283" s="21">
        <f>C2283*E2283</f>
      </c>
    </row>
    <row r="2284">
      <c r="A2284" s="4"/>
      <c r="B2284" s="12" t="s">
        <v>1842</v>
      </c>
      <c r="C2284" s="21">
        <f>(32)*(1)*(1)*(1)*(1 + (0))</f>
      </c>
      <c r="D2284" s="21" t="s">
        <v>170</v>
      </c>
      <c r="E2284" s="21"/>
      <c r="F2284" s="21">
        <f>C2284*E2284</f>
      </c>
    </row>
    <row r="2285">
      <c r="A2285" s="4"/>
      <c r="B2285" s="12" t="s">
        <v>1843</v>
      </c>
      <c r="C2285" s="21">
        <f>(6)*(1)*(1)*(1)*(1 + (0))</f>
      </c>
      <c r="D2285" s="21" t="s">
        <v>170</v>
      </c>
      <c r="E2285" s="21"/>
      <c r="F2285" s="21">
        <f>C2285*E2285</f>
      </c>
    </row>
    <row r="2286">
      <c r="A2286" s="4"/>
      <c r="B2286" s="12" t="s">
        <v>1844</v>
      </c>
      <c r="C2286" s="21">
        <f>(1)*(1)*(1)*(1)*(1 + (0))</f>
      </c>
      <c r="D2286" s="21" t="s">
        <v>170</v>
      </c>
      <c r="E2286" s="21"/>
      <c r="F2286" s="21">
        <f>C2286*E2286</f>
      </c>
    </row>
    <row r="2287">
      <c r="A2287" s="4"/>
      <c r="B2287" s="12" t="s">
        <v>1845</v>
      </c>
      <c r="C2287" s="21">
        <f>(5)*(1)*(1)*(1)*(1 + (0))</f>
      </c>
      <c r="D2287" s="21" t="s">
        <v>170</v>
      </c>
      <c r="E2287" s="21"/>
      <c r="F2287" s="21">
        <f>C2287*E2287</f>
      </c>
    </row>
    <row r="2288">
      <c r="A2288" s="4"/>
      <c r="B2288" s="12" t="s">
        <v>1846</v>
      </c>
      <c r="C2288" s="21">
        <f>(1)*(1)*(1)*(1)*(1 + (0))</f>
      </c>
      <c r="D2288" s="21" t="s">
        <v>170</v>
      </c>
      <c r="E2288" s="21"/>
      <c r="F2288" s="21">
        <f>C2288*E2288</f>
      </c>
    </row>
    <row r="2289">
      <c r="A2289" s="4"/>
      <c r="B2289" s="12" t="s">
        <v>1847</v>
      </c>
      <c r="C2289" s="21">
        <f>(1)*(1)*(1)*(1)*(1 + (0))</f>
      </c>
      <c r="D2289" s="21" t="s">
        <v>170</v>
      </c>
      <c r="E2289" s="21"/>
      <c r="F2289" s="21">
        <f>C2289*E2289</f>
      </c>
    </row>
    <row r="2290">
      <c r="A2290" s="4"/>
      <c r="B2290" s="12" t="s">
        <v>1848</v>
      </c>
      <c r="C2290" s="21">
        <f>(1)*(1)*(1)*(1)*(1 + (0))</f>
      </c>
      <c r="D2290" s="21" t="s">
        <v>170</v>
      </c>
      <c r="E2290" s="21"/>
      <c r="F2290" s="21">
        <f>C2290*E2290</f>
      </c>
    </row>
    <row r="2291">
      <c r="A2291" s="4"/>
      <c r="B2291" s="12" t="s">
        <v>1849</v>
      </c>
      <c r="C2291" s="21">
        <f>(1)*(1)*(1)*(1)*(1 + (0))</f>
      </c>
      <c r="D2291" s="21" t="s">
        <v>170</v>
      </c>
      <c r="E2291" s="21"/>
      <c r="F2291" s="21">
        <f>C2291*E2291</f>
      </c>
    </row>
    <row r="2292">
      <c r="A2292" s="4"/>
      <c r="B2292" s="12" t="s">
        <v>1850</v>
      </c>
      <c r="C2292" s="21">
        <f>(2)*(1)*(1)*(1)*(1 + (0))</f>
      </c>
      <c r="D2292" s="21" t="s">
        <v>170</v>
      </c>
      <c r="E2292" s="21"/>
      <c r="F2292" s="21">
        <f>C2292*E2292</f>
      </c>
    </row>
    <row r="2293">
      <c r="A2293" s="4"/>
      <c r="B2293" s="12" t="s">
        <v>1851</v>
      </c>
      <c r="C2293" s="21">
        <f>(3)*(1)*(1)*(1)*(1 + (0))</f>
      </c>
      <c r="D2293" s="21" t="s">
        <v>170</v>
      </c>
      <c r="E2293" s="21"/>
      <c r="F2293" s="21">
        <f>C2293*E2293</f>
      </c>
    </row>
    <row r="2294">
      <c r="A2294" s="4"/>
      <c r="B2294" s="12" t="s">
        <v>1852</v>
      </c>
      <c r="C2294" s="21">
        <f>(2)*(1)*(1)*(1)*(1 + (0))</f>
      </c>
      <c r="D2294" s="21" t="s">
        <v>170</v>
      </c>
      <c r="E2294" s="21"/>
      <c r="F2294" s="21">
        <f>C2294*E2294</f>
      </c>
    </row>
    <row r="2295">
      <c r="A2295" s="3"/>
      <c r="B2295" s="11" t="s">
        <v>1853</v>
      </c>
      <c r="C2295" s="20"/>
      <c r="D2295" s="20"/>
      <c r="E2295" s="20"/>
      <c r="F2295" s="20"/>
    </row>
    <row r="2296">
      <c r="A2296" s="4"/>
      <c r="B2296" s="12" t="s">
        <v>1854</v>
      </c>
      <c r="C2296" s="21">
        <f>(1)*(1)*(1)*(1)*(1 + (0))</f>
      </c>
      <c r="D2296" s="21" t="s">
        <v>167</v>
      </c>
      <c r="E2296" s="21"/>
      <c r="F2296" s="21">
        <f>C2296*E2296</f>
      </c>
    </row>
    <row r="2297">
      <c r="A2297" s="4"/>
      <c r="B2297" s="12" t="s">
        <v>1855</v>
      </c>
      <c r="C2297" s="21">
        <f>(10)*(1)*(1)*(1)*(1 + (0))</f>
      </c>
      <c r="D2297" s="21" t="s">
        <v>167</v>
      </c>
      <c r="E2297" s="21"/>
      <c r="F2297" s="21">
        <f>C2297*E2297</f>
      </c>
    </row>
    <row r="2298">
      <c r="A2298" s="4"/>
      <c r="B2298" s="12" t="s">
        <v>1856</v>
      </c>
      <c r="C2298" s="21">
        <f>(2)*(1)*(1)*(1)*(1 + (0))</f>
      </c>
      <c r="D2298" s="21" t="s">
        <v>167</v>
      </c>
      <c r="E2298" s="21"/>
      <c r="F2298" s="21">
        <f>C2298*E2298</f>
      </c>
    </row>
    <row r="2299">
      <c r="A2299" s="4"/>
      <c r="B2299" s="12" t="s">
        <v>1857</v>
      </c>
      <c r="C2299" s="21">
        <f>(4)*(1)*(1)*(1)*(1 + (0))</f>
      </c>
      <c r="D2299" s="21" t="s">
        <v>167</v>
      </c>
      <c r="E2299" s="21"/>
      <c r="F2299" s="21">
        <f>C2299*E2299</f>
      </c>
    </row>
    <row r="2300">
      <c r="A2300" s="4"/>
      <c r="B2300" s="12" t="s">
        <v>1858</v>
      </c>
      <c r="C2300" s="21">
        <f>(2)*(1)*(1)*(1)*(1 + (0))</f>
      </c>
      <c r="D2300" s="21" t="s">
        <v>167</v>
      </c>
      <c r="E2300" s="21"/>
      <c r="F2300" s="21">
        <f>C2300*E2300</f>
      </c>
    </row>
    <row r="2301">
      <c r="A2301" s="2"/>
      <c r="B2301" s="10" t="s">
        <v>1859</v>
      </c>
      <c r="C2301" s="19"/>
      <c r="D2301" s="19"/>
      <c r="E2301" s="19"/>
      <c r="F2301" s="19"/>
    </row>
    <row r="2302">
      <c r="A2302" s="3"/>
      <c r="B2302" s="11" t="s">
        <v>14</v>
      </c>
      <c r="C2302" s="20"/>
      <c r="D2302" s="20"/>
      <c r="E2302" s="20"/>
      <c r="F2302" s="20"/>
    </row>
    <row r="2303">
      <c r="A2303" s="4" t="s">
        <v>1860</v>
      </c>
      <c r="B2303" s="12" t="s">
        <v>16</v>
      </c>
      <c r="C2303" s="21"/>
      <c r="D2303" s="21" t="s">
        <v>17</v>
      </c>
      <c r="E2303" s="21"/>
      <c r="F2303" s="21">
        <f>C2303*E2303</f>
      </c>
    </row>
    <row r="2304">
      <c r="A2304" s="4" t="s">
        <v>1861</v>
      </c>
      <c r="B2304" s="12" t="s">
        <v>19</v>
      </c>
      <c r="C2304" s="21"/>
      <c r="D2304" s="21" t="s">
        <v>17</v>
      </c>
      <c r="E2304" s="21"/>
      <c r="F2304" s="21">
        <f>C2304*E2304</f>
      </c>
    </row>
    <row r="2305">
      <c r="A2305" s="3"/>
      <c r="B2305" s="11" t="s">
        <v>24</v>
      </c>
      <c r="C2305" s="20"/>
      <c r="D2305" s="20"/>
      <c r="E2305" s="20"/>
      <c r="F2305" s="20"/>
    </row>
    <row r="2306">
      <c r="A2306" s="5"/>
      <c r="B2306" s="13" t="s">
        <v>25</v>
      </c>
      <c r="C2306" s="22"/>
      <c r="D2306" s="22"/>
      <c r="E2306" s="22"/>
      <c r="F2306" s="22"/>
    </row>
    <row r="2307">
      <c r="A2307" s="4" t="s">
        <v>1862</v>
      </c>
      <c r="B2307" s="14" t="s">
        <v>1863</v>
      </c>
      <c r="C2307" s="21"/>
      <c r="D2307" s="21" t="s">
        <v>17</v>
      </c>
      <c r="E2307" s="21"/>
      <c r="F2307" s="21">
        <f>C2307*E2307</f>
      </c>
    </row>
    <row r="2308">
      <c r="A2308" s="4" t="s">
        <v>1864</v>
      </c>
      <c r="B2308" s="14" t="s">
        <v>1865</v>
      </c>
      <c r="C2308" s="21"/>
      <c r="D2308" s="21" t="s">
        <v>17</v>
      </c>
      <c r="E2308" s="21"/>
      <c r="F2308" s="21">
        <f>C2308*E2308</f>
      </c>
    </row>
    <row r="2309">
      <c r="A2309" s="4" t="s">
        <v>1866</v>
      </c>
      <c r="B2309" s="14" t="s">
        <v>1867</v>
      </c>
      <c r="C2309" s="21"/>
      <c r="D2309" s="21" t="s">
        <v>17</v>
      </c>
      <c r="E2309" s="21"/>
      <c r="F2309" s="21">
        <f>C2309*E2309</f>
      </c>
    </row>
    <row r="2310">
      <c r="A2310" s="4" t="s">
        <v>1868</v>
      </c>
      <c r="B2310" s="14" t="s">
        <v>1869</v>
      </c>
      <c r="C2310" s="21"/>
      <c r="D2310" s="21" t="s">
        <v>17</v>
      </c>
      <c r="E2310" s="21"/>
      <c r="F2310" s="21">
        <f>C2310*E2310</f>
      </c>
    </row>
    <row r="2311">
      <c r="A2311" s="4" t="s">
        <v>1870</v>
      </c>
      <c r="B2311" s="14" t="s">
        <v>1871</v>
      </c>
      <c r="C2311" s="21"/>
      <c r="D2311" s="21" t="s">
        <v>17</v>
      </c>
      <c r="E2311" s="21"/>
      <c r="F2311" s="21">
        <f>C2311*E2311</f>
      </c>
    </row>
    <row r="2312">
      <c r="A2312" s="4" t="s">
        <v>1872</v>
      </c>
      <c r="B2312" s="14" t="s">
        <v>1873</v>
      </c>
      <c r="C2312" s="21"/>
      <c r="D2312" s="21" t="s">
        <v>17</v>
      </c>
      <c r="E2312" s="21"/>
      <c r="F2312" s="21">
        <f>C2312*E2312</f>
      </c>
    </row>
    <row r="2313">
      <c r="A2313" s="4" t="s">
        <v>1874</v>
      </c>
      <c r="B2313" s="14" t="s">
        <v>194</v>
      </c>
      <c r="C2313" s="21"/>
      <c r="D2313" s="21" t="s">
        <v>17</v>
      </c>
      <c r="E2313" s="21"/>
      <c r="F2313" s="21">
        <f>C2313*E2313</f>
      </c>
    </row>
    <row r="2314">
      <c r="A2314" s="3"/>
      <c r="B2314" s="11" t="s">
        <v>42</v>
      </c>
      <c r="C2314" s="20"/>
      <c r="D2314" s="20"/>
      <c r="E2314" s="20"/>
      <c r="F2314" s="20"/>
    </row>
    <row r="2315">
      <c r="A2315" s="4" t="s">
        <v>1875</v>
      </c>
      <c r="B2315" s="12" t="s">
        <v>1876</v>
      </c>
      <c r="C2315" s="21">
        <f>(1)*(1)*(1)*(1)*(1 + (0))</f>
      </c>
      <c r="D2315" s="21" t="s">
        <v>45</v>
      </c>
      <c r="E2315" s="21"/>
      <c r="F2315" s="21">
        <f>C2315*E2315</f>
      </c>
    </row>
    <row r="2316">
      <c r="A2316" s="4" t="s">
        <v>1877</v>
      </c>
      <c r="B2316" s="12" t="s">
        <v>1878</v>
      </c>
      <c r="C2316" s="21">
        <f>(1)*(1)*(1)*(1)*(1 + (0))</f>
      </c>
      <c r="D2316" s="21" t="s">
        <v>45</v>
      </c>
      <c r="E2316" s="21"/>
      <c r="F2316" s="21">
        <f>C2316*E2316</f>
      </c>
    </row>
    <row r="2317">
      <c r="A2317" s="4" t="s">
        <v>1879</v>
      </c>
      <c r="B2317" s="12" t="s">
        <v>1880</v>
      </c>
      <c r="C2317" s="21">
        <f>(1)*(1)*(1)*(1)*(1 + (0))</f>
      </c>
      <c r="D2317" s="21" t="s">
        <v>45</v>
      </c>
      <c r="E2317" s="21"/>
      <c r="F2317" s="21">
        <f>C2317*E2317</f>
      </c>
    </row>
    <row r="2318">
      <c r="A2318" s="4" t="s">
        <v>1881</v>
      </c>
      <c r="B2318" s="12" t="s">
        <v>1882</v>
      </c>
      <c r="C2318" s="21">
        <f>(1)*(1)*(1)*(1)*(1 + (0))</f>
      </c>
      <c r="D2318" s="21" t="s">
        <v>45</v>
      </c>
      <c r="E2318" s="21"/>
      <c r="F2318" s="21">
        <f>C2318*E2318</f>
      </c>
    </row>
    <row r="2319">
      <c r="A2319" s="4" t="s">
        <v>1883</v>
      </c>
      <c r="B2319" s="12" t="s">
        <v>1884</v>
      </c>
      <c r="C2319" s="21">
        <f>(1)*(1)*(1)*(1)*(1 + (0))</f>
      </c>
      <c r="D2319" s="21" t="s">
        <v>45</v>
      </c>
      <c r="E2319" s="21"/>
      <c r="F2319" s="21">
        <f>C2319*E2319</f>
      </c>
    </row>
    <row r="2320">
      <c r="A2320" s="4" t="s">
        <v>1885</v>
      </c>
      <c r="B2320" s="12" t="s">
        <v>207</v>
      </c>
      <c r="C2320" s="21">
        <f>(1)*(1)*(1)*(1)*(1 + (0))</f>
      </c>
      <c r="D2320" s="21" t="s">
        <v>45</v>
      </c>
      <c r="E2320" s="21"/>
      <c r="F2320" s="21">
        <f>C2320*E2320</f>
      </c>
    </row>
    <row r="2321">
      <c r="A2321" s="4" t="s">
        <v>1886</v>
      </c>
      <c r="B2321" s="12" t="s">
        <v>1183</v>
      </c>
      <c r="C2321" s="21">
        <f>(1)*(1)*(1)*(1)*(1 + (0))</f>
      </c>
      <c r="D2321" s="21" t="s">
        <v>45</v>
      </c>
      <c r="E2321" s="21"/>
      <c r="F2321" s="21">
        <f>C2321*E2321</f>
      </c>
    </row>
    <row r="2322">
      <c r="A2322" s="4" t="s">
        <v>1887</v>
      </c>
      <c r="B2322" s="12" t="s">
        <v>1888</v>
      </c>
      <c r="C2322" s="21">
        <f>(1)*(1)*(1)*(1)*(1 + (0))</f>
      </c>
      <c r="D2322" s="21" t="s">
        <v>45</v>
      </c>
      <c r="E2322" s="21"/>
      <c r="F2322" s="21">
        <f>C2322*E2322</f>
      </c>
    </row>
    <row r="2323">
      <c r="A2323" s="4" t="s">
        <v>1889</v>
      </c>
      <c r="B2323" s="12" t="s">
        <v>1890</v>
      </c>
      <c r="C2323" s="21">
        <f>(1)*(1)*(1)*(1)*(1 + (0))</f>
      </c>
      <c r="D2323" s="21" t="s">
        <v>45</v>
      </c>
      <c r="E2323" s="21"/>
      <c r="F2323" s="21">
        <f>C2323*E2323</f>
      </c>
    </row>
    <row r="2324">
      <c r="A2324" s="4" t="s">
        <v>1891</v>
      </c>
      <c r="B2324" s="12" t="s">
        <v>832</v>
      </c>
      <c r="C2324" s="21">
        <f>(1)*(1)*(1)*(1)*(1 + (0))</f>
      </c>
      <c r="D2324" s="21" t="s">
        <v>45</v>
      </c>
      <c r="E2324" s="21"/>
      <c r="F2324" s="21">
        <f>C2324*E2324</f>
      </c>
    </row>
    <row r="2325">
      <c r="A2325" s="4" t="s">
        <v>1892</v>
      </c>
      <c r="B2325" s="12" t="s">
        <v>1893</v>
      </c>
      <c r="C2325" s="21"/>
      <c r="D2325" s="21" t="s">
        <v>1894</v>
      </c>
      <c r="E2325" s="21"/>
      <c r="F2325" s="21">
        <f>C2325*E2325</f>
      </c>
    </row>
    <row r="2326">
      <c r="A2326" s="4" t="s">
        <v>1895</v>
      </c>
      <c r="B2326" s="7" t="s">
        <v>1896</v>
      </c>
      <c r="C2326" s="21">
        <f>(1)*(1)*(1)*(1)*(1 + (0))</f>
      </c>
      <c r="D2326" s="21" t="s">
        <v>45</v>
      </c>
      <c r="E2326" s="21"/>
      <c r="F2326" s="21">
        <f>C2326*E2326</f>
      </c>
    </row>
    <row r="2327">
      <c r="A2327" s="2"/>
      <c r="B2327" s="10" t="s">
        <v>1897</v>
      </c>
      <c r="C2327" s="19"/>
      <c r="D2327" s="19"/>
      <c r="E2327" s="19"/>
      <c r="F2327" s="19"/>
    </row>
    <row r="2328">
      <c r="A2328" s="3"/>
      <c r="B2328" s="11" t="s">
        <v>14</v>
      </c>
      <c r="C2328" s="20"/>
      <c r="D2328" s="20"/>
      <c r="E2328" s="20"/>
      <c r="F2328" s="20"/>
    </row>
    <row r="2329">
      <c r="A2329" s="4" t="s">
        <v>1898</v>
      </c>
      <c r="B2329" s="12" t="s">
        <v>16</v>
      </c>
      <c r="C2329" s="21"/>
      <c r="D2329" s="21" t="s">
        <v>17</v>
      </c>
      <c r="E2329" s="21"/>
      <c r="F2329" s="21">
        <f>C2329*E2329</f>
      </c>
    </row>
    <row r="2330">
      <c r="A2330" s="4" t="s">
        <v>1899</v>
      </c>
      <c r="B2330" s="12" t="s">
        <v>19</v>
      </c>
      <c r="C2330" s="21"/>
      <c r="D2330" s="21" t="s">
        <v>17</v>
      </c>
      <c r="E2330" s="21"/>
      <c r="F2330" s="21">
        <f>C2330*E2330</f>
      </c>
    </row>
    <row r="2331">
      <c r="A2331" s="3"/>
      <c r="B2331" s="11" t="s">
        <v>24</v>
      </c>
      <c r="C2331" s="20"/>
      <c r="D2331" s="20"/>
      <c r="E2331" s="20"/>
      <c r="F2331" s="20"/>
    </row>
    <row r="2332">
      <c r="A2332" s="5"/>
      <c r="B2332" s="13" t="s">
        <v>1900</v>
      </c>
      <c r="C2332" s="22"/>
      <c r="D2332" s="22"/>
      <c r="E2332" s="22"/>
      <c r="F2332" s="22"/>
    </row>
    <row r="2333">
      <c r="A2333" s="4" t="s">
        <v>1901</v>
      </c>
      <c r="B2333" s="14" t="s">
        <v>1902</v>
      </c>
      <c r="C2333" s="21"/>
      <c r="D2333" s="21" t="s">
        <v>17</v>
      </c>
      <c r="E2333" s="21"/>
      <c r="F2333" s="21">
        <f>C2333*E2333</f>
      </c>
    </row>
    <row r="2334">
      <c r="A2334" s="4" t="s">
        <v>1903</v>
      </c>
      <c r="B2334" s="14" t="s">
        <v>1904</v>
      </c>
      <c r="C2334" s="21"/>
      <c r="D2334" s="21" t="s">
        <v>17</v>
      </c>
      <c r="E2334" s="21"/>
      <c r="F2334" s="21">
        <f>C2334*E2334</f>
      </c>
    </row>
    <row r="2335">
      <c r="A2335" s="4" t="s">
        <v>1905</v>
      </c>
      <c r="B2335" s="14" t="s">
        <v>1867</v>
      </c>
      <c r="C2335" s="21"/>
      <c r="D2335" s="21" t="s">
        <v>17</v>
      </c>
      <c r="E2335" s="21"/>
      <c r="F2335" s="21">
        <f>C2335*E2335</f>
      </c>
    </row>
    <row r="2336">
      <c r="A2336" s="4" t="s">
        <v>1906</v>
      </c>
      <c r="B2336" s="14" t="s">
        <v>1869</v>
      </c>
      <c r="C2336" s="21"/>
      <c r="D2336" s="21" t="s">
        <v>17</v>
      </c>
      <c r="E2336" s="21"/>
      <c r="F2336" s="21">
        <f>C2336*E2336</f>
      </c>
    </row>
    <row r="2337">
      <c r="A2337" s="4" t="s">
        <v>1907</v>
      </c>
      <c r="B2337" s="14" t="s">
        <v>1871</v>
      </c>
      <c r="C2337" s="21"/>
      <c r="D2337" s="21" t="s">
        <v>17</v>
      </c>
      <c r="E2337" s="21"/>
      <c r="F2337" s="21">
        <f>C2337*E2337</f>
      </c>
    </row>
    <row r="2338">
      <c r="A2338" s="4" t="s">
        <v>1908</v>
      </c>
      <c r="B2338" s="14" t="s">
        <v>1873</v>
      </c>
      <c r="C2338" s="21"/>
      <c r="D2338" s="21" t="s">
        <v>17</v>
      </c>
      <c r="E2338" s="21"/>
      <c r="F2338" s="21">
        <f>C2338*E2338</f>
      </c>
    </row>
    <row r="2339">
      <c r="A2339" s="4" t="s">
        <v>1909</v>
      </c>
      <c r="B2339" s="14" t="s">
        <v>194</v>
      </c>
      <c r="C2339" s="21"/>
      <c r="D2339" s="21" t="s">
        <v>17</v>
      </c>
      <c r="E2339" s="21"/>
      <c r="F2339" s="21">
        <f>C2339*E2339</f>
      </c>
    </row>
    <row r="2340">
      <c r="A2340" s="3"/>
      <c r="B2340" s="11" t="s">
        <v>42</v>
      </c>
      <c r="C2340" s="20"/>
      <c r="D2340" s="20"/>
      <c r="E2340" s="20"/>
      <c r="F2340" s="20"/>
    </row>
    <row r="2341">
      <c r="A2341" s="4" t="s">
        <v>1910</v>
      </c>
      <c r="B2341" s="12" t="s">
        <v>1911</v>
      </c>
      <c r="C2341" s="21">
        <f>(1)*(1)*(1)*(1)*(1 + (0))</f>
      </c>
      <c r="D2341" s="21" t="s">
        <v>45</v>
      </c>
      <c r="E2341" s="21"/>
      <c r="F2341" s="21">
        <f>C2341*E2341</f>
      </c>
    </row>
    <row r="2342">
      <c r="A2342" s="4" t="s">
        <v>1912</v>
      </c>
      <c r="B2342" s="12" t="s">
        <v>1913</v>
      </c>
      <c r="C2342" s="21">
        <f>(1)*(1)*(1)*(1)*(1 + (0))</f>
      </c>
      <c r="D2342" s="21" t="s">
        <v>45</v>
      </c>
      <c r="E2342" s="21"/>
      <c r="F2342" s="21">
        <f>C2342*E2342</f>
      </c>
    </row>
    <row r="2343">
      <c r="A2343" s="4" t="s">
        <v>1914</v>
      </c>
      <c r="B2343" s="12" t="s">
        <v>894</v>
      </c>
      <c r="C2343" s="21">
        <f>(1)*(1)*(1)*(1)*(1 + (0))</f>
      </c>
      <c r="D2343" s="21" t="s">
        <v>45</v>
      </c>
      <c r="E2343" s="21"/>
      <c r="F2343" s="21">
        <f>C2343*E2343</f>
      </c>
    </row>
    <row r="2344">
      <c r="A2344" s="4" t="s">
        <v>1915</v>
      </c>
      <c r="B2344" s="12" t="s">
        <v>207</v>
      </c>
      <c r="C2344" s="21">
        <f>(1)*(1)*(1)*(1)*(1 + (0))</f>
      </c>
      <c r="D2344" s="21" t="s">
        <v>45</v>
      </c>
      <c r="E2344" s="21"/>
      <c r="F2344" s="21">
        <f>C2344*E2344</f>
      </c>
    </row>
    <row r="2345">
      <c r="A2345" s="4" t="s">
        <v>1916</v>
      </c>
      <c r="B2345" s="12" t="s">
        <v>1917</v>
      </c>
      <c r="C2345" s="21">
        <f>(1)*(1)*(1)*(1)*(1 + (0))</f>
      </c>
      <c r="D2345" s="21" t="s">
        <v>45</v>
      </c>
      <c r="E2345" s="21"/>
      <c r="F2345" s="21">
        <f>C2345*E2345</f>
      </c>
    </row>
    <row r="2346">
      <c r="A2346" s="4" t="s">
        <v>1918</v>
      </c>
      <c r="B2346" s="12" t="s">
        <v>1183</v>
      </c>
      <c r="C2346" s="21">
        <f>(1)*(1)*(1)*(1)*(1 + (0))</f>
      </c>
      <c r="D2346" s="21" t="s">
        <v>45</v>
      </c>
      <c r="E2346" s="21"/>
      <c r="F2346" s="21">
        <f>C2346*E2346</f>
      </c>
    </row>
    <row r="2347">
      <c r="A2347" s="4" t="s">
        <v>1919</v>
      </c>
      <c r="B2347" s="12" t="s">
        <v>832</v>
      </c>
      <c r="C2347" s="21">
        <f>(1)*(1)*(1)*(1)*(1 + (0))</f>
      </c>
      <c r="D2347" s="21" t="s">
        <v>45</v>
      </c>
      <c r="E2347" s="21"/>
      <c r="F2347" s="21">
        <f>C2347*E2347</f>
      </c>
    </row>
    <row r="2348">
      <c r="A2348" s="4" t="s">
        <v>1920</v>
      </c>
      <c r="B2348" s="7" t="s">
        <v>1921</v>
      </c>
      <c r="C2348" s="21">
        <f>(1)*(1)*(1)*(1)*(1 + (0))</f>
      </c>
      <c r="D2348" s="21" t="s">
        <v>45</v>
      </c>
      <c r="E2348" s="21"/>
      <c r="F2348" s="21">
        <f>C2348*E2348</f>
      </c>
    </row>
    <row r="2349">
      <c r="A2349" s="4" t="s">
        <v>1920</v>
      </c>
      <c r="B2349" s="7" t="s">
        <v>1922</v>
      </c>
      <c r="C2349" s="21">
        <f>(1)*(1)*(1)*(1)*(1 + (0))</f>
      </c>
      <c r="D2349" s="21" t="s">
        <v>45</v>
      </c>
      <c r="E2349" s="21"/>
      <c r="F2349" s="21">
        <f>C2349*E2349</f>
      </c>
    </row>
    <row r="2350">
      <c r="A2350" s="2"/>
      <c r="B2350" s="10" t="s">
        <v>1923</v>
      </c>
      <c r="C2350" s="19"/>
      <c r="D2350" s="19"/>
      <c r="E2350" s="19"/>
      <c r="F2350" s="19"/>
    </row>
    <row r="2351">
      <c r="A2351" s="3"/>
      <c r="B2351" s="11" t="s">
        <v>14</v>
      </c>
      <c r="C2351" s="20"/>
      <c r="D2351" s="20"/>
      <c r="E2351" s="20"/>
      <c r="F2351" s="20"/>
    </row>
    <row r="2352">
      <c r="A2352" s="4" t="s">
        <v>1924</v>
      </c>
      <c r="B2352" s="12" t="s">
        <v>16</v>
      </c>
      <c r="C2352" s="21"/>
      <c r="D2352" s="21" t="s">
        <v>17</v>
      </c>
      <c r="E2352" s="21"/>
      <c r="F2352" s="21">
        <f>C2352*E2352</f>
      </c>
    </row>
    <row r="2353">
      <c r="A2353" s="4" t="s">
        <v>1925</v>
      </c>
      <c r="B2353" s="12" t="s">
        <v>19</v>
      </c>
      <c r="C2353" s="21"/>
      <c r="D2353" s="21" t="s">
        <v>17</v>
      </c>
      <c r="E2353" s="21"/>
      <c r="F2353" s="21">
        <f>C2353*E2353</f>
      </c>
    </row>
    <row r="2354">
      <c r="A2354" s="3"/>
      <c r="B2354" s="11" t="s">
        <v>24</v>
      </c>
      <c r="C2354" s="20"/>
      <c r="D2354" s="20"/>
      <c r="E2354" s="20"/>
      <c r="F2354" s="20"/>
    </row>
    <row r="2355">
      <c r="A2355" s="5"/>
      <c r="B2355" s="13" t="s">
        <v>1900</v>
      </c>
      <c r="C2355" s="22"/>
      <c r="D2355" s="22"/>
      <c r="E2355" s="22"/>
      <c r="F2355" s="22"/>
    </row>
    <row r="2356">
      <c r="A2356" s="4" t="s">
        <v>1926</v>
      </c>
      <c r="B2356" s="14" t="s">
        <v>1927</v>
      </c>
      <c r="C2356" s="21"/>
      <c r="D2356" s="21" t="s">
        <v>17</v>
      </c>
      <c r="E2356" s="21"/>
      <c r="F2356" s="21">
        <f>C2356*E2356</f>
      </c>
    </row>
    <row r="2357">
      <c r="A2357" s="4" t="s">
        <v>1928</v>
      </c>
      <c r="B2357" s="14" t="s">
        <v>1867</v>
      </c>
      <c r="C2357" s="21"/>
      <c r="D2357" s="21" t="s">
        <v>17</v>
      </c>
      <c r="E2357" s="21"/>
      <c r="F2357" s="21">
        <f>C2357*E2357</f>
      </c>
    </row>
    <row r="2358">
      <c r="A2358" s="4" t="s">
        <v>1929</v>
      </c>
      <c r="B2358" s="14" t="s">
        <v>1869</v>
      </c>
      <c r="C2358" s="21"/>
      <c r="D2358" s="21" t="s">
        <v>17</v>
      </c>
      <c r="E2358" s="21"/>
      <c r="F2358" s="21">
        <f>C2358*E2358</f>
      </c>
    </row>
    <row r="2359">
      <c r="A2359" s="4" t="s">
        <v>1930</v>
      </c>
      <c r="B2359" s="14" t="s">
        <v>1871</v>
      </c>
      <c r="C2359" s="21"/>
      <c r="D2359" s="21" t="s">
        <v>17</v>
      </c>
      <c r="E2359" s="21"/>
      <c r="F2359" s="21">
        <f>C2359*E2359</f>
      </c>
    </row>
    <row r="2360">
      <c r="A2360" s="4" t="s">
        <v>1931</v>
      </c>
      <c r="B2360" s="14" t="s">
        <v>1873</v>
      </c>
      <c r="C2360" s="21"/>
      <c r="D2360" s="21" t="s">
        <v>17</v>
      </c>
      <c r="E2360" s="21"/>
      <c r="F2360" s="21">
        <f>C2360*E2360</f>
      </c>
    </row>
    <row r="2361">
      <c r="A2361" s="4" t="s">
        <v>1932</v>
      </c>
      <c r="B2361" s="14" t="s">
        <v>194</v>
      </c>
      <c r="C2361" s="21"/>
      <c r="D2361" s="21" t="s">
        <v>17</v>
      </c>
      <c r="E2361" s="21"/>
      <c r="F2361" s="21">
        <f>C2361*E2361</f>
      </c>
    </row>
    <row r="2362">
      <c r="A2362" s="3"/>
      <c r="B2362" s="11" t="s">
        <v>42</v>
      </c>
      <c r="C2362" s="20"/>
      <c r="D2362" s="20"/>
      <c r="E2362" s="20"/>
      <c r="F2362" s="20"/>
    </row>
    <row r="2363">
      <c r="A2363" s="4" t="s">
        <v>1933</v>
      </c>
      <c r="B2363" s="12" t="s">
        <v>207</v>
      </c>
      <c r="C2363" s="21">
        <f>(1)*(1)*(1)*(1)*(1 + (0))</f>
      </c>
      <c r="D2363" s="21" t="s">
        <v>45</v>
      </c>
      <c r="E2363" s="21"/>
      <c r="F2363" s="21">
        <f>C2363*E2363</f>
      </c>
    </row>
    <row r="2364">
      <c r="A2364" s="4" t="s">
        <v>1934</v>
      </c>
      <c r="B2364" s="12" t="s">
        <v>1183</v>
      </c>
      <c r="C2364" s="21">
        <f>(1)*(1)*(1)*(1)*(1 + (0))</f>
      </c>
      <c r="D2364" s="21" t="s">
        <v>45</v>
      </c>
      <c r="E2364" s="21"/>
      <c r="F2364" s="21">
        <f>C2364*E2364</f>
      </c>
    </row>
    <row r="2365">
      <c r="A2365" s="4" t="s">
        <v>1935</v>
      </c>
      <c r="B2365" s="12" t="s">
        <v>1888</v>
      </c>
      <c r="C2365" s="21">
        <f>(1)*(1)*(1)*(1)*(1 + (0))</f>
      </c>
      <c r="D2365" s="21" t="s">
        <v>45</v>
      </c>
      <c r="E2365" s="21"/>
      <c r="F2365" s="21">
        <f>C2365*E2365</f>
      </c>
    </row>
    <row r="2366">
      <c r="A2366" s="4" t="s">
        <v>1936</v>
      </c>
      <c r="B2366" s="12" t="s">
        <v>1937</v>
      </c>
      <c r="C2366" s="21">
        <f>(1)*(1)*(1)*(1)*(1 + (0))</f>
      </c>
      <c r="D2366" s="21" t="s">
        <v>45</v>
      </c>
      <c r="E2366" s="21"/>
      <c r="F2366" s="21">
        <f>C2366*E2366</f>
      </c>
    </row>
    <row r="2367">
      <c r="A2367" s="4" t="s">
        <v>1938</v>
      </c>
      <c r="B2367" s="12" t="s">
        <v>832</v>
      </c>
      <c r="C2367" s="21">
        <f>(1)*(1)*(1)*(1)*(1 + (0))</f>
      </c>
      <c r="D2367" s="21" t="s">
        <v>45</v>
      </c>
      <c r="E2367" s="21"/>
      <c r="F2367" s="21">
        <f>C2367*E2367</f>
      </c>
    </row>
    <row r="2368">
      <c r="A2368" s="4" t="s">
        <v>1939</v>
      </c>
      <c r="B2368" s="7" t="s">
        <v>1940</v>
      </c>
      <c r="C2368" s="21">
        <f>(1)*(1)*(1)*(1)*(1 + (0))</f>
      </c>
      <c r="D2368" s="21" t="s">
        <v>45</v>
      </c>
      <c r="E2368" s="21"/>
      <c r="F2368" s="21">
        <f>C2368*E2368</f>
      </c>
    </row>
    <row r="2369">
      <c r="A2369" s="2"/>
      <c r="B2369" s="10" t="s">
        <v>1941</v>
      </c>
      <c r="C2369" s="19"/>
      <c r="D2369" s="19"/>
      <c r="E2369" s="19"/>
      <c r="F2369" s="19"/>
    </row>
    <row r="2370">
      <c r="A2370" s="3"/>
      <c r="B2370" s="11" t="s">
        <v>14</v>
      </c>
      <c r="C2370" s="20"/>
      <c r="D2370" s="20"/>
      <c r="E2370" s="20"/>
      <c r="F2370" s="20"/>
    </row>
    <row r="2371">
      <c r="A2371" s="4" t="s">
        <v>1942</v>
      </c>
      <c r="B2371" s="12" t="s">
        <v>16</v>
      </c>
      <c r="C2371" s="21"/>
      <c r="D2371" s="21" t="s">
        <v>17</v>
      </c>
      <c r="E2371" s="21"/>
      <c r="F2371" s="21">
        <f>C2371*E2371</f>
      </c>
    </row>
    <row r="2372">
      <c r="A2372" s="4" t="s">
        <v>1943</v>
      </c>
      <c r="B2372" s="12" t="s">
        <v>19</v>
      </c>
      <c r="C2372" s="21"/>
      <c r="D2372" s="21" t="s">
        <v>17</v>
      </c>
      <c r="E2372" s="21"/>
      <c r="F2372" s="21">
        <f>C2372*E2372</f>
      </c>
    </row>
    <row r="2373">
      <c r="A2373" s="3"/>
      <c r="B2373" s="11" t="s">
        <v>24</v>
      </c>
      <c r="C2373" s="20"/>
      <c r="D2373" s="20"/>
      <c r="E2373" s="20"/>
      <c r="F2373" s="20"/>
    </row>
    <row r="2374">
      <c r="A2374" s="5"/>
      <c r="B2374" s="13" t="s">
        <v>25</v>
      </c>
      <c r="C2374" s="22"/>
      <c r="D2374" s="22"/>
      <c r="E2374" s="22"/>
      <c r="F2374" s="22"/>
    </row>
    <row r="2375">
      <c r="A2375" s="4" t="s">
        <v>1944</v>
      </c>
      <c r="B2375" s="14" t="s">
        <v>1902</v>
      </c>
      <c r="C2375" s="21"/>
      <c r="D2375" s="21" t="s">
        <v>17</v>
      </c>
      <c r="E2375" s="21"/>
      <c r="F2375" s="21">
        <f>C2375*E2375</f>
      </c>
    </row>
    <row r="2376">
      <c r="A2376" s="4" t="s">
        <v>1945</v>
      </c>
      <c r="B2376" s="14" t="s">
        <v>1946</v>
      </c>
      <c r="C2376" s="21"/>
      <c r="D2376" s="21" t="s">
        <v>17</v>
      </c>
      <c r="E2376" s="21"/>
      <c r="F2376" s="21">
        <f>C2376*E2376</f>
      </c>
    </row>
    <row r="2377">
      <c r="A2377" s="4" t="s">
        <v>1947</v>
      </c>
      <c r="B2377" s="14" t="s">
        <v>1867</v>
      </c>
      <c r="C2377" s="21"/>
      <c r="D2377" s="21" t="s">
        <v>17</v>
      </c>
      <c r="E2377" s="21"/>
      <c r="F2377" s="21">
        <f>C2377*E2377</f>
      </c>
    </row>
    <row r="2378">
      <c r="A2378" s="4" t="s">
        <v>1948</v>
      </c>
      <c r="B2378" s="14" t="s">
        <v>1869</v>
      </c>
      <c r="C2378" s="21"/>
      <c r="D2378" s="21" t="s">
        <v>17</v>
      </c>
      <c r="E2378" s="21"/>
      <c r="F2378" s="21">
        <f>C2378*E2378</f>
      </c>
    </row>
    <row r="2379">
      <c r="A2379" s="4" t="s">
        <v>1949</v>
      </c>
      <c r="B2379" s="14" t="s">
        <v>1871</v>
      </c>
      <c r="C2379" s="21"/>
      <c r="D2379" s="21" t="s">
        <v>17</v>
      </c>
      <c r="E2379" s="21"/>
      <c r="F2379" s="21">
        <f>C2379*E2379</f>
      </c>
    </row>
    <row r="2380">
      <c r="A2380" s="4" t="s">
        <v>1950</v>
      </c>
      <c r="B2380" s="14" t="s">
        <v>1873</v>
      </c>
      <c r="C2380" s="21"/>
      <c r="D2380" s="21" t="s">
        <v>17</v>
      </c>
      <c r="E2380" s="21"/>
      <c r="F2380" s="21">
        <f>C2380*E2380</f>
      </c>
    </row>
    <row r="2381">
      <c r="A2381" s="4" t="s">
        <v>1951</v>
      </c>
      <c r="B2381" s="14" t="s">
        <v>194</v>
      </c>
      <c r="C2381" s="21"/>
      <c r="D2381" s="21" t="s">
        <v>17</v>
      </c>
      <c r="E2381" s="21"/>
      <c r="F2381" s="21">
        <f>C2381*E2381</f>
      </c>
    </row>
    <row r="2382">
      <c r="A2382" s="3"/>
      <c r="B2382" s="11" t="s">
        <v>42</v>
      </c>
      <c r="C2382" s="20"/>
      <c r="D2382" s="20"/>
      <c r="E2382" s="20"/>
      <c r="F2382" s="20"/>
    </row>
    <row r="2383">
      <c r="A2383" s="4" t="s">
        <v>1952</v>
      </c>
      <c r="B2383" s="12" t="s">
        <v>207</v>
      </c>
      <c r="C2383" s="21">
        <f>(1)*(1)*(1)*(1)*(1 + (0))</f>
      </c>
      <c r="D2383" s="21" t="s">
        <v>45</v>
      </c>
      <c r="E2383" s="21"/>
      <c r="F2383" s="21">
        <f>C2383*E2383</f>
      </c>
    </row>
    <row r="2384">
      <c r="A2384" s="4" t="s">
        <v>1953</v>
      </c>
      <c r="B2384" s="12" t="s">
        <v>1183</v>
      </c>
      <c r="C2384" s="21">
        <f>(1)*(1)*(1)*(1)*(1 + (0))</f>
      </c>
      <c r="D2384" s="21" t="s">
        <v>45</v>
      </c>
      <c r="E2384" s="21"/>
      <c r="F2384" s="21">
        <f>C2384*E2384</f>
      </c>
    </row>
    <row r="2385">
      <c r="A2385" s="4" t="s">
        <v>1954</v>
      </c>
      <c r="B2385" s="12" t="s">
        <v>1888</v>
      </c>
      <c r="C2385" s="21">
        <f>(1)*(1)*(1)*(1)*(1 + (0))</f>
      </c>
      <c r="D2385" s="21" t="s">
        <v>45</v>
      </c>
      <c r="E2385" s="21"/>
      <c r="F2385" s="21">
        <f>C2385*E2385</f>
      </c>
    </row>
    <row r="2386">
      <c r="A2386" s="4" t="s">
        <v>1955</v>
      </c>
      <c r="B2386" s="12" t="s">
        <v>1937</v>
      </c>
      <c r="C2386" s="21">
        <f>(1)*(1)*(1)*(1)*(1 + (0))</f>
      </c>
      <c r="D2386" s="21" t="s">
        <v>45</v>
      </c>
      <c r="E2386" s="21"/>
      <c r="F2386" s="21">
        <f>C2386*E2386</f>
      </c>
    </row>
    <row r="2387">
      <c r="A2387" s="4" t="s">
        <v>1956</v>
      </c>
      <c r="B2387" s="12" t="s">
        <v>832</v>
      </c>
      <c r="C2387" s="21">
        <f>(1)*(1)*(1)*(1)*(1 + (0))</f>
      </c>
      <c r="D2387" s="21" t="s">
        <v>45</v>
      </c>
      <c r="E2387" s="21"/>
      <c r="F2387" s="21">
        <f>C2387*E2387</f>
      </c>
    </row>
    <row r="2388">
      <c r="A2388" s="4" t="s">
        <v>1957</v>
      </c>
      <c r="B2388" s="12" t="s">
        <v>1958</v>
      </c>
      <c r="C2388" s="21">
        <f>(1)*(1)*(1)*(1)*(1 + (0))</f>
      </c>
      <c r="D2388" s="21" t="s">
        <v>45</v>
      </c>
      <c r="E2388" s="21"/>
      <c r="F2388" s="21">
        <f>C2388*E2388</f>
      </c>
    </row>
    <row r="2389">
      <c r="A2389" s="4" t="s">
        <v>1959</v>
      </c>
      <c r="B2389" s="7" t="s">
        <v>1960</v>
      </c>
      <c r="C2389" s="21">
        <f>(1)*(1)*(1)*(1)*(1 + (0))</f>
      </c>
      <c r="D2389" s="21" t="s">
        <v>45</v>
      </c>
      <c r="E2389" s="21"/>
      <c r="F2389" s="21">
        <f>C2389*E2389</f>
      </c>
    </row>
    <row r="2390">
      <c r="A2390" s="2"/>
      <c r="B2390" s="10" t="s">
        <v>1961</v>
      </c>
      <c r="C2390" s="19"/>
      <c r="D2390" s="19"/>
      <c r="E2390" s="19"/>
      <c r="F2390" s="19"/>
    </row>
    <row r="2391">
      <c r="A2391" s="3"/>
      <c r="B2391" s="11" t="s">
        <v>14</v>
      </c>
      <c r="C2391" s="20"/>
      <c r="D2391" s="20"/>
      <c r="E2391" s="20"/>
      <c r="F2391" s="20"/>
    </row>
    <row r="2392">
      <c r="A2392" s="4" t="s">
        <v>1001</v>
      </c>
      <c r="B2392" s="12" t="s">
        <v>16</v>
      </c>
      <c r="C2392" s="21"/>
      <c r="D2392" s="21" t="s">
        <v>17</v>
      </c>
      <c r="E2392" s="21"/>
      <c r="F2392" s="21">
        <f>C2392*E2392</f>
      </c>
    </row>
    <row r="2393">
      <c r="A2393" s="4" t="s">
        <v>1002</v>
      </c>
      <c r="B2393" s="12" t="s">
        <v>19</v>
      </c>
      <c r="C2393" s="21"/>
      <c r="D2393" s="21" t="s">
        <v>17</v>
      </c>
      <c r="E2393" s="21"/>
      <c r="F2393" s="21">
        <f>C2393*E2393</f>
      </c>
    </row>
    <row r="2394">
      <c r="A2394" s="3"/>
      <c r="B2394" s="11" t="s">
        <v>22</v>
      </c>
      <c r="C2394" s="20"/>
      <c r="D2394" s="20"/>
      <c r="E2394" s="20"/>
      <c r="F2394" s="20"/>
    </row>
    <row r="2395">
      <c r="A2395" s="4"/>
      <c r="B2395" s="12" t="s">
        <v>1962</v>
      </c>
      <c r="C2395" s="21"/>
      <c r="D2395" s="21" t="s">
        <v>17</v>
      </c>
      <c r="E2395" s="21"/>
      <c r="F2395" s="21">
        <f>C2395*E2395</f>
      </c>
    </row>
    <row r="2396">
      <c r="A2396" s="4"/>
      <c r="B2396" s="12" t="s">
        <v>1963</v>
      </c>
      <c r="C2396" s="21"/>
      <c r="D2396" s="21" t="s">
        <v>17</v>
      </c>
      <c r="E2396" s="21"/>
      <c r="F2396" s="21">
        <f>C2396*E2396</f>
      </c>
    </row>
    <row r="2397">
      <c r="A2397" s="3"/>
      <c r="B2397" s="11" t="s">
        <v>24</v>
      </c>
      <c r="C2397" s="20"/>
      <c r="D2397" s="20"/>
      <c r="E2397" s="20"/>
      <c r="F2397" s="20"/>
    </row>
    <row r="2398">
      <c r="A2398" s="5"/>
      <c r="B2398" s="13" t="s">
        <v>25</v>
      </c>
      <c r="C2398" s="22"/>
      <c r="D2398" s="22"/>
      <c r="E2398" s="22"/>
      <c r="F2398" s="22"/>
    </row>
    <row r="2399">
      <c r="A2399" s="4" t="s">
        <v>1006</v>
      </c>
      <c r="B2399" s="14" t="s">
        <v>1964</v>
      </c>
      <c r="C2399" s="21"/>
      <c r="D2399" s="21" t="s">
        <v>17</v>
      </c>
      <c r="E2399" s="21"/>
      <c r="F2399" s="21">
        <f>C2399*E2399</f>
      </c>
    </row>
    <row r="2400">
      <c r="A2400" s="4" t="s">
        <v>1007</v>
      </c>
      <c r="B2400" s="14" t="s">
        <v>1873</v>
      </c>
      <c r="C2400" s="21"/>
      <c r="D2400" s="21" t="s">
        <v>17</v>
      </c>
      <c r="E2400" s="21"/>
      <c r="F2400" s="21">
        <f>C2400*E2400</f>
      </c>
    </row>
    <row r="2401">
      <c r="A2401" s="4" t="s">
        <v>1008</v>
      </c>
      <c r="B2401" s="14" t="s">
        <v>194</v>
      </c>
      <c r="C2401" s="21"/>
      <c r="D2401" s="21" t="s">
        <v>17</v>
      </c>
      <c r="E2401" s="21"/>
      <c r="F2401" s="21">
        <f>C2401*E2401</f>
      </c>
    </row>
    <row r="2402">
      <c r="A2402" s="3"/>
      <c r="B2402" s="11" t="s">
        <v>42</v>
      </c>
      <c r="C2402" s="20"/>
      <c r="D2402" s="20"/>
      <c r="E2402" s="20"/>
      <c r="F2402" s="20"/>
    </row>
    <row r="2403">
      <c r="A2403" s="4" t="s">
        <v>1014</v>
      </c>
      <c r="B2403" s="12" t="s">
        <v>1888</v>
      </c>
      <c r="C2403" s="21">
        <f>(1)*(1)*(1)*(1)*(1 + (0))</f>
      </c>
      <c r="D2403" s="21" t="s">
        <v>45</v>
      </c>
      <c r="E2403" s="21"/>
      <c r="F2403" s="21">
        <f>C2403*E2403</f>
      </c>
    </row>
    <row r="2404">
      <c r="A2404" s="4" t="s">
        <v>1015</v>
      </c>
      <c r="B2404" s="12" t="s">
        <v>1937</v>
      </c>
      <c r="C2404" s="21">
        <f>(1)*(1)*(1)*(1)*(1 + (0))</f>
      </c>
      <c r="D2404" s="21" t="s">
        <v>45</v>
      </c>
      <c r="E2404" s="21"/>
      <c r="F2404" s="21">
        <f>C2404*E2404</f>
      </c>
    </row>
    <row r="2405">
      <c r="A2405" s="4" t="s">
        <v>1021</v>
      </c>
      <c r="B2405" s="12" t="s">
        <v>832</v>
      </c>
      <c r="C2405" s="21">
        <f>(1)*(1)*(1)*(1)*(1 + (0))</f>
      </c>
      <c r="D2405" s="21" t="s">
        <v>45</v>
      </c>
      <c r="E2405" s="21"/>
      <c r="F2405" s="21">
        <f>C2405*E2405</f>
      </c>
    </row>
    <row r="2406">
      <c r="A2406" s="3"/>
      <c r="B2406" s="11" t="s">
        <v>1965</v>
      </c>
      <c r="C2406" s="20"/>
      <c r="D2406" s="20"/>
      <c r="E2406" s="20"/>
      <c r="F2406" s="20"/>
    </row>
    <row r="2407">
      <c r="A2407" s="4"/>
      <c r="B2407" s="12" t="s">
        <v>1966</v>
      </c>
      <c r="C2407" s="21">
        <f>(1)*(1)*(1)*(1)*(1 + (0))</f>
      </c>
      <c r="D2407" s="21" t="s">
        <v>170</v>
      </c>
      <c r="E2407" s="21"/>
      <c r="F2407" s="21">
        <f>C2407*E2407</f>
      </c>
    </row>
    <row r="2408">
      <c r="A2408" s="2"/>
      <c r="B2408" s="10" t="s">
        <v>1967</v>
      </c>
      <c r="C2408" s="19"/>
      <c r="D2408" s="19"/>
      <c r="E2408" s="19"/>
      <c r="F2408" s="19"/>
    </row>
    <row r="2409">
      <c r="A2409" s="3"/>
      <c r="B2409" s="11" t="s">
        <v>14</v>
      </c>
      <c r="C2409" s="20"/>
      <c r="D2409" s="20"/>
      <c r="E2409" s="20"/>
      <c r="F2409" s="20"/>
    </row>
    <row r="2410">
      <c r="A2410" s="4" t="s">
        <v>1968</v>
      </c>
      <c r="B2410" s="12" t="s">
        <v>1969</v>
      </c>
      <c r="C2410" s="21"/>
      <c r="D2410" s="21" t="s">
        <v>17</v>
      </c>
      <c r="E2410" s="21"/>
      <c r="F2410" s="21">
        <f>C2410*E2410</f>
      </c>
    </row>
    <row r="2411">
      <c r="A2411" s="4" t="s">
        <v>1970</v>
      </c>
      <c r="B2411" s="12" t="s">
        <v>19</v>
      </c>
      <c r="C2411" s="21"/>
      <c r="D2411" s="21" t="s">
        <v>17</v>
      </c>
      <c r="E2411" s="21"/>
      <c r="F2411" s="21">
        <f>C2411*E2411</f>
      </c>
    </row>
    <row r="2412">
      <c r="A2412" s="3"/>
      <c r="B2412" s="11" t="s">
        <v>24</v>
      </c>
      <c r="C2412" s="20"/>
      <c r="D2412" s="20"/>
      <c r="E2412" s="20"/>
      <c r="F2412" s="20"/>
    </row>
    <row r="2413">
      <c r="A2413" s="5"/>
      <c r="B2413" s="13" t="s">
        <v>1971</v>
      </c>
      <c r="C2413" s="22"/>
      <c r="D2413" s="22"/>
      <c r="E2413" s="22"/>
      <c r="F2413" s="22"/>
    </row>
    <row r="2414">
      <c r="A2414" s="4" t="s">
        <v>1972</v>
      </c>
      <c r="B2414" s="14" t="s">
        <v>1973</v>
      </c>
      <c r="C2414" s="21"/>
      <c r="D2414" s="21" t="s">
        <v>17</v>
      </c>
      <c r="E2414" s="21"/>
      <c r="F2414" s="21">
        <f>C2414*E2414</f>
      </c>
    </row>
    <row r="2415">
      <c r="A2415" s="4" t="s">
        <v>1974</v>
      </c>
      <c r="B2415" s="14" t="s">
        <v>107</v>
      </c>
      <c r="C2415" s="21"/>
      <c r="D2415" s="21" t="s">
        <v>17</v>
      </c>
      <c r="E2415" s="21"/>
      <c r="F2415" s="21">
        <f>C2415*E2415</f>
      </c>
    </row>
    <row r="2416">
      <c r="A2416" s="4" t="s">
        <v>1975</v>
      </c>
      <c r="B2416" s="14" t="s">
        <v>1976</v>
      </c>
      <c r="C2416" s="21"/>
      <c r="D2416" s="21" t="s">
        <v>17</v>
      </c>
      <c r="E2416" s="21"/>
      <c r="F2416" s="21">
        <f>C2416*E2416</f>
      </c>
    </row>
    <row r="2417">
      <c r="A2417" s="4" t="s">
        <v>1977</v>
      </c>
      <c r="B2417" s="14" t="s">
        <v>1978</v>
      </c>
      <c r="C2417" s="21"/>
      <c r="D2417" s="21" t="s">
        <v>17</v>
      </c>
      <c r="E2417" s="21"/>
      <c r="F2417" s="21">
        <f>C2417*E2417</f>
      </c>
    </row>
    <row r="2418">
      <c r="A2418" s="4" t="s">
        <v>1979</v>
      </c>
      <c r="B2418" s="14" t="s">
        <v>115</v>
      </c>
      <c r="C2418" s="21"/>
      <c r="D2418" s="21" t="s">
        <v>17</v>
      </c>
      <c r="E2418" s="21"/>
      <c r="F2418" s="21">
        <f>C2418*E2418</f>
      </c>
    </row>
    <row r="2419">
      <c r="A2419" s="4" t="s">
        <v>1980</v>
      </c>
      <c r="B2419" s="14" t="s">
        <v>119</v>
      </c>
      <c r="C2419" s="21"/>
      <c r="D2419" s="21" t="s">
        <v>17</v>
      </c>
      <c r="E2419" s="21"/>
      <c r="F2419" s="21">
        <f>C2419*E2419</f>
      </c>
    </row>
    <row r="2420">
      <c r="A2420" s="4" t="s">
        <v>1981</v>
      </c>
      <c r="B2420" s="14" t="s">
        <v>124</v>
      </c>
      <c r="C2420" s="21"/>
      <c r="D2420" s="21" t="s">
        <v>17</v>
      </c>
      <c r="E2420" s="21"/>
      <c r="F2420" s="21">
        <f>C2420*E2420</f>
      </c>
    </row>
    <row r="2421">
      <c r="A2421" s="4" t="s">
        <v>1982</v>
      </c>
      <c r="B2421" s="14" t="s">
        <v>194</v>
      </c>
      <c r="C2421" s="21"/>
      <c r="D2421" s="21" t="s">
        <v>17</v>
      </c>
      <c r="E2421" s="21"/>
      <c r="F2421" s="21">
        <f>C2421*E2421</f>
      </c>
    </row>
    <row r="2422">
      <c r="A2422" s="3"/>
      <c r="B2422" s="11" t="s">
        <v>98</v>
      </c>
      <c r="C2422" s="20"/>
      <c r="D2422" s="20"/>
      <c r="E2422" s="20"/>
      <c r="F2422" s="20"/>
    </row>
    <row r="2423">
      <c r="A2423" s="4"/>
      <c r="B2423" s="12" t="s">
        <v>1003</v>
      </c>
      <c r="C2423" s="21"/>
      <c r="D2423" s="21" t="s">
        <v>17</v>
      </c>
      <c r="E2423" s="21"/>
      <c r="F2423" s="21">
        <f>C2423*E2423</f>
      </c>
    </row>
    <row r="2424">
      <c r="A2424" s="4"/>
      <c r="B2424" s="12" t="s">
        <v>1983</v>
      </c>
      <c r="C2424" s="21"/>
      <c r="D2424" s="21" t="s">
        <v>17</v>
      </c>
      <c r="E2424" s="21"/>
      <c r="F2424" s="21">
        <f>C2424*E2424</f>
      </c>
    </row>
    <row r="2425">
      <c r="A2425" s="4"/>
      <c r="B2425" s="12" t="s">
        <v>1984</v>
      </c>
      <c r="C2425" s="21"/>
      <c r="D2425" s="21" t="s">
        <v>17</v>
      </c>
      <c r="E2425" s="21"/>
      <c r="F2425" s="21">
        <f>C2425*E2425</f>
      </c>
    </row>
    <row r="2426">
      <c r="A2426" s="4"/>
      <c r="B2426" s="12" t="s">
        <v>1985</v>
      </c>
      <c r="C2426" s="21"/>
      <c r="D2426" s="21" t="s">
        <v>17</v>
      </c>
      <c r="E2426" s="21"/>
      <c r="F2426" s="21">
        <f>C2426*E2426</f>
      </c>
    </row>
    <row r="2427">
      <c r="A2427" s="3"/>
      <c r="B2427" s="11" t="s">
        <v>42</v>
      </c>
      <c r="C2427" s="20"/>
      <c r="D2427" s="20"/>
      <c r="E2427" s="20"/>
      <c r="F2427" s="20"/>
    </row>
    <row r="2428">
      <c r="A2428" s="4" t="s">
        <v>1986</v>
      </c>
      <c r="B2428" s="12" t="s">
        <v>136</v>
      </c>
      <c r="C2428" s="21">
        <f>(1)*(1)*(1)*(1)*(1 + (0))</f>
      </c>
      <c r="D2428" s="21" t="s">
        <v>45</v>
      </c>
      <c r="E2428" s="21"/>
      <c r="F2428" s="21">
        <f>C2428*E2428</f>
      </c>
    </row>
    <row r="2429">
      <c r="A2429" s="4" t="s">
        <v>1987</v>
      </c>
      <c r="B2429" s="12" t="s">
        <v>1074</v>
      </c>
      <c r="C2429" s="21">
        <f>(1)*(1)*(1)*(1)*(1 + (0))</f>
      </c>
      <c r="D2429" s="21" t="s">
        <v>45</v>
      </c>
      <c r="E2429" s="21"/>
      <c r="F2429" s="21">
        <f>C2429*E2429</f>
      </c>
    </row>
    <row r="2430">
      <c r="A2430" s="4" t="s">
        <v>1988</v>
      </c>
      <c r="B2430" s="12" t="s">
        <v>1989</v>
      </c>
      <c r="C2430" s="21">
        <f>(1)*(1)*(1)*(1)*(1 + (0))</f>
      </c>
      <c r="D2430" s="21" t="s">
        <v>45</v>
      </c>
      <c r="E2430" s="21"/>
      <c r="F2430" s="21">
        <f>C2430*E2430</f>
      </c>
    </row>
    <row r="2431">
      <c r="A2431" s="4" t="s">
        <v>1990</v>
      </c>
      <c r="B2431" s="12" t="s">
        <v>1991</v>
      </c>
      <c r="C2431" s="21">
        <f>(1)*(1)*(1)*(1)*(1 + (0))</f>
      </c>
      <c r="D2431" s="21" t="s">
        <v>45</v>
      </c>
      <c r="E2431" s="21"/>
      <c r="F2431" s="21">
        <f>C2431*E2431</f>
      </c>
    </row>
    <row r="2432">
      <c r="A2432" s="4" t="s">
        <v>1992</v>
      </c>
      <c r="B2432" s="12" t="s">
        <v>832</v>
      </c>
      <c r="C2432" s="21">
        <f>(1)*(1)*(1)*(1)*(1 + (0))</f>
      </c>
      <c r="D2432" s="21" t="s">
        <v>45</v>
      </c>
      <c r="E2432" s="21"/>
      <c r="F2432" s="21">
        <f>C2432*E2432</f>
      </c>
    </row>
    <row r="2433">
      <c r="A2433" s="4" t="s">
        <v>1993</v>
      </c>
      <c r="B2433" s="12" t="s">
        <v>134</v>
      </c>
      <c r="C2433" s="21">
        <f>(1)*(1)*(1)*(1)*(1 + (0))</f>
      </c>
      <c r="D2433" s="21" t="s">
        <v>45</v>
      </c>
      <c r="E2433" s="21"/>
      <c r="F2433" s="21">
        <f>C2433*E2433</f>
      </c>
    </row>
    <row r="2434">
      <c r="A2434" s="4" t="s">
        <v>1994</v>
      </c>
      <c r="B2434" s="12" t="s">
        <v>1995</v>
      </c>
      <c r="C2434" s="21">
        <f>(1)*(1)*(1)*(1)*(1 + (0))</f>
      </c>
      <c r="D2434" s="21" t="s">
        <v>45</v>
      </c>
      <c r="E2434" s="21"/>
      <c r="F2434" s="21">
        <f>C2434*E2434</f>
      </c>
    </row>
    <row r="2435">
      <c r="A2435" s="4" t="s">
        <v>1996</v>
      </c>
      <c r="B2435" s="12" t="s">
        <v>1997</v>
      </c>
      <c r="C2435" s="21">
        <f>(1)*(1)*(1)*(1)*(1 + (0))</f>
      </c>
      <c r="D2435" s="21" t="s">
        <v>45</v>
      </c>
      <c r="E2435" s="21"/>
      <c r="F2435" s="21">
        <f>C2435*E2435</f>
      </c>
    </row>
    <row r="2436">
      <c r="A2436" s="4" t="s">
        <v>1998</v>
      </c>
      <c r="B2436" s="12" t="s">
        <v>1999</v>
      </c>
      <c r="C2436" s="21">
        <f>(1)*(1)*(1)*(1)*(1 + (0))</f>
      </c>
      <c r="D2436" s="21" t="s">
        <v>45</v>
      </c>
      <c r="E2436" s="21"/>
      <c r="F2436" s="21">
        <f>C2436*E2436</f>
      </c>
    </row>
    <row r="2437">
      <c r="A2437" s="4" t="s">
        <v>2000</v>
      </c>
      <c r="B2437" s="12" t="s">
        <v>2001</v>
      </c>
      <c r="C2437" s="21">
        <f>(1)*(1)*(1)*(1)*(1 + (0))</f>
      </c>
      <c r="D2437" s="21" t="s">
        <v>45</v>
      </c>
      <c r="E2437" s="21"/>
      <c r="F2437" s="21">
        <f>C2437*E2437</f>
      </c>
    </row>
    <row r="2438">
      <c r="A2438" s="4" t="s">
        <v>2002</v>
      </c>
      <c r="B2438" s="12" t="s">
        <v>2003</v>
      </c>
      <c r="C2438" s="21">
        <f>(1)*(1)*(1)*(1)*(1 + (0))</f>
      </c>
      <c r="D2438" s="21" t="s">
        <v>45</v>
      </c>
      <c r="E2438" s="21"/>
      <c r="F2438" s="21">
        <f>C2438*E2438</f>
      </c>
    </row>
    <row r="2439">
      <c r="A2439" s="3"/>
      <c r="B2439" s="11" t="s">
        <v>82</v>
      </c>
      <c r="C2439" s="20"/>
      <c r="D2439" s="20"/>
      <c r="E2439" s="20"/>
      <c r="F2439" s="20"/>
    </row>
    <row r="2440">
      <c r="A2440" s="4"/>
      <c r="B2440" s="12" t="s">
        <v>2004</v>
      </c>
      <c r="C2440" s="21"/>
      <c r="D2440" s="21" t="s">
        <v>264</v>
      </c>
      <c r="E2440" s="21"/>
      <c r="F2440" s="21">
        <f>C2440*E2440</f>
      </c>
    </row>
    <row r="2441">
      <c r="A2441" s="3"/>
      <c r="B2441" s="11" t="s">
        <v>2005</v>
      </c>
      <c r="C2441" s="20"/>
      <c r="D2441" s="20"/>
      <c r="E2441" s="20"/>
      <c r="F2441" s="20"/>
    </row>
    <row r="2442">
      <c r="A2442" s="5"/>
      <c r="B2442" s="13" t="s">
        <v>2006</v>
      </c>
      <c r="C2442" s="22"/>
      <c r="D2442" s="22"/>
      <c r="E2442" s="22"/>
      <c r="F2442" s="22"/>
    </row>
    <row r="2443">
      <c r="A2443" s="4"/>
      <c r="B2443" s="14" t="s">
        <v>2007</v>
      </c>
      <c r="C2443" s="21">
        <f>(4)*(1)*(1)*(1)*(1 + (0))</f>
      </c>
      <c r="D2443" s="21" t="s">
        <v>170</v>
      </c>
      <c r="E2443" s="21"/>
      <c r="F2443" s="21">
        <f>C2443*E2443</f>
      </c>
    </row>
    <row r="2444">
      <c r="A2444" s="4"/>
      <c r="B2444" s="14" t="s">
        <v>2008</v>
      </c>
      <c r="C2444" s="21">
        <f>(10)*(1)*(1)*(1)*(1 + (0))</f>
      </c>
      <c r="D2444" s="21" t="s">
        <v>170</v>
      </c>
      <c r="E2444" s="21"/>
      <c r="F2444" s="21">
        <f>C2444*E2444</f>
      </c>
    </row>
    <row r="2445">
      <c r="A2445" s="4"/>
      <c r="B2445" s="14" t="s">
        <v>2009</v>
      </c>
      <c r="C2445" s="21">
        <f>(9)*(1)*(1)*(1)*(1 + (0))</f>
      </c>
      <c r="D2445" s="21" t="s">
        <v>170</v>
      </c>
      <c r="E2445" s="21"/>
      <c r="F2445" s="21">
        <f>C2445*E2445</f>
      </c>
    </row>
    <row r="2446">
      <c r="A2446" s="4"/>
      <c r="B2446" s="14" t="s">
        <v>2010</v>
      </c>
      <c r="C2446" s="21">
        <f>(5)*(1)*(1)*(1)*(1 + (0))</f>
      </c>
      <c r="D2446" s="21" t="s">
        <v>170</v>
      </c>
      <c r="E2446" s="21"/>
      <c r="F2446" s="21">
        <f>C2446*E2446</f>
      </c>
    </row>
    <row r="2447">
      <c r="A2447" s="4"/>
      <c r="B2447" s="14" t="s">
        <v>2011</v>
      </c>
      <c r="C2447" s="21">
        <f>(5)*(1)*(1)*(1)*(1 + (0))</f>
      </c>
      <c r="D2447" s="21" t="s">
        <v>170</v>
      </c>
      <c r="E2447" s="21"/>
      <c r="F2447" s="21">
        <f>C2447*E2447</f>
      </c>
    </row>
    <row r="2448">
      <c r="A2448" s="4"/>
      <c r="B2448" s="14" t="s">
        <v>2012</v>
      </c>
      <c r="C2448" s="21">
        <f>(1)*(1)*(1)*(1)*(1 + (0))</f>
      </c>
      <c r="D2448" s="21" t="s">
        <v>170</v>
      </c>
      <c r="E2448" s="21"/>
      <c r="F2448" s="21">
        <f>C2448*E2448</f>
      </c>
    </row>
    <row r="2449">
      <c r="A2449" s="5"/>
      <c r="B2449" s="13" t="s">
        <v>2013</v>
      </c>
      <c r="C2449" s="22"/>
      <c r="D2449" s="22"/>
      <c r="E2449" s="22"/>
      <c r="F2449" s="22"/>
    </row>
    <row r="2450">
      <c r="A2450" s="4"/>
      <c r="B2450" s="14" t="s">
        <v>2014</v>
      </c>
      <c r="C2450" s="21">
        <f>(3)*(1)*(1)*(1)*(1 + (0))</f>
      </c>
      <c r="D2450" s="21" t="s">
        <v>170</v>
      </c>
      <c r="E2450" s="21"/>
      <c r="F2450" s="21">
        <f>C2450*E2450</f>
      </c>
    </row>
    <row r="2451">
      <c r="A2451" s="4"/>
      <c r="B2451" s="14" t="s">
        <v>2015</v>
      </c>
      <c r="C2451" s="21">
        <f>(5)*(1)*(1)*(1)*(1 + (0))</f>
      </c>
      <c r="D2451" s="21" t="s">
        <v>170</v>
      </c>
      <c r="E2451" s="21"/>
      <c r="F2451" s="21">
        <f>C2451*E2451</f>
      </c>
    </row>
    <row r="2452">
      <c r="A2452" s="5"/>
      <c r="B2452" s="13" t="s">
        <v>2016</v>
      </c>
      <c r="C2452" s="22"/>
      <c r="D2452" s="22"/>
      <c r="E2452" s="22"/>
      <c r="F2452" s="22"/>
    </row>
    <row r="2453">
      <c r="A2453" s="4"/>
      <c r="B2453" s="14" t="s">
        <v>2017</v>
      </c>
      <c r="C2453" s="21">
        <f>(61)*(1)*(1)*(1)*(1 + (0))</f>
      </c>
      <c r="D2453" s="21" t="s">
        <v>170</v>
      </c>
      <c r="E2453" s="21"/>
      <c r="F2453" s="21">
        <f>C2453*E2453</f>
      </c>
    </row>
    <row r="2454">
      <c r="A2454" s="4"/>
      <c r="B2454" s="14" t="s">
        <v>2018</v>
      </c>
      <c r="C2454" s="21">
        <f>(448)*(1)*(1)*(1)*(1 + (0))</f>
      </c>
      <c r="D2454" s="21" t="s">
        <v>170</v>
      </c>
      <c r="E2454" s="21"/>
      <c r="F2454" s="21">
        <f>C2454*E2454</f>
      </c>
    </row>
    <row r="2455">
      <c r="A2455" s="3"/>
      <c r="B2455" s="11" t="s">
        <v>2019</v>
      </c>
      <c r="C2455" s="20"/>
      <c r="D2455" s="20"/>
      <c r="E2455" s="20"/>
      <c r="F2455" s="20"/>
    </row>
    <row r="2456">
      <c r="A2456" s="4"/>
      <c r="B2456" s="12" t="s">
        <v>2020</v>
      </c>
      <c r="C2456" s="21">
        <f>(1618.02671308528)*(1)*(1)*(1)*(1 + (0))</f>
      </c>
      <c r="D2456" s="21" t="s">
        <v>9</v>
      </c>
      <c r="E2456" s="21"/>
      <c r="F2456" s="21">
        <f>C2456*E2456</f>
      </c>
    </row>
    <row r="2457">
      <c r="A2457" s="4"/>
      <c r="B2457" s="12" t="s">
        <v>2021</v>
      </c>
      <c r="C2457" s="21">
        <f>(140.967517810654)*(1)*(1)*(1)*(1 + (0))</f>
      </c>
      <c r="D2457" s="21" t="s">
        <v>9</v>
      </c>
      <c r="E2457" s="21"/>
      <c r="F2457" s="21">
        <f>C2457*E2457</f>
      </c>
    </row>
    <row r="2458">
      <c r="A2458" s="3"/>
      <c r="B2458" s="11" t="s">
        <v>2022</v>
      </c>
      <c r="C2458" s="20"/>
      <c r="D2458" s="20"/>
      <c r="E2458" s="20"/>
      <c r="F2458" s="20"/>
    </row>
    <row r="2459">
      <c r="A2459" s="5"/>
      <c r="B2459" s="13" t="s">
        <v>2023</v>
      </c>
      <c r="C2459" s="22"/>
      <c r="D2459" s="22"/>
      <c r="E2459" s="22"/>
      <c r="F2459" s="22"/>
    </row>
    <row r="2460">
      <c r="A2460" s="4"/>
      <c r="B2460" s="14" t="s">
        <v>2024</v>
      </c>
      <c r="C2460" s="21">
        <f>(110.381327598399)*(1)*(1)*(1)*(1 + (0))</f>
      </c>
      <c r="D2460" s="21" t="s">
        <v>167</v>
      </c>
      <c r="E2460" s="21"/>
      <c r="F2460" s="21">
        <f>C2460*E2460</f>
      </c>
    </row>
    <row r="2461">
      <c r="A2461" s="4"/>
      <c r="B2461" s="14" t="s">
        <v>2025</v>
      </c>
      <c r="C2461" s="21">
        <f>(4)*(1)*(1)*(1)*(1 + (0))</f>
      </c>
      <c r="D2461" s="21" t="s">
        <v>170</v>
      </c>
      <c r="E2461" s="21"/>
      <c r="F2461" s="21">
        <f>C2461*E2461</f>
      </c>
    </row>
    <row r="2462">
      <c r="A2462" s="3"/>
      <c r="B2462" s="11" t="s">
        <v>2026</v>
      </c>
      <c r="C2462" s="20"/>
      <c r="D2462" s="20"/>
      <c r="E2462" s="20"/>
      <c r="F2462" s="20"/>
    </row>
    <row r="2463">
      <c r="A2463" s="4"/>
      <c r="B2463" s="12" t="s">
        <v>2027</v>
      </c>
      <c r="C2463" s="21">
        <f>(34)*(1)*(1)*(1)*(1 + (0))</f>
      </c>
      <c r="D2463" s="21" t="s">
        <v>170</v>
      </c>
      <c r="E2463" s="21"/>
      <c r="F2463" s="21">
        <f>C2463*E2463</f>
      </c>
    </row>
    <row r="2464">
      <c r="A2464" s="4"/>
      <c r="B2464" s="12" t="s">
        <v>2028</v>
      </c>
      <c r="C2464" s="21">
        <f>(116.60515406931)*(1)*(1)*(1)*(1 + (0))</f>
      </c>
      <c r="D2464" s="21" t="s">
        <v>9</v>
      </c>
      <c r="E2464" s="21"/>
      <c r="F2464" s="21">
        <f>C2464*E2464</f>
      </c>
    </row>
    <row r="2465">
      <c r="A2465" s="4"/>
      <c r="B2465" s="12" t="s">
        <v>2029</v>
      </c>
      <c r="C2465" s="21">
        <f>(1388.54839286136)*(1)*(1)*(1)*(1 + (0))</f>
      </c>
      <c r="D2465" s="21" t="s">
        <v>9</v>
      </c>
      <c r="E2465" s="21"/>
      <c r="F2465" s="21">
        <f>C2465*E2465</f>
      </c>
    </row>
    <row r="2466">
      <c r="A2466" s="4"/>
      <c r="B2466" s="12" t="s">
        <v>2030</v>
      </c>
      <c r="C2466" s="21">
        <f>(235.575421281088)*(1)*(1)*(1)*(1 + (0))</f>
      </c>
      <c r="D2466" s="21" t="s">
        <v>9</v>
      </c>
      <c r="E2466" s="21"/>
      <c r="F2466" s="21">
        <f>C2466*E2466</f>
      </c>
    </row>
    <row r="2467">
      <c r="A2467" s="4"/>
      <c r="B2467" s="12" t="s">
        <v>2031</v>
      </c>
      <c r="C2467" s="21">
        <f>(12.807404359357)*(1)*(1)*(1)*(1 + (0))</f>
      </c>
      <c r="D2467" s="21" t="s">
        <v>167</v>
      </c>
      <c r="E2467" s="21"/>
      <c r="F2467" s="21">
        <f>C2467*E2467</f>
      </c>
    </row>
    <row r="2468">
      <c r="A2468" s="4"/>
      <c r="B2468" s="12" t="s">
        <v>2032</v>
      </c>
      <c r="C2468" s="21">
        <f>(34)*(1)*(1)*(1)*(1 + (0))</f>
      </c>
      <c r="D2468" s="21" t="s">
        <v>170</v>
      </c>
      <c r="E2468" s="21"/>
      <c r="F2468" s="21">
        <f>C2468*E2468</f>
      </c>
    </row>
    <row r="2469">
      <c r="A2469" s="4"/>
      <c r="B2469" s="12" t="s">
        <v>2033</v>
      </c>
      <c r="C2469" s="21">
        <f>(116.60515406931)*(1)*(1)*(1)*(1 + (0))</f>
      </c>
      <c r="D2469" s="21" t="s">
        <v>9</v>
      </c>
      <c r="E2469" s="21"/>
      <c r="F2469" s="21">
        <f>C2469*E2469</f>
      </c>
    </row>
    <row r="2470">
      <c r="A2470" s="3"/>
      <c r="B2470" s="11" t="s">
        <v>2034</v>
      </c>
      <c r="C2470" s="20"/>
      <c r="D2470" s="20"/>
      <c r="E2470" s="20"/>
      <c r="F2470" s="20"/>
    </row>
    <row r="2471">
      <c r="A2471" s="5"/>
      <c r="B2471" s="13" t="s">
        <v>2035</v>
      </c>
      <c r="C2471" s="22"/>
      <c r="D2471" s="22"/>
      <c r="E2471" s="22"/>
      <c r="F2471" s="22"/>
    </row>
    <row r="2472">
      <c r="A2472" s="4"/>
      <c r="B2472" s="14" t="s">
        <v>2036</v>
      </c>
      <c r="C2472" s="21">
        <f>(293)*(1)*(1)*(1)*(1 + (0))</f>
      </c>
      <c r="D2472" s="21" t="s">
        <v>167</v>
      </c>
      <c r="E2472" s="21"/>
      <c r="F2472" s="21">
        <f>C2472*E2472</f>
      </c>
    </row>
    <row r="2473">
      <c r="A2473" s="5"/>
      <c r="B2473" s="13" t="s">
        <v>2037</v>
      </c>
      <c r="C2473" s="22"/>
      <c r="D2473" s="22"/>
      <c r="E2473" s="22"/>
      <c r="F2473" s="22"/>
    </row>
    <row r="2474">
      <c r="A2474" s="6"/>
      <c r="B2474" s="15" t="s">
        <v>2038</v>
      </c>
      <c r="C2474" s="23"/>
      <c r="D2474" s="23"/>
      <c r="E2474" s="23"/>
      <c r="F2474" s="23"/>
    </row>
    <row r="2475">
      <c r="A2475" s="4"/>
      <c r="B2475" s="16" t="s">
        <v>2039</v>
      </c>
      <c r="C2475" s="21">
        <f>(1)*(1)*(1)*(1)*(1 + (0))</f>
      </c>
      <c r="D2475" s="21" t="s">
        <v>170</v>
      </c>
      <c r="E2475" s="21"/>
      <c r="F2475" s="21">
        <f>C2475*E2475</f>
      </c>
    </row>
    <row r="2476">
      <c r="A2476" s="6"/>
      <c r="B2476" s="15" t="s">
        <v>2040</v>
      </c>
      <c r="C2476" s="23"/>
      <c r="D2476" s="23"/>
      <c r="E2476" s="23"/>
      <c r="F2476" s="23"/>
    </row>
    <row r="2477">
      <c r="A2477" s="4"/>
      <c r="B2477" s="16" t="s">
        <v>2041</v>
      </c>
      <c r="C2477" s="21">
        <f>(1)*(1)*(1)*(1)*(1 + (0))</f>
      </c>
      <c r="D2477" s="21" t="s">
        <v>170</v>
      </c>
      <c r="E2477" s="21"/>
      <c r="F2477" s="21">
        <f>C2477*E2477</f>
      </c>
    </row>
    <row r="2478">
      <c r="A2478" s="5"/>
      <c r="B2478" s="13" t="s">
        <v>2042</v>
      </c>
      <c r="C2478" s="22"/>
      <c r="D2478" s="22"/>
      <c r="E2478" s="22"/>
      <c r="F2478" s="22"/>
    </row>
    <row r="2479">
      <c r="A2479" s="6"/>
      <c r="B2479" s="15" t="s">
        <v>2043</v>
      </c>
      <c r="C2479" s="23"/>
      <c r="D2479" s="23"/>
      <c r="E2479" s="23"/>
      <c r="F2479" s="23"/>
    </row>
    <row r="2480">
      <c r="A2480" s="4"/>
      <c r="B2480" s="16" t="s">
        <v>2044</v>
      </c>
      <c r="C2480" s="21">
        <f>(102)*(1)*(1)*(1)*(1 + (0))</f>
      </c>
      <c r="D2480" s="21" t="s">
        <v>167</v>
      </c>
      <c r="E2480" s="21"/>
      <c r="F2480" s="21">
        <f>C2480*E2480</f>
      </c>
    </row>
    <row r="2481">
      <c r="A2481" s="4"/>
      <c r="B2481" s="16" t="s">
        <v>2045</v>
      </c>
      <c r="C2481" s="21">
        <f>(5)*(1)*(1)*(1)*(1 + (0))</f>
      </c>
      <c r="D2481" s="21" t="s">
        <v>167</v>
      </c>
      <c r="E2481" s="21"/>
      <c r="F2481" s="21">
        <f>C2481*E2481</f>
      </c>
    </row>
    <row r="2482">
      <c r="A2482" s="4"/>
      <c r="B2482" s="16" t="s">
        <v>2046</v>
      </c>
      <c r="C2482" s="21">
        <f>(42)*(1)*(1)*(1)*(1 + (0))</f>
      </c>
      <c r="D2482" s="21" t="s">
        <v>167</v>
      </c>
      <c r="E2482" s="21"/>
      <c r="F2482" s="21">
        <f>C2482*E2482</f>
      </c>
    </row>
    <row r="2483">
      <c r="A2483" s="6"/>
      <c r="B2483" s="15" t="s">
        <v>2047</v>
      </c>
      <c r="C2483" s="23"/>
      <c r="D2483" s="23"/>
      <c r="E2483" s="23"/>
      <c r="F2483" s="23"/>
    </row>
    <row r="2484">
      <c r="A2484" s="4"/>
      <c r="B2484" s="16" t="s">
        <v>2048</v>
      </c>
      <c r="C2484" s="21">
        <f>(10)*(1)*(1)*(1)*(1 + (0))</f>
      </c>
      <c r="D2484" s="21" t="s">
        <v>167</v>
      </c>
      <c r="E2484" s="21"/>
      <c r="F2484" s="21">
        <f>C2484*E2484</f>
      </c>
    </row>
    <row r="2485">
      <c r="A2485" s="4"/>
      <c r="B2485" s="16" t="s">
        <v>2044</v>
      </c>
      <c r="C2485" s="21">
        <f>(63)*(1)*(1)*(1)*(1 + (0))</f>
      </c>
      <c r="D2485" s="21" t="s">
        <v>167</v>
      </c>
      <c r="E2485" s="21"/>
      <c r="F2485" s="21">
        <f>C2485*E2485</f>
      </c>
    </row>
    <row r="2486">
      <c r="A2486" s="4"/>
      <c r="B2486" s="16" t="s">
        <v>2045</v>
      </c>
      <c r="C2486" s="21">
        <f>(94)*(1)*(1)*(1)*(1 + (0))</f>
      </c>
      <c r="D2486" s="21" t="s">
        <v>167</v>
      </c>
      <c r="E2486" s="21"/>
      <c r="F2486" s="21">
        <f>C2486*E2486</f>
      </c>
    </row>
    <row r="2487">
      <c r="A2487" s="4"/>
      <c r="B2487" s="16" t="s">
        <v>2046</v>
      </c>
      <c r="C2487" s="21">
        <f>(7)*(1)*(1)*(1)*(1 + (0))</f>
      </c>
      <c r="D2487" s="21" t="s">
        <v>167</v>
      </c>
      <c r="E2487" s="21"/>
      <c r="F2487" s="21">
        <f>C2487*E2487</f>
      </c>
    </row>
    <row r="2488">
      <c r="A2488" s="3"/>
      <c r="B2488" s="11" t="s">
        <v>2049</v>
      </c>
      <c r="C2488" s="20"/>
      <c r="D2488" s="20"/>
      <c r="E2488" s="20"/>
      <c r="F2488" s="20"/>
    </row>
    <row r="2489">
      <c r="A2489" s="5"/>
      <c r="B2489" s="13" t="s">
        <v>610</v>
      </c>
      <c r="C2489" s="22"/>
      <c r="D2489" s="22"/>
      <c r="E2489" s="22"/>
      <c r="F2489" s="22"/>
    </row>
    <row r="2490">
      <c r="A2490" s="4"/>
      <c r="B2490" s="14" t="s">
        <v>2050</v>
      </c>
      <c r="C2490" s="21">
        <f>(1476.10305785673)*(1)*(1)*(1)*(1 + (0))</f>
      </c>
      <c r="D2490" s="21" t="s">
        <v>495</v>
      </c>
      <c r="E2490" s="21"/>
      <c r="F2490" s="21">
        <f>C2490*E2490</f>
      </c>
    </row>
    <row r="2491">
      <c r="A2491" s="4"/>
      <c r="B2491" s="14" t="s">
        <v>653</v>
      </c>
      <c r="C2491" s="21">
        <f>(221.415458678509)*(1)*(1)*(1)*(1 + (0))</f>
      </c>
      <c r="D2491" s="21" t="s">
        <v>495</v>
      </c>
      <c r="E2491" s="21"/>
      <c r="F2491" s="21">
        <f>C2491*E2491</f>
      </c>
    </row>
    <row r="2492">
      <c r="A2492" s="4"/>
      <c r="B2492" s="14" t="s">
        <v>2051</v>
      </c>
      <c r="C2492" s="21">
        <f>(1697.51851653524)*(1)*(1)*(1)*(1 + (0))</f>
      </c>
      <c r="D2492" s="21" t="s">
        <v>495</v>
      </c>
      <c r="E2492" s="21"/>
      <c r="F2492" s="21">
        <f>C2492*E2492</f>
      </c>
    </row>
    <row r="2493">
      <c r="A2493" s="5"/>
      <c r="B2493" s="13" t="s">
        <v>856</v>
      </c>
      <c r="C2493" s="22"/>
      <c r="D2493" s="22"/>
      <c r="E2493" s="22"/>
      <c r="F2493" s="22"/>
    </row>
    <row r="2494">
      <c r="A2494" s="4"/>
      <c r="B2494" s="14" t="s">
        <v>2052</v>
      </c>
      <c r="C2494" s="21">
        <f>(116)*(1)*(1)*(1)*(1 + (0))</f>
      </c>
      <c r="D2494" s="21" t="s">
        <v>9</v>
      </c>
      <c r="E2494" s="21"/>
      <c r="F2494" s="21">
        <f>C2494*E2494</f>
      </c>
    </row>
    <row r="2495">
      <c r="A2495" s="4"/>
      <c r="B2495" s="14" t="s">
        <v>2053</v>
      </c>
      <c r="C2495" s="21">
        <f>(14)*(1)*(1)*(1)*(1 + (0))</f>
      </c>
      <c r="D2495" s="21" t="s">
        <v>164</v>
      </c>
      <c r="E2495" s="21"/>
      <c r="F2495" s="21">
        <f>C2495*E2495</f>
      </c>
    </row>
    <row r="2496">
      <c r="A2496" s="4"/>
      <c r="B2496" s="14" t="s">
        <v>2054</v>
      </c>
      <c r="C2496" s="21">
        <f>(2.138064032)*(1)*(1)*(1)*(1 + (0))</f>
      </c>
      <c r="D2496" s="21" t="s">
        <v>495</v>
      </c>
      <c r="E2496" s="21"/>
      <c r="F2496" s="21">
        <f>C2496*E2496</f>
      </c>
    </row>
    <row r="2497">
      <c r="A2497" s="4"/>
      <c r="B2497" s="14" t="s">
        <v>2055</v>
      </c>
      <c r="C2497" s="21">
        <f>(112)*(1)*(1)*(1)*(1 + (0))</f>
      </c>
      <c r="D2497" s="21" t="s">
        <v>9</v>
      </c>
      <c r="E2497" s="21"/>
      <c r="F2497" s="21">
        <f>C2497*E2497</f>
      </c>
    </row>
    <row r="2498">
      <c r="A2498" s="4"/>
      <c r="B2498" s="14" t="s">
        <v>2056</v>
      </c>
      <c r="C2498" s="21">
        <f>(14)*(1)*(1)*(1)*(1 + (0))</f>
      </c>
      <c r="D2498" s="21" t="s">
        <v>167</v>
      </c>
      <c r="E2498" s="21"/>
      <c r="F2498" s="21">
        <f>C2498*E2498</f>
      </c>
    </row>
    <row r="2499">
      <c r="A2499" s="4"/>
      <c r="B2499" s="14" t="s">
        <v>2057</v>
      </c>
      <c r="C2499" s="21">
        <f>(63)*(1)*(1)*(1)*(1 + (0))</f>
      </c>
      <c r="D2499" s="21" t="s">
        <v>167</v>
      </c>
      <c r="E2499" s="21"/>
      <c r="F2499" s="21">
        <f>C2499*E2499</f>
      </c>
    </row>
    <row r="2500">
      <c r="A2500" s="4"/>
      <c r="B2500" s="14" t="s">
        <v>2058</v>
      </c>
      <c r="C2500" s="21">
        <f>(63)*(1)*(1)*(1)*(1 + (0))</f>
      </c>
      <c r="D2500" s="21" t="s">
        <v>167</v>
      </c>
      <c r="E2500" s="21"/>
      <c r="F2500" s="21">
        <f>C2500*E2500</f>
      </c>
    </row>
    <row r="2501">
      <c r="A2501" s="4"/>
      <c r="B2501" s="14" t="s">
        <v>2059</v>
      </c>
      <c r="C2501" s="21">
        <f>(90)*(1)*(1)*(1)*(1 + (0))</f>
      </c>
      <c r="D2501" s="21" t="s">
        <v>9</v>
      </c>
      <c r="E2501" s="21"/>
      <c r="F2501" s="21">
        <f>C2501*E2501</f>
      </c>
    </row>
    <row r="2502">
      <c r="A2502" s="5"/>
      <c r="B2502" s="13" t="s">
        <v>2060</v>
      </c>
      <c r="C2502" s="22"/>
      <c r="D2502" s="22"/>
      <c r="E2502" s="22"/>
      <c r="F2502" s="22"/>
    </row>
    <row r="2503">
      <c r="A2503" s="4"/>
      <c r="B2503" s="14" t="s">
        <v>2061</v>
      </c>
      <c r="C2503" s="21">
        <f>(33)*(1)*(1)*(1)*(1 + (0))</f>
      </c>
      <c r="D2503" s="21" t="s">
        <v>164</v>
      </c>
      <c r="E2503" s="21"/>
      <c r="F2503" s="21">
        <f>C2503*E2503</f>
      </c>
    </row>
    <row r="2504">
      <c r="A2504" s="4"/>
      <c r="B2504" s="14" t="s">
        <v>2062</v>
      </c>
      <c r="C2504" s="21">
        <f>(1)*(1)*(1)*(1)*(1 + (0))</f>
      </c>
      <c r="D2504" s="21" t="s">
        <v>164</v>
      </c>
      <c r="E2504" s="21"/>
      <c r="F2504" s="21">
        <f>C2504*E2504</f>
      </c>
    </row>
    <row r="2505">
      <c r="A2505" s="4"/>
      <c r="B2505" s="14" t="s">
        <v>2063</v>
      </c>
      <c r="C2505" s="21">
        <f>(1)*(1)*(1)*(1)*(1 + (0))</f>
      </c>
      <c r="D2505" s="21" t="s">
        <v>164</v>
      </c>
      <c r="E2505" s="21"/>
      <c r="F2505" s="21">
        <f>C2505*E2505</f>
      </c>
    </row>
    <row r="2506">
      <c r="A2506" s="4"/>
      <c r="B2506" s="14" t="s">
        <v>2064</v>
      </c>
      <c r="C2506" s="21">
        <f>(1)*(1)*(1)*(1)*(1 + (0))</f>
      </c>
      <c r="D2506" s="21" t="s">
        <v>164</v>
      </c>
      <c r="E2506" s="21"/>
      <c r="F2506" s="21">
        <f>C2506*E2506</f>
      </c>
    </row>
    <row r="2507">
      <c r="A2507" s="4"/>
      <c r="B2507" s="14" t="s">
        <v>2065</v>
      </c>
      <c r="C2507" s="21">
        <f>(52)*(1)*(1)*(1)*(1 + (0))</f>
      </c>
      <c r="D2507" s="21" t="s">
        <v>167</v>
      </c>
      <c r="E2507" s="21"/>
      <c r="F2507" s="21">
        <f>C2507*E2507</f>
      </c>
    </row>
    <row r="2508">
      <c r="A2508" s="4"/>
      <c r="B2508" s="14" t="s">
        <v>2066</v>
      </c>
      <c r="C2508" s="21">
        <f>(0.010374)*(1)*(1)*(1)*(1 + (0))</f>
      </c>
      <c r="D2508" s="21" t="s">
        <v>495</v>
      </c>
      <c r="E2508" s="21"/>
      <c r="F2508" s="21">
        <f>C2508*E2508</f>
      </c>
    </row>
    <row r="2509">
      <c r="A2509" s="4"/>
      <c r="B2509" s="14" t="s">
        <v>2067</v>
      </c>
      <c r="C2509" s="21">
        <f>(265)*(1)*(1)*(1)*(1 + (0))</f>
      </c>
      <c r="D2509" s="21" t="s">
        <v>9</v>
      </c>
      <c r="E2509" s="21"/>
      <c r="F2509" s="21">
        <f>C2509*E2509</f>
      </c>
    </row>
    <row r="2510">
      <c r="A2510" s="4"/>
      <c r="B2510" s="14" t="s">
        <v>2068</v>
      </c>
      <c r="C2510" s="21">
        <f>(265)*(1)*(1)*(1)*(1 + (0))</f>
      </c>
      <c r="D2510" s="21" t="s">
        <v>9</v>
      </c>
      <c r="E2510" s="21"/>
      <c r="F2510" s="21">
        <f>C2510*E2510</f>
      </c>
    </row>
    <row r="2511">
      <c r="A2511" s="4"/>
      <c r="B2511" s="14" t="s">
        <v>2069</v>
      </c>
      <c r="C2511" s="21">
        <f>(49)*(1)*(1)*(1)*(1 + (0))</f>
      </c>
      <c r="D2511" s="21" t="s">
        <v>167</v>
      </c>
      <c r="E2511" s="21"/>
      <c r="F2511" s="21">
        <f>C2511*E2511</f>
      </c>
    </row>
    <row r="2512">
      <c r="A2512" s="4"/>
      <c r="B2512" s="14" t="s">
        <v>2070</v>
      </c>
      <c r="C2512" s="21">
        <f>(265)*(1)*(1)*(1)*(1 + (0))</f>
      </c>
      <c r="D2512" s="21" t="s">
        <v>9</v>
      </c>
      <c r="E2512" s="21"/>
      <c r="F2512" s="21">
        <f>C2512*E2512</f>
      </c>
    </row>
    <row r="2513">
      <c r="A2513" s="5"/>
      <c r="B2513" s="13" t="s">
        <v>406</v>
      </c>
      <c r="C2513" s="22"/>
      <c r="D2513" s="22"/>
      <c r="E2513" s="22"/>
      <c r="F2513" s="22"/>
    </row>
    <row r="2514">
      <c r="A2514" s="4"/>
      <c r="B2514" s="14" t="s">
        <v>2071</v>
      </c>
      <c r="C2514" s="21">
        <f>(26)*(1)*(1)*(1)*(1 + (0))</f>
      </c>
      <c r="D2514" s="21" t="s">
        <v>164</v>
      </c>
      <c r="E2514" s="21"/>
      <c r="F2514" s="21">
        <f>C2514*E2514</f>
      </c>
    </row>
    <row r="2515">
      <c r="A2515" s="4"/>
      <c r="B2515" s="14" t="s">
        <v>2072</v>
      </c>
      <c r="C2515" s="21">
        <f>(128)*(1)*(1)*(1)*(1 + (0))</f>
      </c>
      <c r="D2515" s="21" t="s">
        <v>9</v>
      </c>
      <c r="E2515" s="21"/>
      <c r="F2515" s="21">
        <f>C2515*E2515</f>
      </c>
    </row>
    <row r="2516">
      <c r="A2516" s="4"/>
      <c r="B2516" s="14" t="s">
        <v>2073</v>
      </c>
      <c r="C2516" s="21">
        <f>(30)*(1)*(1)*(1)*(1 + (0))</f>
      </c>
      <c r="D2516" s="21" t="s">
        <v>167</v>
      </c>
      <c r="E2516" s="21"/>
      <c r="F2516" s="21">
        <f>C2516*E2516</f>
      </c>
    </row>
    <row r="2517">
      <c r="A2517" s="4"/>
      <c r="B2517" s="14" t="s">
        <v>530</v>
      </c>
      <c r="C2517" s="21">
        <f>(2.392193458858)*(1)*(1)*(1)*(1 + (0))</f>
      </c>
      <c r="D2517" s="21" t="s">
        <v>495</v>
      </c>
      <c r="E2517" s="21"/>
      <c r="F2517" s="21">
        <f>C2517*E2517</f>
      </c>
    </row>
    <row r="2518">
      <c r="A2518" s="4"/>
      <c r="B2518" s="14" t="s">
        <v>2074</v>
      </c>
      <c r="C2518" s="21">
        <f>(128)*(1)*(1)*(1)*(1 + (0))</f>
      </c>
      <c r="D2518" s="21" t="s">
        <v>9</v>
      </c>
      <c r="E2518" s="21"/>
      <c r="F2518" s="21">
        <f>C2518*E2518</f>
      </c>
    </row>
    <row r="2519">
      <c r="A2519" s="4"/>
      <c r="B2519" s="14" t="s">
        <v>2075</v>
      </c>
      <c r="C2519" s="21">
        <f>(128)*(1)*(1)*(1)*(1 + (0))</f>
      </c>
      <c r="D2519" s="21" t="s">
        <v>9</v>
      </c>
      <c r="E2519" s="21"/>
      <c r="F2519" s="21">
        <f>C2519*E2519</f>
      </c>
    </row>
    <row r="2520">
      <c r="A2520" s="4"/>
      <c r="B2520" s="14" t="s">
        <v>2076</v>
      </c>
      <c r="C2520" s="21">
        <f>(38)*(1)*(1)*(1)*(1 + (0))</f>
      </c>
      <c r="D2520" s="21" t="s">
        <v>164</v>
      </c>
      <c r="E2520" s="21"/>
      <c r="F2520" s="21">
        <f>C2520*E2520</f>
      </c>
    </row>
    <row r="2521">
      <c r="A2521" s="5"/>
      <c r="B2521" s="13" t="s">
        <v>2077</v>
      </c>
      <c r="C2521" s="22"/>
      <c r="D2521" s="22"/>
      <c r="E2521" s="22"/>
      <c r="F2521" s="22"/>
    </row>
    <row r="2522">
      <c r="A2522" s="4"/>
      <c r="B2522" s="14" t="s">
        <v>2078</v>
      </c>
      <c r="C2522" s="21">
        <f>(3)*(1)*(1)*(1)*(1 + (0))</f>
      </c>
      <c r="D2522" s="21" t="s">
        <v>164</v>
      </c>
      <c r="E2522" s="21"/>
      <c r="F2522" s="21">
        <f>C2522*E2522</f>
      </c>
    </row>
    <row r="2523">
      <c r="A2523" s="4"/>
      <c r="B2523" s="14" t="s">
        <v>2079</v>
      </c>
      <c r="C2523" s="21">
        <f>(21)*(1)*(1)*(1)*(1 + (0))</f>
      </c>
      <c r="D2523" s="21" t="s">
        <v>9</v>
      </c>
      <c r="E2523" s="21"/>
      <c r="F2523" s="21">
        <f>C2523*E2523</f>
      </c>
    </row>
    <row r="2524">
      <c r="A2524" s="4"/>
      <c r="B2524" s="14" t="s">
        <v>2080</v>
      </c>
      <c r="C2524" s="21">
        <f>(0.5203562)*(1)*(1)*(1)*(1 + (0))</f>
      </c>
      <c r="D2524" s="21" t="s">
        <v>495</v>
      </c>
      <c r="E2524" s="21"/>
      <c r="F2524" s="21">
        <f>C2524*E2524</f>
      </c>
    </row>
    <row r="2525">
      <c r="A2525" s="4"/>
      <c r="B2525" s="14" t="s">
        <v>2059</v>
      </c>
      <c r="C2525" s="21">
        <f>(11)*(1)*(1)*(1)*(1 + (0))</f>
      </c>
      <c r="D2525" s="21" t="s">
        <v>9</v>
      </c>
      <c r="E2525" s="21"/>
      <c r="F2525" s="21">
        <f>C2525*E2525</f>
      </c>
    </row>
    <row r="2526">
      <c r="A2526" s="5"/>
      <c r="B2526" s="13" t="s">
        <v>354</v>
      </c>
      <c r="C2526" s="22"/>
      <c r="D2526" s="22"/>
      <c r="E2526" s="22"/>
      <c r="F2526" s="22"/>
    </row>
    <row r="2527">
      <c r="A2527" s="4"/>
      <c r="B2527" s="14" t="s">
        <v>2081</v>
      </c>
      <c r="C2527" s="21">
        <f>(2)*(1)*(1)*(1)*(1 + (0))</f>
      </c>
      <c r="D2527" s="21" t="s">
        <v>170</v>
      </c>
      <c r="E2527" s="21"/>
      <c r="F2527" s="21">
        <f>C2527*E2527</f>
      </c>
    </row>
    <row r="2528">
      <c r="A2528" s="4"/>
      <c r="B2528" s="14" t="s">
        <v>2082</v>
      </c>
      <c r="C2528" s="21">
        <f>(3)*(1)*(1)*(1)*(1 + (0))</f>
      </c>
      <c r="D2528" s="21" t="s">
        <v>170</v>
      </c>
      <c r="E2528" s="21"/>
      <c r="F2528" s="21">
        <f>C2528*E2528</f>
      </c>
    </row>
    <row r="2529">
      <c r="A2529" s="4"/>
      <c r="B2529" s="14" t="s">
        <v>2083</v>
      </c>
      <c r="C2529" s="21">
        <f>(40)*(1)*(1)*(1)*(1 + (0))</f>
      </c>
      <c r="D2529" s="21" t="s">
        <v>170</v>
      </c>
      <c r="E2529" s="21"/>
      <c r="F2529" s="21">
        <f>C2529*E2529</f>
      </c>
    </row>
    <row r="2530">
      <c r="A2530" s="4"/>
      <c r="B2530" s="14" t="s">
        <v>2084</v>
      </c>
      <c r="C2530" s="21">
        <f>(1)*(1)*(1)*(1)*(1 + (0))</f>
      </c>
      <c r="D2530" s="21" t="s">
        <v>170</v>
      </c>
      <c r="E2530" s="21"/>
      <c r="F2530" s="21">
        <f>C2530*E2530</f>
      </c>
    </row>
    <row r="2531">
      <c r="A2531" s="4"/>
      <c r="B2531" s="14" t="s">
        <v>2085</v>
      </c>
      <c r="C2531" s="21">
        <f>(1)*(1)*(1)*(1)*(1 + (0))</f>
      </c>
      <c r="D2531" s="21" t="s">
        <v>170</v>
      </c>
      <c r="E2531" s="21"/>
      <c r="F2531" s="21">
        <f>C2531*E2531</f>
      </c>
    </row>
    <row r="2532">
      <c r="A2532" s="4"/>
      <c r="B2532" s="14" t="s">
        <v>2086</v>
      </c>
      <c r="C2532" s="21">
        <f>(1)*(1)*(1)*(1)*(1 + (0))</f>
      </c>
      <c r="D2532" s="21" t="s">
        <v>170</v>
      </c>
      <c r="E2532" s="21"/>
      <c r="F2532" s="21">
        <f>C2532*E2532</f>
      </c>
    </row>
    <row r="2533">
      <c r="A2533" s="4"/>
      <c r="B2533" s="14" t="s">
        <v>2087</v>
      </c>
      <c r="C2533" s="21">
        <f>(1)*(1)*(1)*(1)*(1 + (0))</f>
      </c>
      <c r="D2533" s="21" t="s">
        <v>170</v>
      </c>
      <c r="E2533" s="21"/>
      <c r="F2533" s="21">
        <f>C2533*E2533</f>
      </c>
    </row>
    <row r="2534">
      <c r="A2534" s="2"/>
      <c r="B2534" s="10" t="s">
        <v>2088</v>
      </c>
      <c r="C2534" s="19"/>
      <c r="D2534" s="19"/>
      <c r="E2534" s="19"/>
      <c r="F2534" s="19"/>
    </row>
    <row r="2535">
      <c r="A2535" s="3"/>
      <c r="B2535" s="11" t="s">
        <v>14</v>
      </c>
      <c r="C2535" s="20"/>
      <c r="D2535" s="20"/>
      <c r="E2535" s="20"/>
      <c r="F2535" s="20"/>
    </row>
    <row r="2536">
      <c r="A2536" s="4" t="s">
        <v>2089</v>
      </c>
      <c r="B2536" s="12" t="s">
        <v>16</v>
      </c>
      <c r="C2536" s="21"/>
      <c r="D2536" s="21" t="s">
        <v>17</v>
      </c>
      <c r="E2536" s="21"/>
      <c r="F2536" s="21">
        <f>C2536*E2536</f>
      </c>
    </row>
    <row r="2537">
      <c r="A2537" s="4" t="s">
        <v>2090</v>
      </c>
      <c r="B2537" s="12" t="s">
        <v>19</v>
      </c>
      <c r="C2537" s="21"/>
      <c r="D2537" s="21" t="s">
        <v>17</v>
      </c>
      <c r="E2537" s="21"/>
      <c r="F2537" s="21">
        <f>C2537*E2537</f>
      </c>
    </row>
    <row r="2538">
      <c r="A2538" s="3"/>
      <c r="B2538" s="11" t="s">
        <v>24</v>
      </c>
      <c r="C2538" s="20"/>
      <c r="D2538" s="20"/>
      <c r="E2538" s="20"/>
      <c r="F2538" s="20"/>
    </row>
    <row r="2539">
      <c r="A2539" s="5"/>
      <c r="B2539" s="13" t="s">
        <v>25</v>
      </c>
      <c r="C2539" s="22"/>
      <c r="D2539" s="22"/>
      <c r="E2539" s="22"/>
      <c r="F2539" s="22"/>
    </row>
    <row r="2540">
      <c r="A2540" s="4" t="s">
        <v>2091</v>
      </c>
      <c r="B2540" s="14" t="s">
        <v>2092</v>
      </c>
      <c r="C2540" s="21"/>
      <c r="D2540" s="21" t="s">
        <v>17</v>
      </c>
      <c r="E2540" s="21"/>
      <c r="F2540" s="21">
        <f>C2540*E2540</f>
      </c>
    </row>
    <row r="2541">
      <c r="A2541" s="4" t="s">
        <v>2093</v>
      </c>
      <c r="B2541" s="14" t="s">
        <v>107</v>
      </c>
      <c r="C2541" s="21"/>
      <c r="D2541" s="21" t="s">
        <v>17</v>
      </c>
      <c r="E2541" s="21"/>
      <c r="F2541" s="21">
        <f>C2541*E2541</f>
      </c>
    </row>
    <row r="2542">
      <c r="A2542" s="4" t="s">
        <v>2094</v>
      </c>
      <c r="B2542" s="14" t="s">
        <v>109</v>
      </c>
      <c r="C2542" s="21"/>
      <c r="D2542" s="21" t="s">
        <v>17</v>
      </c>
      <c r="E2542" s="21"/>
      <c r="F2542" s="21">
        <f>C2542*E2542</f>
      </c>
    </row>
    <row r="2543">
      <c r="A2543" s="4" t="s">
        <v>2095</v>
      </c>
      <c r="B2543" s="14" t="s">
        <v>111</v>
      </c>
      <c r="C2543" s="21"/>
      <c r="D2543" s="21" t="s">
        <v>17</v>
      </c>
      <c r="E2543" s="21"/>
      <c r="F2543" s="21">
        <f>C2543*E2543</f>
      </c>
    </row>
    <row r="2544">
      <c r="A2544" s="4" t="s">
        <v>2096</v>
      </c>
      <c r="B2544" s="14" t="s">
        <v>115</v>
      </c>
      <c r="C2544" s="21"/>
      <c r="D2544" s="21" t="s">
        <v>17</v>
      </c>
      <c r="E2544" s="21"/>
      <c r="F2544" s="21">
        <f>C2544*E2544</f>
      </c>
    </row>
    <row r="2545">
      <c r="A2545" s="4" t="s">
        <v>2097</v>
      </c>
      <c r="B2545" s="14" t="s">
        <v>119</v>
      </c>
      <c r="C2545" s="21"/>
      <c r="D2545" s="21" t="s">
        <v>17</v>
      </c>
      <c r="E2545" s="21"/>
      <c r="F2545" s="21">
        <f>C2545*E2545</f>
      </c>
    </row>
    <row r="2546">
      <c r="A2546" s="4" t="s">
        <v>2098</v>
      </c>
      <c r="B2546" s="14" t="s">
        <v>121</v>
      </c>
      <c r="C2546" s="21"/>
      <c r="D2546" s="21" t="s">
        <v>17</v>
      </c>
      <c r="E2546" s="21"/>
      <c r="F2546" s="21">
        <f>C2546*E2546</f>
      </c>
    </row>
    <row r="2547">
      <c r="A2547" s="4" t="s">
        <v>2099</v>
      </c>
      <c r="B2547" s="14" t="s">
        <v>39</v>
      </c>
      <c r="C2547" s="21"/>
      <c r="D2547" s="21" t="s">
        <v>17</v>
      </c>
      <c r="E2547" s="21"/>
      <c r="F2547" s="21">
        <f>C2547*E2547</f>
      </c>
    </row>
    <row r="2548">
      <c r="A2548" s="4" t="s">
        <v>2100</v>
      </c>
      <c r="B2548" s="14" t="s">
        <v>124</v>
      </c>
      <c r="C2548" s="21"/>
      <c r="D2548" s="21" t="s">
        <v>17</v>
      </c>
      <c r="E2548" s="21"/>
      <c r="F2548" s="21">
        <f>C2548*E2548</f>
      </c>
    </row>
    <row r="2549">
      <c r="A2549" s="4" t="s">
        <v>2101</v>
      </c>
      <c r="B2549" s="14" t="s">
        <v>194</v>
      </c>
      <c r="C2549" s="21"/>
      <c r="D2549" s="21" t="s">
        <v>17</v>
      </c>
      <c r="E2549" s="21"/>
      <c r="F2549" s="21">
        <f>C2549*E2549</f>
      </c>
    </row>
    <row r="2550">
      <c r="A2550" s="3"/>
      <c r="B2550" s="11" t="s">
        <v>42</v>
      </c>
      <c r="C2550" s="20"/>
      <c r="D2550" s="20"/>
      <c r="E2550" s="20"/>
      <c r="F2550" s="20"/>
    </row>
    <row r="2551">
      <c r="A2551" s="4" t="s">
        <v>2102</v>
      </c>
      <c r="B2551" s="12" t="s">
        <v>2103</v>
      </c>
      <c r="C2551" s="21">
        <f>(1)*(1)*(1)*(1)*(1 + (0))</f>
      </c>
      <c r="D2551" s="21" t="s">
        <v>45</v>
      </c>
      <c r="E2551" s="21"/>
      <c r="F2551" s="21">
        <f>C2551*E2551</f>
      </c>
    </row>
    <row r="2552">
      <c r="A2552" s="4" t="s">
        <v>2104</v>
      </c>
      <c r="B2552" s="12" t="s">
        <v>61</v>
      </c>
      <c r="C2552" s="21">
        <f>(1)*(1)*(1)*(1)*(1 + (0))</f>
      </c>
      <c r="D2552" s="21" t="s">
        <v>45</v>
      </c>
      <c r="E2552" s="21"/>
      <c r="F2552" s="21">
        <f>C2552*E2552</f>
      </c>
    </row>
    <row r="2553">
      <c r="A2553" s="4" t="s">
        <v>2105</v>
      </c>
      <c r="B2553" s="12" t="s">
        <v>136</v>
      </c>
      <c r="C2553" s="21">
        <f>(1)*(1)*(1)*(1)*(1 + (0))</f>
      </c>
      <c r="D2553" s="21" t="s">
        <v>45</v>
      </c>
      <c r="E2553" s="21"/>
      <c r="F2553" s="21">
        <f>C2553*E2553</f>
      </c>
    </row>
    <row r="2554">
      <c r="A2554" s="4" t="s">
        <v>2106</v>
      </c>
      <c r="B2554" s="12" t="s">
        <v>1017</v>
      </c>
      <c r="C2554" s="21">
        <f>(1)*(1)*(1)*(1)*(1 + (0))</f>
      </c>
      <c r="D2554" s="21" t="s">
        <v>45</v>
      </c>
      <c r="E2554" s="21"/>
      <c r="F2554" s="21">
        <f>C2554*E2554</f>
      </c>
    </row>
    <row r="2555">
      <c r="A2555" s="4" t="s">
        <v>1918</v>
      </c>
      <c r="B2555" s="12" t="s">
        <v>1183</v>
      </c>
      <c r="C2555" s="21">
        <f>(1)*(1)*(1)*(1)*(1 + (0))</f>
      </c>
      <c r="D2555" s="21" t="s">
        <v>45</v>
      </c>
      <c r="E2555" s="21"/>
      <c r="F2555" s="21">
        <f>C2555*E2555</f>
      </c>
    </row>
    <row r="2556">
      <c r="A2556" s="4" t="s">
        <v>2107</v>
      </c>
      <c r="B2556" s="12" t="s">
        <v>67</v>
      </c>
      <c r="C2556" s="21">
        <f>(1)*(1)*(1)*(1)*(1 + (0))</f>
      </c>
      <c r="D2556" s="21" t="s">
        <v>45</v>
      </c>
      <c r="E2556" s="21"/>
      <c r="F2556" s="21">
        <f>C2556*E2556</f>
      </c>
    </row>
    <row r="2557">
      <c r="A2557" s="4" t="s">
        <v>2108</v>
      </c>
      <c r="B2557" s="12" t="s">
        <v>143</v>
      </c>
      <c r="C2557" s="21">
        <f>(1)*(1)*(1)*(1)*(1 + (0))</f>
      </c>
      <c r="D2557" s="21" t="s">
        <v>45</v>
      </c>
      <c r="E2557" s="21"/>
      <c r="F2557" s="21">
        <f>C2557*E2557</f>
      </c>
    </row>
    <row r="2558">
      <c r="A2558" s="4" t="s">
        <v>2109</v>
      </c>
      <c r="B2558" s="12" t="s">
        <v>253</v>
      </c>
      <c r="C2558" s="21">
        <f>(1)*(1)*(1)*(1)*(1 + (0))</f>
      </c>
      <c r="D2558" s="21" t="s">
        <v>45</v>
      </c>
      <c r="E2558" s="21"/>
      <c r="F2558" s="21">
        <f>C2558*E2558</f>
      </c>
    </row>
    <row r="2559">
      <c r="A2559" s="4" t="s">
        <v>2110</v>
      </c>
      <c r="B2559" s="12" t="s">
        <v>2111</v>
      </c>
      <c r="C2559" s="21">
        <f>(1)*(1)*(1)*(1)*(1 + (0))</f>
      </c>
      <c r="D2559" s="21" t="s">
        <v>45</v>
      </c>
      <c r="E2559" s="21"/>
      <c r="F2559" s="21">
        <f>C2559*E2559</f>
      </c>
    </row>
    <row r="2560">
      <c r="A2560" s="4" t="s">
        <v>1920</v>
      </c>
      <c r="B2560" s="7" t="s">
        <v>2112</v>
      </c>
      <c r="C2560" s="21">
        <f>(1)*(1)*(1)*(1)*(1 + (0))</f>
      </c>
      <c r="D2560" s="21" t="s">
        <v>45</v>
      </c>
      <c r="E2560" s="21"/>
      <c r="F2560" s="21">
        <f>C2560*E2560</f>
      </c>
    </row>
    <row r="2561">
      <c r="A2561" s="2"/>
      <c r="B2561" s="10" t="s">
        <v>2113</v>
      </c>
      <c r="C2561" s="19"/>
      <c r="D2561" s="19"/>
      <c r="E2561" s="19"/>
      <c r="F2561" s="19"/>
    </row>
    <row r="2562">
      <c r="A2562" s="3"/>
      <c r="B2562" s="11" t="s">
        <v>14</v>
      </c>
      <c r="C2562" s="20"/>
      <c r="D2562" s="20"/>
      <c r="E2562" s="20"/>
      <c r="F2562" s="20"/>
    </row>
    <row r="2563">
      <c r="A2563" s="4" t="s">
        <v>1806</v>
      </c>
      <c r="B2563" s="12" t="s">
        <v>16</v>
      </c>
      <c r="C2563" s="21"/>
      <c r="D2563" s="21" t="s">
        <v>17</v>
      </c>
      <c r="E2563" s="21"/>
      <c r="F2563" s="21">
        <f>C2563*E2563</f>
      </c>
    </row>
    <row r="2564">
      <c r="A2564" s="4" t="s">
        <v>1807</v>
      </c>
      <c r="B2564" s="12" t="s">
        <v>19</v>
      </c>
      <c r="C2564" s="21"/>
      <c r="D2564" s="21" t="s">
        <v>17</v>
      </c>
      <c r="E2564" s="21"/>
      <c r="F2564" s="21">
        <f>C2564*E2564</f>
      </c>
    </row>
    <row r="2565">
      <c r="A2565" s="3"/>
      <c r="B2565" s="11" t="s">
        <v>98</v>
      </c>
      <c r="C2565" s="20"/>
      <c r="D2565" s="20"/>
      <c r="E2565" s="20"/>
      <c r="F2565" s="20"/>
    </row>
    <row r="2566">
      <c r="A2566" s="4"/>
      <c r="B2566" s="12" t="s">
        <v>2114</v>
      </c>
      <c r="C2566" s="21"/>
      <c r="D2566" s="21"/>
      <c r="E2566" s="21"/>
      <c r="F2566" s="21">
        <f>C2566*E2566</f>
      </c>
    </row>
    <row r="2567">
      <c r="A2567" s="4"/>
      <c r="B2567" s="12" t="s">
        <v>803</v>
      </c>
      <c r="C2567" s="21"/>
      <c r="D2567" s="21"/>
      <c r="E2567" s="21"/>
      <c r="F2567" s="21">
        <f>C2567*E2567</f>
      </c>
    </row>
    <row r="2568">
      <c r="A2568" s="4"/>
      <c r="B2568" s="12" t="s">
        <v>804</v>
      </c>
      <c r="C2568" s="21"/>
      <c r="D2568" s="21"/>
      <c r="E2568" s="21"/>
      <c r="F2568" s="21">
        <f>C2568*E2568</f>
      </c>
    </row>
    <row r="2569">
      <c r="A2569" s="3"/>
      <c r="B2569" s="11" t="s">
        <v>24</v>
      </c>
      <c r="C2569" s="20"/>
      <c r="D2569" s="20"/>
      <c r="E2569" s="20"/>
      <c r="F2569" s="20"/>
    </row>
    <row r="2570">
      <c r="A2570" s="5"/>
      <c r="B2570" s="13" t="s">
        <v>25</v>
      </c>
      <c r="C2570" s="22"/>
      <c r="D2570" s="22"/>
      <c r="E2570" s="22"/>
      <c r="F2570" s="22"/>
    </row>
    <row r="2571">
      <c r="A2571" s="4" t="s">
        <v>1810</v>
      </c>
      <c r="B2571" s="14" t="s">
        <v>1297</v>
      </c>
      <c r="C2571" s="21"/>
      <c r="D2571" s="21" t="s">
        <v>17</v>
      </c>
      <c r="E2571" s="21"/>
      <c r="F2571" s="21">
        <f>C2571*E2571</f>
      </c>
    </row>
    <row r="2572">
      <c r="A2572" s="4" t="s">
        <v>1811</v>
      </c>
      <c r="B2572" s="14" t="s">
        <v>1298</v>
      </c>
      <c r="C2572" s="21"/>
      <c r="D2572" s="21" t="s">
        <v>17</v>
      </c>
      <c r="E2572" s="21"/>
      <c r="F2572" s="21">
        <f>C2572*E2572</f>
      </c>
    </row>
    <row r="2573">
      <c r="A2573" s="4" t="s">
        <v>1812</v>
      </c>
      <c r="B2573" s="14" t="s">
        <v>1137</v>
      </c>
      <c r="C2573" s="21"/>
      <c r="D2573" s="21" t="s">
        <v>17</v>
      </c>
      <c r="E2573" s="21"/>
      <c r="F2573" s="21">
        <f>C2573*E2573</f>
      </c>
    </row>
    <row r="2574">
      <c r="A2574" s="4" t="s">
        <v>1813</v>
      </c>
      <c r="B2574" s="14" t="s">
        <v>1814</v>
      </c>
      <c r="C2574" s="21"/>
      <c r="D2574" s="21" t="s">
        <v>17</v>
      </c>
      <c r="E2574" s="21"/>
      <c r="F2574" s="21">
        <f>C2574*E2574</f>
      </c>
    </row>
    <row r="2575">
      <c r="A2575" s="4" t="s">
        <v>1815</v>
      </c>
      <c r="B2575" s="14" t="s">
        <v>1816</v>
      </c>
      <c r="C2575" s="21"/>
      <c r="D2575" s="21" t="s">
        <v>17</v>
      </c>
      <c r="E2575" s="21"/>
      <c r="F2575" s="21">
        <f>C2575*E2575</f>
      </c>
    </row>
    <row r="2576">
      <c r="A2576" s="4" t="s">
        <v>1817</v>
      </c>
      <c r="B2576" s="14" t="s">
        <v>194</v>
      </c>
      <c r="C2576" s="21"/>
      <c r="D2576" s="21" t="s">
        <v>17</v>
      </c>
      <c r="E2576" s="21"/>
      <c r="F2576" s="21">
        <f>C2576*E2576</f>
      </c>
    </row>
    <row r="2577">
      <c r="A2577" s="3"/>
      <c r="B2577" s="11" t="s">
        <v>42</v>
      </c>
      <c r="C2577" s="20"/>
      <c r="D2577" s="20"/>
      <c r="E2577" s="20"/>
      <c r="F2577" s="20"/>
    </row>
    <row r="2578">
      <c r="A2578" s="4" t="s">
        <v>1818</v>
      </c>
      <c r="B2578" s="12" t="s">
        <v>59</v>
      </c>
      <c r="C2578" s="21">
        <f>(1)*(1)*(1)*(1)*(1 + (0))</f>
      </c>
      <c r="D2578" s="21" t="s">
        <v>45</v>
      </c>
      <c r="E2578" s="21"/>
      <c r="F2578" s="21">
        <f>C2578*E2578</f>
      </c>
    </row>
    <row r="2579">
      <c r="A2579" s="4" t="s">
        <v>1819</v>
      </c>
      <c r="B2579" s="12" t="s">
        <v>1476</v>
      </c>
      <c r="C2579" s="21">
        <f>(1)*(1)*(1)*(1)*(1 + (0))</f>
      </c>
      <c r="D2579" s="21" t="s">
        <v>45</v>
      </c>
      <c r="E2579" s="21"/>
      <c r="F2579" s="21">
        <f>C2579*E2579</f>
      </c>
    </row>
    <row r="2580">
      <c r="A2580" s="4" t="s">
        <v>1820</v>
      </c>
      <c r="B2580" s="12" t="s">
        <v>1821</v>
      </c>
      <c r="C2580" s="21">
        <f>(1)*(1)*(1)*(1)*(1 + (0))</f>
      </c>
      <c r="D2580" s="21" t="s">
        <v>45</v>
      </c>
      <c r="E2580" s="21"/>
      <c r="F2580" s="21">
        <f>C2580*E2580</f>
      </c>
    </row>
    <row r="2581">
      <c r="A2581" s="4" t="s">
        <v>1822</v>
      </c>
      <c r="B2581" s="12" t="s">
        <v>1531</v>
      </c>
      <c r="C2581" s="21">
        <f>(1)*(1)*(1)*(1)*(1 + (0))</f>
      </c>
      <c r="D2581" s="21" t="s">
        <v>45</v>
      </c>
      <c r="E2581" s="21"/>
      <c r="F2581" s="21">
        <f>C2581*E2581</f>
      </c>
    </row>
    <row r="2582">
      <c r="A2582" s="4" t="s">
        <v>1823</v>
      </c>
      <c r="B2582" s="12" t="s">
        <v>1019</v>
      </c>
      <c r="C2582" s="21">
        <f>(1)*(1)*(1)*(1)*(1 + (0))</f>
      </c>
      <c r="D2582" s="21" t="s">
        <v>45</v>
      </c>
      <c r="E2582" s="21"/>
      <c r="F2582" s="21">
        <f>C2582*E2582</f>
      </c>
    </row>
    <row r="2583">
      <c r="A2583" s="4" t="s">
        <v>1824</v>
      </c>
      <c r="B2583" s="12" t="s">
        <v>832</v>
      </c>
      <c r="C2583" s="21">
        <f>(1)*(1)*(1)*(1)*(1 + (0))</f>
      </c>
      <c r="D2583" s="21" t="s">
        <v>45</v>
      </c>
      <c r="E2583" s="21"/>
      <c r="F2583" s="21">
        <f>C2583*E2583</f>
      </c>
    </row>
    <row r="2584">
      <c r="A2584" s="3"/>
      <c r="B2584" s="11" t="s">
        <v>82</v>
      </c>
      <c r="C2584" s="20"/>
      <c r="D2584" s="20"/>
      <c r="E2584" s="20"/>
      <c r="F2584" s="20"/>
    </row>
    <row r="2585">
      <c r="A2585" s="4"/>
      <c r="B2585" s="12" t="s">
        <v>2115</v>
      </c>
      <c r="C2585" s="21"/>
      <c r="D2585" s="21" t="s">
        <v>17</v>
      </c>
      <c r="E2585" s="21"/>
      <c r="F2585" s="21">
        <f>C2585*E2585</f>
      </c>
    </row>
    <row r="2586">
      <c r="A2586" s="4"/>
      <c r="B2586" s="12" t="s">
        <v>2116</v>
      </c>
      <c r="C2586" s="21"/>
      <c r="D2586" s="21" t="s">
        <v>17</v>
      </c>
      <c r="E2586" s="21"/>
      <c r="F2586" s="21">
        <f>C2586*E2586</f>
      </c>
    </row>
    <row r="2587">
      <c r="A2587" s="3"/>
      <c r="B2587" s="11" t="s">
        <v>2117</v>
      </c>
      <c r="C2587" s="20"/>
      <c r="D2587" s="20"/>
      <c r="E2587" s="20"/>
      <c r="F2587" s="20"/>
    </row>
    <row r="2588">
      <c r="A2588" s="5"/>
      <c r="B2588" s="13" t="s">
        <v>2118</v>
      </c>
      <c r="C2588" s="22"/>
      <c r="D2588" s="22"/>
      <c r="E2588" s="22"/>
      <c r="F2588" s="22"/>
    </row>
    <row r="2589">
      <c r="A2589" s="4"/>
      <c r="B2589" s="14" t="s">
        <v>840</v>
      </c>
      <c r="C2589" s="21">
        <f>(1342)*(1)*(1)*(1)*(1 + (0))</f>
      </c>
      <c r="D2589" s="21" t="s">
        <v>9</v>
      </c>
      <c r="E2589" s="21"/>
      <c r="F2589" s="21">
        <f>C2589*E2589</f>
      </c>
    </row>
    <row r="2590">
      <c r="A2590" s="2"/>
      <c r="B2590" s="10" t="s">
        <v>2119</v>
      </c>
      <c r="C2590" s="19"/>
      <c r="D2590" s="19"/>
      <c r="E2590" s="19"/>
      <c r="F2590" s="19"/>
    </row>
    <row r="2591">
      <c r="A2591" s="4"/>
      <c r="B2591" s="7" t="s">
        <v>2120</v>
      </c>
      <c r="C2591" s="21">
        <f>(1)*(1)*(1)*(1)*(1 + (0))</f>
      </c>
      <c r="D2591" s="21" t="s">
        <v>45</v>
      </c>
      <c r="E2591" s="21">
        <f>(600000)*(1 + (0))</f>
      </c>
      <c r="F2591" s="21">
        <f>C2591*E2591</f>
      </c>
    </row>
    <row r="2592">
      <c r="A2592" s="4"/>
      <c r="B2592" s="7" t="s">
        <v>2121</v>
      </c>
      <c r="C2592" s="21">
        <f>(1)*(1)*(1)*(1)*(1 + (0))</f>
      </c>
      <c r="D2592" s="21" t="s">
        <v>170</v>
      </c>
      <c r="E2592" s="21">
        <f>(300000)*(1 + (0))</f>
      </c>
      <c r="F2592" s="21">
        <f>C2592*E2592</f>
      </c>
    </row>
    <row r="2593">
      <c r="A2593" s="4"/>
      <c r="B2593" s="7" t="s">
        <v>2122</v>
      </c>
      <c r="C2593" s="21">
        <f>(1)*(1)*(1)*(1)*(1 + (0))</f>
      </c>
      <c r="D2593" s="21" t="s">
        <v>45</v>
      </c>
      <c r="E2593" s="21">
        <f>(300000)*(1 + (0))</f>
      </c>
      <c r="F2593" s="21">
        <f>C2593*E2593</f>
      </c>
    </row>
    <row r="2594">
      <c r="A2594" s="4"/>
      <c r="B2594" s="7"/>
      <c r="C2594" s="21"/>
      <c r="D2594" s="21"/>
      <c r="E2594" s="21"/>
      <c r="F2594" s="21">
        <f>C2594*E2594</f>
      </c>
    </row>
    <row r="2595">
      <c r="A2595" s="7"/>
      <c r="B2595" s="7"/>
      <c r="C2595" s="21"/>
      <c r="D2595" s="21"/>
      <c r="E2595" s="21"/>
      <c r="F2595" s="21"/>
    </row>
    <row r="2596">
      <c r="A2596" s="8" t="s">
        <v>2123</v>
      </c>
      <c r="B2596" s="8"/>
      <c r="C2596" s="8"/>
      <c r="D2596" s="8"/>
      <c r="E2596" s="8"/>
      <c r="F2596" s="8">
        <f>(SUM(F2:F2595))</f>
      </c>
    </row>
    <row r="2597">
      <c r="A2597" s="8" t="s">
        <v>2124</v>
      </c>
      <c r="B2597" s="8"/>
      <c r="C2597" s="8"/>
      <c r="D2597" s="8"/>
      <c r="E2597" s="8"/>
      <c r="F2597" s="8">
        <v>0</v>
      </c>
    </row>
    <row r="2598">
      <c r="A2598" s="8" t="s">
        <v>2125</v>
      </c>
      <c r="B2598" s="8"/>
      <c r="C2598" s="8"/>
      <c r="D2598" s="8"/>
      <c r="E2598" s="8"/>
      <c r="F2598" s="8">
        <f>0.1*(SUM(F2596:F2597))</f>
      </c>
    </row>
    <row r="2599">
      <c r="A2599" s="9" t="s">
        <v>5</v>
      </c>
      <c r="B2599" s="9"/>
      <c r="C2599" s="9"/>
      <c r="D2599" s="9"/>
      <c r="E2599" s="9"/>
      <c r="F2599" s="9">
        <f>SUM(F2596:F2598)</f>
      </c>
    </row>
  </sheetData>
  <headerFooter/>
</worksheet>
</file>

<file path=xl/worksheets/sheet2.xml><?xml version="1.0" encoding="utf-8"?>
<worksheet xmlns:r="http://schemas.openxmlformats.org/officeDocument/2006/relationships" xmlns="http://schemas.openxmlformats.org/spreadsheetml/2006/main">
  <dimension ref="A1:G2599"/>
  <sheetViews>
    <sheetView workbookViewId="0">
      <pane xSplit="7" ySplit="1" topLeftCell="H2" state="frozen" activePane="bottomRight"/>
      <selection pane="topRight" activeCell="H1" sqref="H1"/>
      <selection pane="bottomLeft" activeCell="A2" sqref="A2"/>
      <selection pane="bottomRight" activeCell="A1" sqref="A1"/>
    </sheetView>
  </sheetViews>
  <sheetFormatPr defaultRowHeight="15"/>
  <cols>
    <col min="1" max="1" width="13.6594715118408" customWidth="1"/>
    <col min="2" max="2" width="30" customWidth="1"/>
    <col min="3" max="3" width="10.8870573043823" customWidth="1"/>
    <col min="4" max="4" width="11.8305721282959" customWidth="1"/>
    <col min="5" max="5" width="9.140625" customWidth="1"/>
    <col min="6" max="6" width="9.89561462402344" customWidth="1"/>
    <col min="7" max="7" width="20" customWidth="1"/>
  </cols>
  <sheetData>
    <row r="1">
      <c r="A1" s="1" t="s">
        <v>0</v>
      </c>
      <c r="B1" s="1" t="s">
        <v>1</v>
      </c>
      <c r="C1" s="1" t="s">
        <v>2</v>
      </c>
      <c r="D1" s="1" t="s">
        <v>3</v>
      </c>
      <c r="E1" s="1" t="s">
        <v>4</v>
      </c>
      <c r="F1" s="1" t="s">
        <v>2126</v>
      </c>
      <c r="G1" s="1" t="s">
        <v>5</v>
      </c>
    </row>
    <row r="2">
      <c r="A2" s="2"/>
      <c r="B2" s="10" t="s">
        <v>6</v>
      </c>
      <c r="C2" s="19"/>
      <c r="D2" s="19"/>
      <c r="E2" s="19"/>
      <c r="F2" s="19"/>
      <c r="G2" s="19"/>
    </row>
    <row r="3">
      <c r="A3" s="3"/>
      <c r="B3" s="11" t="s">
        <v>7</v>
      </c>
      <c r="C3" s="20"/>
      <c r="D3" s="20"/>
      <c r="E3" s="20"/>
      <c r="F3" s="20"/>
      <c r="G3" s="20"/>
    </row>
    <row r="4">
      <c r="A4" s="4"/>
      <c r="B4" s="12" t="s">
        <v>8</v>
      </c>
      <c r="C4" s="21">
        <f>(2759)*(1)*(1)*(1)*(1 + (0))</f>
      </c>
      <c r="D4" s="21" t="s">
        <v>9</v>
      </c>
      <c r="E4" s="21"/>
      <c r="F4" s="21">
        <f>(0)</f>
      </c>
      <c r="G4" s="21">
        <f>(C4 * E4 + C4 * E4 * F4)</f>
      </c>
    </row>
    <row r="5">
      <c r="A5" s="4"/>
      <c r="B5" s="12" t="s">
        <v>10</v>
      </c>
      <c r="C5" s="21">
        <f>(974)*(1)*(1)*(1)*(1 + (0))</f>
      </c>
      <c r="D5" s="21" t="s">
        <v>9</v>
      </c>
      <c r="E5" s="21"/>
      <c r="F5" s="21">
        <f>(0)</f>
      </c>
      <c r="G5" s="21">
        <f>(C5 * E5 + C5 * E5 * F5)</f>
      </c>
    </row>
    <row r="6">
      <c r="A6" s="3"/>
      <c r="B6" s="11" t="s">
        <v>11</v>
      </c>
      <c r="C6" s="20"/>
      <c r="D6" s="20"/>
      <c r="E6" s="20"/>
      <c r="F6" s="20"/>
      <c r="G6" s="20"/>
    </row>
    <row r="7">
      <c r="A7" s="4"/>
      <c r="B7" s="12" t="s">
        <v>8</v>
      </c>
      <c r="C7" s="21">
        <f>(219)*(1)*(1)*(1)*(1 + (0))</f>
      </c>
      <c r="D7" s="21" t="s">
        <v>9</v>
      </c>
      <c r="E7" s="21"/>
      <c r="F7" s="21">
        <f>(0)</f>
      </c>
      <c r="G7" s="21">
        <f>(C7 * E7 + C7 * E7 * F7)</f>
      </c>
    </row>
    <row r="8">
      <c r="A8" s="4"/>
      <c r="B8" s="12" t="s">
        <v>10</v>
      </c>
      <c r="C8" s="21">
        <f>(68)*(1)*(1)*(1)*(1 + (0))</f>
      </c>
      <c r="D8" s="21" t="s">
        <v>9</v>
      </c>
      <c r="E8" s="21"/>
      <c r="F8" s="21">
        <f>(0)</f>
      </c>
      <c r="G8" s="21">
        <f>(C8 * E8 + C8 * E8 * F8)</f>
      </c>
    </row>
    <row r="9">
      <c r="A9" s="3"/>
      <c r="B9" s="11" t="s">
        <v>12</v>
      </c>
      <c r="C9" s="20"/>
      <c r="D9" s="20"/>
      <c r="E9" s="20"/>
      <c r="F9" s="20"/>
      <c r="G9" s="20"/>
    </row>
    <row r="10">
      <c r="A10" s="4"/>
      <c r="B10" s="12" t="s">
        <v>8</v>
      </c>
      <c r="C10" s="21">
        <f>(1896)*(1)*(1)*(1)*(1 + (0))</f>
      </c>
      <c r="D10" s="21" t="s">
        <v>9</v>
      </c>
      <c r="E10" s="21"/>
      <c r="F10" s="21">
        <f>(0)</f>
      </c>
      <c r="G10" s="21">
        <f>(C10 * E10 + C10 * E10 * F10)</f>
      </c>
    </row>
    <row r="11">
      <c r="A11" s="2"/>
      <c r="B11" s="10" t="s">
        <v>13</v>
      </c>
      <c r="C11" s="19"/>
      <c r="D11" s="19"/>
      <c r="E11" s="19"/>
      <c r="F11" s="19"/>
      <c r="G11" s="19"/>
    </row>
    <row r="12">
      <c r="A12" s="3"/>
      <c r="B12" s="11" t="s">
        <v>14</v>
      </c>
      <c r="C12" s="20"/>
      <c r="D12" s="20"/>
      <c r="E12" s="20"/>
      <c r="F12" s="20"/>
      <c r="G12" s="20"/>
    </row>
    <row r="13">
      <c r="A13" s="4" t="s">
        <v>15</v>
      </c>
      <c r="B13" s="12" t="s">
        <v>16</v>
      </c>
      <c r="C13" s="21"/>
      <c r="D13" s="21" t="s">
        <v>17</v>
      </c>
      <c r="E13" s="21"/>
      <c r="F13" s="21">
        <f>(0)</f>
      </c>
      <c r="G13" s="21">
        <f>(C13 * E13 + C13 * E13 * F13)</f>
      </c>
    </row>
    <row r="14">
      <c r="A14" s="4" t="s">
        <v>18</v>
      </c>
      <c r="B14" s="12" t="s">
        <v>19</v>
      </c>
      <c r="C14" s="21"/>
      <c r="D14" s="21" t="s">
        <v>17</v>
      </c>
      <c r="E14" s="21"/>
      <c r="F14" s="21">
        <f>(0)</f>
      </c>
      <c r="G14" s="21">
        <f>(C14 * E14 + C14 * E14 * F14)</f>
      </c>
    </row>
    <row r="15">
      <c r="A15" s="4" t="s">
        <v>20</v>
      </c>
      <c r="B15" s="12" t="s">
        <v>21</v>
      </c>
      <c r="C15" s="21"/>
      <c r="D15" s="21" t="s">
        <v>17</v>
      </c>
      <c r="E15" s="21"/>
      <c r="F15" s="21">
        <f>(0)</f>
      </c>
      <c r="G15" s="21">
        <f>(C15 * E15 + C15 * E15 * F15)</f>
      </c>
    </row>
    <row r="16">
      <c r="A16" s="3"/>
      <c r="B16" s="11" t="s">
        <v>22</v>
      </c>
      <c r="C16" s="20"/>
      <c r="D16" s="20"/>
      <c r="E16" s="20"/>
      <c r="F16" s="20"/>
      <c r="G16" s="20"/>
    </row>
    <row r="17">
      <c r="A17" s="4"/>
      <c r="B17" s="12" t="s">
        <v>23</v>
      </c>
      <c r="C17" s="21"/>
      <c r="D17" s="21" t="s">
        <v>17</v>
      </c>
      <c r="E17" s="21"/>
      <c r="F17" s="21">
        <f>(0)</f>
      </c>
      <c r="G17" s="21">
        <f>(C17 * E17 + C17 * E17 * F17)</f>
      </c>
    </row>
    <row r="18">
      <c r="A18" s="3"/>
      <c r="B18" s="11" t="s">
        <v>24</v>
      </c>
      <c r="C18" s="20"/>
      <c r="D18" s="20"/>
      <c r="E18" s="20"/>
      <c r="F18" s="20"/>
      <c r="G18" s="20"/>
    </row>
    <row r="19">
      <c r="A19" s="5"/>
      <c r="B19" s="13" t="s">
        <v>25</v>
      </c>
      <c r="C19" s="22"/>
      <c r="D19" s="22"/>
      <c r="E19" s="22"/>
      <c r="F19" s="22"/>
      <c r="G19" s="22"/>
    </row>
    <row r="20">
      <c r="A20" s="4" t="s">
        <v>26</v>
      </c>
      <c r="B20" s="14" t="s">
        <v>27</v>
      </c>
      <c r="C20" s="21"/>
      <c r="D20" s="21" t="s">
        <v>17</v>
      </c>
      <c r="E20" s="21"/>
      <c r="F20" s="21">
        <f>(0)</f>
      </c>
      <c r="G20" s="21">
        <f>(C20 * E20 + C20 * E20 * F20)</f>
      </c>
    </row>
    <row r="21">
      <c r="A21" s="4" t="s">
        <v>28</v>
      </c>
      <c r="B21" s="14" t="s">
        <v>29</v>
      </c>
      <c r="C21" s="21"/>
      <c r="D21" s="21" t="s">
        <v>17</v>
      </c>
      <c r="E21" s="21"/>
      <c r="F21" s="21">
        <f>(0)</f>
      </c>
      <c r="G21" s="21">
        <f>(C21 * E21 + C21 * E21 * F21)</f>
      </c>
    </row>
    <row r="22">
      <c r="A22" s="4" t="s">
        <v>30</v>
      </c>
      <c r="B22" s="14" t="s">
        <v>31</v>
      </c>
      <c r="C22" s="21"/>
      <c r="D22" s="21" t="s">
        <v>17</v>
      </c>
      <c r="E22" s="21"/>
      <c r="F22" s="21">
        <f>(0)</f>
      </c>
      <c r="G22" s="21">
        <f>(C22 * E22 + C22 * E22 * F22)</f>
      </c>
    </row>
    <row r="23">
      <c r="A23" s="4" t="s">
        <v>32</v>
      </c>
      <c r="B23" s="14" t="s">
        <v>33</v>
      </c>
      <c r="C23" s="21"/>
      <c r="D23" s="21" t="s">
        <v>17</v>
      </c>
      <c r="E23" s="21"/>
      <c r="F23" s="21">
        <f>(0)</f>
      </c>
      <c r="G23" s="21">
        <f>(C23 * E23 + C23 * E23 * F23)</f>
      </c>
    </row>
    <row r="24">
      <c r="A24" s="4" t="s">
        <v>34</v>
      </c>
      <c r="B24" s="14" t="s">
        <v>35</v>
      </c>
      <c r="C24" s="21"/>
      <c r="D24" s="21" t="s">
        <v>17</v>
      </c>
      <c r="E24" s="21"/>
      <c r="F24" s="21">
        <f>(0)</f>
      </c>
      <c r="G24" s="21">
        <f>(C24 * E24 + C24 * E24 * F24)</f>
      </c>
    </row>
    <row r="25">
      <c r="A25" s="4" t="s">
        <v>36</v>
      </c>
      <c r="B25" s="14" t="s">
        <v>37</v>
      </c>
      <c r="C25" s="21"/>
      <c r="D25" s="21" t="s">
        <v>17</v>
      </c>
      <c r="E25" s="21"/>
      <c r="F25" s="21">
        <f>(0)</f>
      </c>
      <c r="G25" s="21">
        <f>(C25 * E25 + C25 * E25 * F25)</f>
      </c>
    </row>
    <row r="26">
      <c r="A26" s="4" t="s">
        <v>38</v>
      </c>
      <c r="B26" s="14" t="s">
        <v>39</v>
      </c>
      <c r="C26" s="21"/>
      <c r="D26" s="21" t="s">
        <v>17</v>
      </c>
      <c r="E26" s="21"/>
      <c r="F26" s="21">
        <f>(0)</f>
      </c>
      <c r="G26" s="21">
        <f>(C26 * E26 + C26 * E26 * F26)</f>
      </c>
    </row>
    <row r="27">
      <c r="A27" s="4" t="s">
        <v>40</v>
      </c>
      <c r="B27" s="14" t="s">
        <v>41</v>
      </c>
      <c r="C27" s="21"/>
      <c r="D27" s="21" t="s">
        <v>17</v>
      </c>
      <c r="E27" s="21"/>
      <c r="F27" s="21">
        <f>(0)</f>
      </c>
      <c r="G27" s="21">
        <f>(C27 * E27 + C27 * E27 * F27)</f>
      </c>
    </row>
    <row r="28">
      <c r="A28" s="3"/>
      <c r="B28" s="11" t="s">
        <v>42</v>
      </c>
      <c r="C28" s="20"/>
      <c r="D28" s="20"/>
      <c r="E28" s="20"/>
      <c r="F28" s="20"/>
      <c r="G28" s="20"/>
    </row>
    <row r="29">
      <c r="A29" s="4" t="s">
        <v>43</v>
      </c>
      <c r="B29" s="12" t="s">
        <v>44</v>
      </c>
      <c r="C29" s="21">
        <f>(1)*(1)*(1)*(1)*(1 + (0))</f>
      </c>
      <c r="D29" s="21" t="s">
        <v>45</v>
      </c>
      <c r="E29" s="21"/>
      <c r="F29" s="21">
        <f>(0)</f>
      </c>
      <c r="G29" s="21">
        <f>(C29 * E29 + C29 * E29 * F29)</f>
      </c>
    </row>
    <row r="30">
      <c r="A30" s="4" t="s">
        <v>46</v>
      </c>
      <c r="B30" s="12" t="s">
        <v>47</v>
      </c>
      <c r="C30" s="21">
        <f>(1)*(1)*(1)*(1)*(1 + (0))</f>
      </c>
      <c r="D30" s="21" t="s">
        <v>45</v>
      </c>
      <c r="E30" s="21"/>
      <c r="F30" s="21">
        <f>(0)</f>
      </c>
      <c r="G30" s="21">
        <f>(C30 * E30 + C30 * E30 * F30)</f>
      </c>
    </row>
    <row r="31">
      <c r="A31" s="4" t="s">
        <v>48</v>
      </c>
      <c r="B31" s="12" t="s">
        <v>49</v>
      </c>
      <c r="C31" s="21">
        <f>(1)*(1)*(1)*(1)*(1 + (0))</f>
      </c>
      <c r="D31" s="21" t="s">
        <v>45</v>
      </c>
      <c r="E31" s="21"/>
      <c r="F31" s="21">
        <f>(0)</f>
      </c>
      <c r="G31" s="21">
        <f>(C31 * E31 + C31 * E31 * F31)</f>
      </c>
    </row>
    <row r="32">
      <c r="A32" s="4" t="s">
        <v>50</v>
      </c>
      <c r="B32" s="12" t="s">
        <v>51</v>
      </c>
      <c r="C32" s="21">
        <f>(1)*(1)*(1)*(1)*(1 + (0))</f>
      </c>
      <c r="D32" s="21" t="s">
        <v>45</v>
      </c>
      <c r="E32" s="21"/>
      <c r="F32" s="21">
        <f>(0)</f>
      </c>
      <c r="G32" s="21">
        <f>(C32 * E32 + C32 * E32 * F32)</f>
      </c>
    </row>
    <row r="33">
      <c r="A33" s="4" t="s">
        <v>52</v>
      </c>
      <c r="B33" s="12" t="s">
        <v>53</v>
      </c>
      <c r="C33" s="21">
        <f>(1)*(1)*(1)*(1)*(1 + (0))</f>
      </c>
      <c r="D33" s="21" t="s">
        <v>45</v>
      </c>
      <c r="E33" s="21"/>
      <c r="F33" s="21">
        <f>(0)</f>
      </c>
      <c r="G33" s="21">
        <f>(C33 * E33 + C33 * E33 * F33)</f>
      </c>
    </row>
    <row r="34">
      <c r="A34" s="4" t="s">
        <v>54</v>
      </c>
      <c r="B34" s="12" t="s">
        <v>55</v>
      </c>
      <c r="C34" s="21">
        <f>(1)*(1)*(1)*(1)*(1 + (0))</f>
      </c>
      <c r="D34" s="21" t="s">
        <v>45</v>
      </c>
      <c r="E34" s="21"/>
      <c r="F34" s="21">
        <f>(0)</f>
      </c>
      <c r="G34" s="21">
        <f>(C34 * E34 + C34 * E34 * F34)</f>
      </c>
    </row>
    <row r="35">
      <c r="A35" s="4" t="s">
        <v>56</v>
      </c>
      <c r="B35" s="12" t="s">
        <v>57</v>
      </c>
      <c r="C35" s="21">
        <f>(1)*(1)*(1)*(1)*(1 + (0))</f>
      </c>
      <c r="D35" s="21" t="s">
        <v>45</v>
      </c>
      <c r="E35" s="21"/>
      <c r="F35" s="21">
        <f>(0)</f>
      </c>
      <c r="G35" s="21">
        <f>(C35 * E35 + C35 * E35 * F35)</f>
      </c>
    </row>
    <row r="36">
      <c r="A36" s="4" t="s">
        <v>58</v>
      </c>
      <c r="B36" s="12" t="s">
        <v>59</v>
      </c>
      <c r="C36" s="21">
        <f>(1)*(1)*(1)*(1)*(1 + (0))</f>
      </c>
      <c r="D36" s="21" t="s">
        <v>45</v>
      </c>
      <c r="E36" s="21"/>
      <c r="F36" s="21">
        <f>(0)</f>
      </c>
      <c r="G36" s="21">
        <f>(C36 * E36 + C36 * E36 * F36)</f>
      </c>
    </row>
    <row r="37">
      <c r="A37" s="4" t="s">
        <v>60</v>
      </c>
      <c r="B37" s="12" t="s">
        <v>61</v>
      </c>
      <c r="C37" s="21">
        <f>(1)*(1)*(1)*(1)*(1 + (0))</f>
      </c>
      <c r="D37" s="21" t="s">
        <v>45</v>
      </c>
      <c r="E37" s="21"/>
      <c r="F37" s="21">
        <f>(0)</f>
      </c>
      <c r="G37" s="21">
        <f>(C37 * E37 + C37 * E37 * F37)</f>
      </c>
    </row>
    <row r="38">
      <c r="A38" s="4" t="s">
        <v>62</v>
      </c>
      <c r="B38" s="12" t="s">
        <v>63</v>
      </c>
      <c r="C38" s="21">
        <f>(1)*(1)*(1)*(1)*(1 + (0))</f>
      </c>
      <c r="D38" s="21" t="s">
        <v>45</v>
      </c>
      <c r="E38" s="21"/>
      <c r="F38" s="21">
        <f>(0)</f>
      </c>
      <c r="G38" s="21">
        <f>(C38 * E38 + C38 * E38 * F38)</f>
      </c>
    </row>
    <row r="39">
      <c r="A39" s="4" t="s">
        <v>64</v>
      </c>
      <c r="B39" s="12" t="s">
        <v>65</v>
      </c>
      <c r="C39" s="21">
        <f>(1)*(1)*(1)*(1)*(1 + (0))</f>
      </c>
      <c r="D39" s="21" t="s">
        <v>45</v>
      </c>
      <c r="E39" s="21"/>
      <c r="F39" s="21">
        <f>(0)</f>
      </c>
      <c r="G39" s="21">
        <f>(C39 * E39 + C39 * E39 * F39)</f>
      </c>
    </row>
    <row r="40">
      <c r="A40" s="4" t="s">
        <v>66</v>
      </c>
      <c r="B40" s="12" t="s">
        <v>67</v>
      </c>
      <c r="C40" s="21">
        <f>(1)*(1)*(1)*(1)*(1 + (0))</f>
      </c>
      <c r="D40" s="21" t="s">
        <v>45</v>
      </c>
      <c r="E40" s="21"/>
      <c r="F40" s="21">
        <f>(0)</f>
      </c>
      <c r="G40" s="21">
        <f>(C40 * E40 + C40 * E40 * F40)</f>
      </c>
    </row>
    <row r="41">
      <c r="A41" s="4" t="s">
        <v>68</v>
      </c>
      <c r="B41" s="12" t="s">
        <v>69</v>
      </c>
      <c r="C41" s="21">
        <f>(1)*(1)*(1)*(1)*(1 + (0))</f>
      </c>
      <c r="D41" s="21" t="s">
        <v>45</v>
      </c>
      <c r="E41" s="21"/>
      <c r="F41" s="21">
        <f>(0)</f>
      </c>
      <c r="G41" s="21">
        <f>(C41 * E41 + C41 * E41 * F41)</f>
      </c>
    </row>
    <row r="42">
      <c r="A42" s="4" t="s">
        <v>70</v>
      </c>
      <c r="B42" s="12" t="s">
        <v>71</v>
      </c>
      <c r="C42" s="21">
        <f>(1)*(1)*(1)*(1)*(1 + (0))</f>
      </c>
      <c r="D42" s="21" t="s">
        <v>45</v>
      </c>
      <c r="E42" s="21"/>
      <c r="F42" s="21">
        <f>(0)</f>
      </c>
      <c r="G42" s="21">
        <f>(C42 * E42 + C42 * E42 * F42)</f>
      </c>
    </row>
    <row r="43">
      <c r="A43" s="4" t="s">
        <v>72</v>
      </c>
      <c r="B43" s="12" t="s">
        <v>73</v>
      </c>
      <c r="C43" s="21">
        <f>(1)*(1)*(1)*(1)*(1 + (0))</f>
      </c>
      <c r="D43" s="21" t="s">
        <v>45</v>
      </c>
      <c r="E43" s="21"/>
      <c r="F43" s="21">
        <f>(0)</f>
      </c>
      <c r="G43" s="21">
        <f>(C43 * E43 + C43 * E43 * F43)</f>
      </c>
    </row>
    <row r="44">
      <c r="A44" s="4" t="s">
        <v>74</v>
      </c>
      <c r="B44" s="12" t="s">
        <v>75</v>
      </c>
      <c r="C44" s="21">
        <f>(1)*(1)*(1)*(1)*(1 + (0))</f>
      </c>
      <c r="D44" s="21" t="s">
        <v>45</v>
      </c>
      <c r="E44" s="21"/>
      <c r="F44" s="21">
        <f>(0)</f>
      </c>
      <c r="G44" s="21">
        <f>(C44 * E44 + C44 * E44 * F44)</f>
      </c>
    </row>
    <row r="45">
      <c r="A45" s="4" t="s">
        <v>76</v>
      </c>
      <c r="B45" s="12" t="s">
        <v>77</v>
      </c>
      <c r="C45" s="21">
        <f>(1)*(1)*(1)*(1)*(1 + (0))</f>
      </c>
      <c r="D45" s="21" t="s">
        <v>45</v>
      </c>
      <c r="E45" s="21"/>
      <c r="F45" s="21">
        <f>(0)</f>
      </c>
      <c r="G45" s="21">
        <f>(C45 * E45 + C45 * E45 * F45)</f>
      </c>
    </row>
    <row r="46">
      <c r="A46" s="4" t="s">
        <v>78</v>
      </c>
      <c r="B46" s="12" t="s">
        <v>79</v>
      </c>
      <c r="C46" s="21">
        <f>(1)*(1)*(1)*(1)*(1 + (0))</f>
      </c>
      <c r="D46" s="21" t="s">
        <v>45</v>
      </c>
      <c r="E46" s="21"/>
      <c r="F46" s="21">
        <f>(0)</f>
      </c>
      <c r="G46" s="21">
        <f>(C46 * E46 + C46 * E46 * F46)</f>
      </c>
    </row>
    <row r="47">
      <c r="A47" s="4" t="s">
        <v>80</v>
      </c>
      <c r="B47" s="12" t="s">
        <v>81</v>
      </c>
      <c r="C47" s="21">
        <f>(1)*(1)*(1)*(1)*(1 + (0))</f>
      </c>
      <c r="D47" s="21" t="s">
        <v>45</v>
      </c>
      <c r="E47" s="21"/>
      <c r="F47" s="21">
        <f>(0)</f>
      </c>
      <c r="G47" s="21">
        <f>(C47 * E47 + C47 * E47 * F47)</f>
      </c>
    </row>
    <row r="48">
      <c r="A48" s="3"/>
      <c r="B48" s="11" t="s">
        <v>82</v>
      </c>
      <c r="C48" s="20"/>
      <c r="D48" s="20"/>
      <c r="E48" s="20"/>
      <c r="F48" s="20"/>
      <c r="G48" s="20"/>
    </row>
    <row r="49">
      <c r="A49" s="4" t="s">
        <v>83</v>
      </c>
      <c r="B49" s="12" t="s">
        <v>84</v>
      </c>
      <c r="C49" s="21"/>
      <c r="D49" s="21" t="s">
        <v>17</v>
      </c>
      <c r="E49" s="21"/>
      <c r="F49" s="21">
        <f>(0)</f>
      </c>
      <c r="G49" s="21">
        <f>(C49 * E49 + C49 * E49 * F49)</f>
      </c>
    </row>
    <row r="50">
      <c r="A50" s="3"/>
      <c r="B50" s="11" t="s">
        <v>85</v>
      </c>
      <c r="C50" s="20"/>
      <c r="D50" s="20"/>
      <c r="E50" s="20"/>
      <c r="F50" s="20"/>
      <c r="G50" s="20"/>
    </row>
    <row r="51">
      <c r="A51" s="4"/>
      <c r="B51" s="12" t="s">
        <v>86</v>
      </c>
      <c r="C51" s="21">
        <f>(30)*(1)*(1)*(1)*(1 + (0))</f>
      </c>
      <c r="D51" s="21" t="s">
        <v>9</v>
      </c>
      <c r="E51" s="21"/>
      <c r="F51" s="21">
        <f>(0)</f>
      </c>
      <c r="G51" s="21">
        <f>(C51 * E51 + C51 * E51 * F51)</f>
      </c>
    </row>
    <row r="52">
      <c r="A52" s="4"/>
      <c r="B52" s="12" t="s">
        <v>87</v>
      </c>
      <c r="C52" s="21">
        <f>(30)*(1)*(1)*(1)*(1 + (0))</f>
      </c>
      <c r="D52" s="21" t="s">
        <v>9</v>
      </c>
      <c r="E52" s="21"/>
      <c r="F52" s="21">
        <f>(0)</f>
      </c>
      <c r="G52" s="21">
        <f>(C52 * E52 + C52 * E52 * F52)</f>
      </c>
    </row>
    <row r="53">
      <c r="A53" s="3"/>
      <c r="B53" s="11" t="s">
        <v>88</v>
      </c>
      <c r="C53" s="20"/>
      <c r="D53" s="20"/>
      <c r="E53" s="20"/>
      <c r="F53" s="20"/>
      <c r="G53" s="20"/>
    </row>
    <row r="54">
      <c r="A54" s="4" t="s">
        <v>89</v>
      </c>
      <c r="B54" s="12" t="s">
        <v>90</v>
      </c>
      <c r="C54" s="21">
        <f>(1)*(1)*(1)*(1)*(1 + (0))</f>
      </c>
      <c r="D54" s="21" t="s">
        <v>45</v>
      </c>
      <c r="E54" s="21"/>
      <c r="F54" s="21">
        <f>(0)</f>
      </c>
      <c r="G54" s="21">
        <f>(C54 * E54 + C54 * E54 * F54)</f>
      </c>
    </row>
    <row r="55">
      <c r="A55" s="4" t="s">
        <v>91</v>
      </c>
      <c r="B55" s="12" t="s">
        <v>92</v>
      </c>
      <c r="C55" s="21">
        <f>(1)*(1)*(1)*(1)*(1 + (0))</f>
      </c>
      <c r="D55" s="21" t="s">
        <v>45</v>
      </c>
      <c r="E55" s="21"/>
      <c r="F55" s="21">
        <f>(0)</f>
      </c>
      <c r="G55" s="21">
        <f>(C55 * E55 + C55 * E55 * F55)</f>
      </c>
    </row>
    <row r="56">
      <c r="A56" s="4" t="s">
        <v>93</v>
      </c>
      <c r="B56" s="12" t="s">
        <v>94</v>
      </c>
      <c r="C56" s="21">
        <f>(1)*(1)*(1)*(1)*(1 + (0))</f>
      </c>
      <c r="D56" s="21" t="s">
        <v>45</v>
      </c>
      <c r="E56" s="21"/>
      <c r="F56" s="21">
        <f>(0)</f>
      </c>
      <c r="G56" s="21">
        <f>(C56 * E56 + C56 * E56 * F56)</f>
      </c>
    </row>
    <row r="57">
      <c r="A57" s="2"/>
      <c r="B57" s="10" t="s">
        <v>95</v>
      </c>
      <c r="C57" s="19"/>
      <c r="D57" s="19"/>
      <c r="E57" s="19"/>
      <c r="F57" s="19"/>
      <c r="G57" s="19"/>
    </row>
    <row r="58">
      <c r="A58" s="3"/>
      <c r="B58" s="11" t="s">
        <v>14</v>
      </c>
      <c r="C58" s="20"/>
      <c r="D58" s="20"/>
      <c r="E58" s="20"/>
      <c r="F58" s="20"/>
      <c r="G58" s="20"/>
    </row>
    <row r="59">
      <c r="A59" s="4" t="s">
        <v>96</v>
      </c>
      <c r="B59" s="12" t="s">
        <v>16</v>
      </c>
      <c r="C59" s="21"/>
      <c r="D59" s="21" t="s">
        <v>17</v>
      </c>
      <c r="E59" s="21"/>
      <c r="F59" s="21">
        <f>(0)</f>
      </c>
      <c r="G59" s="21">
        <f>(C59 * E59 + C59 * E59 * F59)</f>
      </c>
    </row>
    <row r="60">
      <c r="A60" s="4" t="s">
        <v>97</v>
      </c>
      <c r="B60" s="12" t="s">
        <v>19</v>
      </c>
      <c r="C60" s="21"/>
      <c r="D60" s="21" t="s">
        <v>17</v>
      </c>
      <c r="E60" s="21"/>
      <c r="F60" s="21">
        <f>(0)</f>
      </c>
      <c r="G60" s="21">
        <f>(C60 * E60 + C60 * E60 * F60)</f>
      </c>
    </row>
    <row r="61">
      <c r="A61" s="3"/>
      <c r="B61" s="11" t="s">
        <v>98</v>
      </c>
      <c r="C61" s="20"/>
      <c r="D61" s="20"/>
      <c r="E61" s="20"/>
      <c r="F61" s="20"/>
      <c r="G61" s="20"/>
    </row>
    <row r="62">
      <c r="A62" s="4"/>
      <c r="B62" s="12" t="s">
        <v>99</v>
      </c>
      <c r="C62" s="21"/>
      <c r="D62" s="21" t="s">
        <v>17</v>
      </c>
      <c r="E62" s="21"/>
      <c r="F62" s="21">
        <f>(0)</f>
      </c>
      <c r="G62" s="21">
        <f>(C62 * E62 + C62 * E62 * F62)</f>
      </c>
    </row>
    <row r="63">
      <c r="A63" s="4"/>
      <c r="B63" s="12" t="s">
        <v>100</v>
      </c>
      <c r="C63" s="21"/>
      <c r="D63" s="21" t="s">
        <v>17</v>
      </c>
      <c r="E63" s="21"/>
      <c r="F63" s="21">
        <f>(0)</f>
      </c>
      <c r="G63" s="21">
        <f>(C63 * E63 + C63 * E63 * F63)</f>
      </c>
    </row>
    <row r="64">
      <c r="A64" s="4"/>
      <c r="B64" s="12" t="s">
        <v>101</v>
      </c>
      <c r="C64" s="21"/>
      <c r="D64" s="21" t="s">
        <v>17</v>
      </c>
      <c r="E64" s="21"/>
      <c r="F64" s="21">
        <f>(0)</f>
      </c>
      <c r="G64" s="21">
        <f>(C64 * E64 + C64 * E64 * F64)</f>
      </c>
    </row>
    <row r="65">
      <c r="A65" s="4"/>
      <c r="B65" s="12" t="s">
        <v>102</v>
      </c>
      <c r="C65" s="21"/>
      <c r="D65" s="21" t="s">
        <v>17</v>
      </c>
      <c r="E65" s="21"/>
      <c r="F65" s="21">
        <f>(0)</f>
      </c>
      <c r="G65" s="21">
        <f>(C65 * E65 + C65 * E65 * F65)</f>
      </c>
    </row>
    <row r="66">
      <c r="A66" s="4"/>
      <c r="B66" s="12" t="s">
        <v>103</v>
      </c>
      <c r="C66" s="21"/>
      <c r="D66" s="21" t="s">
        <v>17</v>
      </c>
      <c r="E66" s="21"/>
      <c r="F66" s="21">
        <f>(0)</f>
      </c>
      <c r="G66" s="21">
        <f>(C66 * E66 + C66 * E66 * F66)</f>
      </c>
    </row>
    <row r="67">
      <c r="A67" s="3"/>
      <c r="B67" s="11" t="s">
        <v>24</v>
      </c>
      <c r="C67" s="20"/>
      <c r="D67" s="20"/>
      <c r="E67" s="20"/>
      <c r="F67" s="20"/>
      <c r="G67" s="20"/>
    </row>
    <row r="68">
      <c r="A68" s="5"/>
      <c r="B68" s="13" t="s">
        <v>25</v>
      </c>
      <c r="C68" s="22"/>
      <c r="D68" s="22"/>
      <c r="E68" s="22"/>
      <c r="F68" s="22"/>
      <c r="G68" s="22"/>
    </row>
    <row r="69">
      <c r="A69" s="4" t="s">
        <v>104</v>
      </c>
      <c r="B69" s="14" t="s">
        <v>105</v>
      </c>
      <c r="C69" s="21"/>
      <c r="D69" s="21" t="s">
        <v>17</v>
      </c>
      <c r="E69" s="21"/>
      <c r="F69" s="21">
        <f>(0)</f>
      </c>
      <c r="G69" s="21">
        <f>(C69 * E69 + C69 * E69 * F69)</f>
      </c>
    </row>
    <row r="70">
      <c r="A70" s="4" t="s">
        <v>106</v>
      </c>
      <c r="B70" s="14" t="s">
        <v>107</v>
      </c>
      <c r="C70" s="21"/>
      <c r="D70" s="21" t="s">
        <v>17</v>
      </c>
      <c r="E70" s="21"/>
      <c r="F70" s="21">
        <f>(0)</f>
      </c>
      <c r="G70" s="21">
        <f>(C70 * E70 + C70 * E70 * F70)</f>
      </c>
    </row>
    <row r="71">
      <c r="A71" s="4" t="s">
        <v>108</v>
      </c>
      <c r="B71" s="14" t="s">
        <v>109</v>
      </c>
      <c r="C71" s="21"/>
      <c r="D71" s="21" t="s">
        <v>17</v>
      </c>
      <c r="E71" s="21"/>
      <c r="F71" s="21">
        <f>(0)</f>
      </c>
      <c r="G71" s="21">
        <f>(C71 * E71 + C71 * E71 * F71)</f>
      </c>
    </row>
    <row r="72">
      <c r="A72" s="4" t="s">
        <v>110</v>
      </c>
      <c r="B72" s="14" t="s">
        <v>111</v>
      </c>
      <c r="C72" s="21"/>
      <c r="D72" s="21" t="s">
        <v>17</v>
      </c>
      <c r="E72" s="21"/>
      <c r="F72" s="21">
        <f>(0)</f>
      </c>
      <c r="G72" s="21">
        <f>(C72 * E72 + C72 * E72 * F72)</f>
      </c>
    </row>
    <row r="73">
      <c r="A73" s="4" t="s">
        <v>112</v>
      </c>
      <c r="B73" s="14" t="s">
        <v>113</v>
      </c>
      <c r="C73" s="21"/>
      <c r="D73" s="21" t="s">
        <v>17</v>
      </c>
      <c r="E73" s="21"/>
      <c r="F73" s="21">
        <f>(0)</f>
      </c>
      <c r="G73" s="21">
        <f>(C73 * E73 + C73 * E73 * F73)</f>
      </c>
    </row>
    <row r="74">
      <c r="A74" s="4" t="s">
        <v>114</v>
      </c>
      <c r="B74" s="14" t="s">
        <v>115</v>
      </c>
      <c r="C74" s="21"/>
      <c r="D74" s="21" t="s">
        <v>17</v>
      </c>
      <c r="E74" s="21"/>
      <c r="F74" s="21">
        <f>(0)</f>
      </c>
      <c r="G74" s="21">
        <f>(C74 * E74 + C74 * E74 * F74)</f>
      </c>
    </row>
    <row r="75">
      <c r="A75" s="4" t="s">
        <v>116</v>
      </c>
      <c r="B75" s="14" t="s">
        <v>117</v>
      </c>
      <c r="C75" s="21"/>
      <c r="D75" s="21" t="s">
        <v>17</v>
      </c>
      <c r="E75" s="21"/>
      <c r="F75" s="21">
        <f>(0)</f>
      </c>
      <c r="G75" s="21">
        <f>(C75 * E75 + C75 * E75 * F75)</f>
      </c>
    </row>
    <row r="76">
      <c r="A76" s="4" t="s">
        <v>118</v>
      </c>
      <c r="B76" s="14" t="s">
        <v>119</v>
      </c>
      <c r="C76" s="21"/>
      <c r="D76" s="21" t="s">
        <v>17</v>
      </c>
      <c r="E76" s="21"/>
      <c r="F76" s="21">
        <f>(0)</f>
      </c>
      <c r="G76" s="21">
        <f>(C76 * E76 + C76 * E76 * F76)</f>
      </c>
    </row>
    <row r="77">
      <c r="A77" s="4" t="s">
        <v>120</v>
      </c>
      <c r="B77" s="14" t="s">
        <v>121</v>
      </c>
      <c r="C77" s="21"/>
      <c r="D77" s="21" t="s">
        <v>17</v>
      </c>
      <c r="E77" s="21"/>
      <c r="F77" s="21">
        <f>(0)</f>
      </c>
      <c r="G77" s="21">
        <f>(C77 * E77 + C77 * E77 * F77)</f>
      </c>
    </row>
    <row r="78">
      <c r="A78" s="4" t="s">
        <v>122</v>
      </c>
      <c r="B78" s="14" t="s">
        <v>39</v>
      </c>
      <c r="C78" s="21"/>
      <c r="D78" s="21" t="s">
        <v>17</v>
      </c>
      <c r="E78" s="21"/>
      <c r="F78" s="21">
        <f>(0)</f>
      </c>
      <c r="G78" s="21">
        <f>(C78 * E78 + C78 * E78 * F78)</f>
      </c>
    </row>
    <row r="79">
      <c r="A79" s="4" t="s">
        <v>123</v>
      </c>
      <c r="B79" s="14" t="s">
        <v>124</v>
      </c>
      <c r="C79" s="21"/>
      <c r="D79" s="21" t="s">
        <v>17</v>
      </c>
      <c r="E79" s="21"/>
      <c r="F79" s="21">
        <f>(0)</f>
      </c>
      <c r="G79" s="21">
        <f>(C79 * E79 + C79 * E79 * F79)</f>
      </c>
    </row>
    <row r="80">
      <c r="A80" s="3"/>
      <c r="B80" s="11" t="s">
        <v>42</v>
      </c>
      <c r="C80" s="20"/>
      <c r="D80" s="20"/>
      <c r="E80" s="20"/>
      <c r="F80" s="20"/>
      <c r="G80" s="20"/>
    </row>
    <row r="81">
      <c r="A81" s="4" t="s">
        <v>125</v>
      </c>
      <c r="B81" s="12" t="s">
        <v>59</v>
      </c>
      <c r="C81" s="21">
        <f>(1)*(1)*(1)*(1)*(1 + (0))</f>
      </c>
      <c r="D81" s="21" t="s">
        <v>45</v>
      </c>
      <c r="E81" s="21"/>
      <c r="F81" s="21">
        <f>(0)</f>
      </c>
      <c r="G81" s="21">
        <f>(C81 * E81 + C81 * E81 * F81)</f>
      </c>
    </row>
    <row r="82">
      <c r="A82" s="4" t="s">
        <v>126</v>
      </c>
      <c r="B82" s="12" t="s">
        <v>61</v>
      </c>
      <c r="C82" s="21">
        <f>(1)*(1)*(1)*(1)*(1 + (0))</f>
      </c>
      <c r="D82" s="21" t="s">
        <v>45</v>
      </c>
      <c r="E82" s="21"/>
      <c r="F82" s="21">
        <f>(0)</f>
      </c>
      <c r="G82" s="21">
        <f>(C82 * E82 + C82 * E82 * F82)</f>
      </c>
    </row>
    <row r="83">
      <c r="A83" s="4" t="s">
        <v>127</v>
      </c>
      <c r="B83" s="12" t="s">
        <v>128</v>
      </c>
      <c r="C83" s="21">
        <f>(1)*(1)*(1)*(1)*(1 + (0))</f>
      </c>
      <c r="D83" s="21" t="s">
        <v>45</v>
      </c>
      <c r="E83" s="21"/>
      <c r="F83" s="21">
        <f>(0)</f>
      </c>
      <c r="G83" s="21">
        <f>(C83 * E83 + C83 * E83 * F83)</f>
      </c>
    </row>
    <row r="84">
      <c r="A84" s="4" t="s">
        <v>129</v>
      </c>
      <c r="B84" s="12" t="s">
        <v>130</v>
      </c>
      <c r="C84" s="21">
        <f>(1)*(1)*(1)*(1)*(1 + (0))</f>
      </c>
      <c r="D84" s="21" t="s">
        <v>45</v>
      </c>
      <c r="E84" s="21"/>
      <c r="F84" s="21">
        <f>(0)</f>
      </c>
      <c r="G84" s="21">
        <f>(C84 * E84 + C84 * E84 * F84)</f>
      </c>
    </row>
    <row r="85">
      <c r="A85" s="4" t="s">
        <v>131</v>
      </c>
      <c r="B85" s="12" t="s">
        <v>132</v>
      </c>
      <c r="C85" s="21">
        <f>(1)*(1)*(1)*(1)*(1 + (0))</f>
      </c>
      <c r="D85" s="21" t="s">
        <v>45</v>
      </c>
      <c r="E85" s="21"/>
      <c r="F85" s="21">
        <f>(0)</f>
      </c>
      <c r="G85" s="21">
        <f>(C85 * E85 + C85 * E85 * F85)</f>
      </c>
    </row>
    <row r="86">
      <c r="A86" s="4" t="s">
        <v>133</v>
      </c>
      <c r="B86" s="12" t="s">
        <v>134</v>
      </c>
      <c r="C86" s="21">
        <f>(1)*(1)*(1)*(1)*(1 + (0))</f>
      </c>
      <c r="D86" s="21" t="s">
        <v>45</v>
      </c>
      <c r="E86" s="21"/>
      <c r="F86" s="21">
        <f>(0)</f>
      </c>
      <c r="G86" s="21">
        <f>(C86 * E86 + C86 * E86 * F86)</f>
      </c>
    </row>
    <row r="87">
      <c r="A87" s="4" t="s">
        <v>135</v>
      </c>
      <c r="B87" s="12" t="s">
        <v>136</v>
      </c>
      <c r="C87" s="21">
        <f>(1)*(1)*(1)*(1)*(1 + (0))</f>
      </c>
      <c r="D87" s="21" t="s">
        <v>45</v>
      </c>
      <c r="E87" s="21"/>
      <c r="F87" s="21">
        <f>(0)</f>
      </c>
      <c r="G87" s="21">
        <f>(C87 * E87 + C87 * E87 * F87)</f>
      </c>
    </row>
    <row r="88">
      <c r="A88" s="4" t="s">
        <v>137</v>
      </c>
      <c r="B88" s="12" t="s">
        <v>67</v>
      </c>
      <c r="C88" s="21">
        <f>(1)*(1)*(1)*(1)*(1 + (0))</f>
      </c>
      <c r="D88" s="21" t="s">
        <v>45</v>
      </c>
      <c r="E88" s="21"/>
      <c r="F88" s="21">
        <f>(0)</f>
      </c>
      <c r="G88" s="21">
        <f>(C88 * E88 + C88 * E88 * F88)</f>
      </c>
    </row>
    <row r="89">
      <c r="A89" s="4" t="s">
        <v>138</v>
      </c>
      <c r="B89" s="12" t="s">
        <v>139</v>
      </c>
      <c r="C89" s="21">
        <f>(1)*(1)*(1)*(1)*(1 + (0))</f>
      </c>
      <c r="D89" s="21" t="s">
        <v>45</v>
      </c>
      <c r="E89" s="21"/>
      <c r="F89" s="21">
        <f>(0)</f>
      </c>
      <c r="G89" s="21">
        <f>(C89 * E89 + C89 * E89 * F89)</f>
      </c>
    </row>
    <row r="90">
      <c r="A90" s="4" t="s">
        <v>140</v>
      </c>
      <c r="B90" s="12" t="s">
        <v>141</v>
      </c>
      <c r="C90" s="21">
        <f>(1)*(1)*(1)*(1)*(1 + (0))</f>
      </c>
      <c r="D90" s="21" t="s">
        <v>45</v>
      </c>
      <c r="E90" s="21"/>
      <c r="F90" s="21">
        <f>(0)</f>
      </c>
      <c r="G90" s="21">
        <f>(C90 * E90 + C90 * E90 * F90)</f>
      </c>
    </row>
    <row r="91">
      <c r="A91" s="4" t="s">
        <v>142</v>
      </c>
      <c r="B91" s="12" t="s">
        <v>143</v>
      </c>
      <c r="C91" s="21">
        <f>(1)*(1)*(1)*(1)*(1 + (0))</f>
      </c>
      <c r="D91" s="21" t="s">
        <v>45</v>
      </c>
      <c r="E91" s="21"/>
      <c r="F91" s="21">
        <f>(0)</f>
      </c>
      <c r="G91" s="21">
        <f>(C91 * E91 + C91 * E91 * F91)</f>
      </c>
    </row>
    <row r="92">
      <c r="A92" s="4" t="s">
        <v>144</v>
      </c>
      <c r="B92" s="12" t="s">
        <v>145</v>
      </c>
      <c r="C92" s="21">
        <f>(1)*(1)*(1)*(1)*(1 + (0))</f>
      </c>
      <c r="D92" s="21" t="s">
        <v>45</v>
      </c>
      <c r="E92" s="21"/>
      <c r="F92" s="21">
        <f>(0)</f>
      </c>
      <c r="G92" s="21">
        <f>(C92 * E92 + C92 * E92 * F92)</f>
      </c>
    </row>
    <row r="93">
      <c r="A93" s="4" t="s">
        <v>146</v>
      </c>
      <c r="B93" s="12" t="s">
        <v>65</v>
      </c>
      <c r="C93" s="21">
        <f>(1)*(1)*(1)*(1)*(1 + (0))</f>
      </c>
      <c r="D93" s="21" t="s">
        <v>45</v>
      </c>
      <c r="E93" s="21"/>
      <c r="F93" s="21">
        <f>(0)</f>
      </c>
      <c r="G93" s="21">
        <f>(C93 * E93 + C93 * E93 * F93)</f>
      </c>
    </row>
    <row r="94">
      <c r="A94" s="4" t="s">
        <v>147</v>
      </c>
      <c r="B94" s="12" t="s">
        <v>148</v>
      </c>
      <c r="C94" s="21">
        <f>(1)*(1)*(1)*(1)*(1 + (0))</f>
      </c>
      <c r="D94" s="21" t="s">
        <v>45</v>
      </c>
      <c r="E94" s="21"/>
      <c r="F94" s="21">
        <f>(0)</f>
      </c>
      <c r="G94" s="21">
        <f>(C94 * E94 + C94 * E94 * F94)</f>
      </c>
    </row>
    <row r="95">
      <c r="A95" s="4" t="s">
        <v>149</v>
      </c>
      <c r="B95" s="12" t="s">
        <v>150</v>
      </c>
      <c r="C95" s="21">
        <f>(1)*(1)*(1)*(1)*(1 + (0))</f>
      </c>
      <c r="D95" s="21" t="s">
        <v>45</v>
      </c>
      <c r="E95" s="21"/>
      <c r="F95" s="21">
        <f>(0)</f>
      </c>
      <c r="G95" s="21">
        <f>(C95 * E95 + C95 * E95 * F95)</f>
      </c>
    </row>
    <row r="96">
      <c r="A96" s="4" t="s">
        <v>151</v>
      </c>
      <c r="B96" s="12" t="s">
        <v>152</v>
      </c>
      <c r="C96" s="21">
        <f>(1)*(1)*(1)*(1)*(1 + (0))</f>
      </c>
      <c r="D96" s="21" t="s">
        <v>45</v>
      </c>
      <c r="E96" s="21"/>
      <c r="F96" s="21">
        <f>(0)</f>
      </c>
      <c r="G96" s="21">
        <f>(C96 * E96 + C96 * E96 * F96)</f>
      </c>
    </row>
    <row r="97">
      <c r="A97" s="4" t="s">
        <v>153</v>
      </c>
      <c r="B97" s="12" t="s">
        <v>154</v>
      </c>
      <c r="C97" s="21">
        <f>(1)*(1)*(1)*(1)*(1 + (0))</f>
      </c>
      <c r="D97" s="21" t="s">
        <v>45</v>
      </c>
      <c r="E97" s="21"/>
      <c r="F97" s="21">
        <f>(0)</f>
      </c>
      <c r="G97" s="21">
        <f>(C97 * E97 + C97 * E97 * F97)</f>
      </c>
    </row>
    <row r="98">
      <c r="A98" s="4" t="s">
        <v>155</v>
      </c>
      <c r="B98" s="12" t="s">
        <v>156</v>
      </c>
      <c r="C98" s="21">
        <f>(1)*(1)*(1)*(1)*(1 + (0))</f>
      </c>
      <c r="D98" s="21" t="s">
        <v>45</v>
      </c>
      <c r="E98" s="21"/>
      <c r="F98" s="21">
        <f>(0)</f>
      </c>
      <c r="G98" s="21">
        <f>(C98 * E98 + C98 * E98 * F98)</f>
      </c>
    </row>
    <row r="99">
      <c r="A99" s="3"/>
      <c r="B99" s="11" t="s">
        <v>82</v>
      </c>
      <c r="C99" s="20"/>
      <c r="D99" s="20"/>
      <c r="E99" s="20"/>
      <c r="F99" s="20"/>
      <c r="G99" s="20"/>
    </row>
    <row r="100">
      <c r="A100" s="4"/>
      <c r="B100" s="12" t="s">
        <v>157</v>
      </c>
      <c r="C100" s="21"/>
      <c r="D100" s="21" t="s">
        <v>17</v>
      </c>
      <c r="E100" s="21"/>
      <c r="F100" s="21">
        <f>(0)</f>
      </c>
      <c r="G100" s="21">
        <f>(C100 * E100 + C100 * E100 * F100)</f>
      </c>
    </row>
    <row r="101">
      <c r="A101" s="4"/>
      <c r="B101" s="12" t="s">
        <v>158</v>
      </c>
      <c r="C101" s="21"/>
      <c r="D101" s="21" t="s">
        <v>17</v>
      </c>
      <c r="E101" s="21"/>
      <c r="F101" s="21">
        <f>(0)</f>
      </c>
      <c r="G101" s="21">
        <f>(C101 * E101 + C101 * E101 * F101)</f>
      </c>
    </row>
    <row r="102">
      <c r="A102" s="4"/>
      <c r="B102" s="12" t="s">
        <v>159</v>
      </c>
      <c r="C102" s="21"/>
      <c r="D102" s="21" t="s">
        <v>17</v>
      </c>
      <c r="E102" s="21"/>
      <c r="F102" s="21">
        <f>(0)</f>
      </c>
      <c r="G102" s="21">
        <f>(C102 * E102 + C102 * E102 * F102)</f>
      </c>
    </row>
    <row r="103">
      <c r="A103" s="3"/>
      <c r="B103" s="11" t="s">
        <v>160</v>
      </c>
      <c r="C103" s="20"/>
      <c r="D103" s="20"/>
      <c r="E103" s="20"/>
      <c r="F103" s="20"/>
      <c r="G103" s="20"/>
    </row>
    <row r="104">
      <c r="A104" s="4"/>
      <c r="B104" s="12" t="s">
        <v>161</v>
      </c>
      <c r="C104" s="21">
        <f>(1)*(1)*(1)*(1)*(1 + (0))</f>
      </c>
      <c r="D104" s="21" t="s">
        <v>45</v>
      </c>
      <c r="E104" s="21"/>
      <c r="F104" s="21">
        <f>(0)</f>
      </c>
      <c r="G104" s="21">
        <f>(C104 * E104 + C104 * E104 * F104)</f>
      </c>
    </row>
    <row r="105">
      <c r="A105" s="4"/>
      <c r="B105" s="12" t="s">
        <v>162</v>
      </c>
      <c r="C105" s="21">
        <f>(1)*(1)*(1)*(1)*(1 + (0))</f>
      </c>
      <c r="D105" s="21" t="s">
        <v>45</v>
      </c>
      <c r="E105" s="21"/>
      <c r="F105" s="21">
        <f>(0)</f>
      </c>
      <c r="G105" s="21">
        <f>(C105 * E105 + C105 * E105 * F105)</f>
      </c>
    </row>
    <row r="106">
      <c r="A106" s="4"/>
      <c r="B106" s="12" t="s">
        <v>163</v>
      </c>
      <c r="C106" s="21">
        <f>(558)*(1)*(1)*(1)*(1 + (0))</f>
      </c>
      <c r="D106" s="21" t="s">
        <v>164</v>
      </c>
      <c r="E106" s="21"/>
      <c r="F106" s="21">
        <f>(0)</f>
      </c>
      <c r="G106" s="21">
        <f>(C106 * E106 + C106 * E106 * F106)</f>
      </c>
    </row>
    <row r="107">
      <c r="A107" s="3"/>
      <c r="B107" s="11" t="s">
        <v>165</v>
      </c>
      <c r="C107" s="20"/>
      <c r="D107" s="20"/>
      <c r="E107" s="20"/>
      <c r="F107" s="20"/>
      <c r="G107" s="20"/>
    </row>
    <row r="108">
      <c r="A108" s="4"/>
      <c r="B108" s="12" t="s">
        <v>166</v>
      </c>
      <c r="C108" s="21">
        <f>(257)*(1)*(1)*(1)*(1 + (0))</f>
      </c>
      <c r="D108" s="21" t="s">
        <v>167</v>
      </c>
      <c r="E108" s="21"/>
      <c r="F108" s="21">
        <f>(0)</f>
      </c>
      <c r="G108" s="21">
        <f>(C108 * E108 + C108 * E108 * F108)</f>
      </c>
    </row>
    <row r="109">
      <c r="A109" s="4"/>
      <c r="B109" s="12" t="s">
        <v>168</v>
      </c>
      <c r="C109" s="21">
        <f>(98)*(1)*(1)*(1)*(1 + (0))</f>
      </c>
      <c r="D109" s="21" t="s">
        <v>167</v>
      </c>
      <c r="E109" s="21"/>
      <c r="F109" s="21">
        <f>(0)</f>
      </c>
      <c r="G109" s="21">
        <f>(C109 * E109 + C109 * E109 * F109)</f>
      </c>
    </row>
    <row r="110">
      <c r="A110" s="4"/>
      <c r="B110" s="12" t="s">
        <v>169</v>
      </c>
      <c r="C110" s="21">
        <f>(7)*(1)*(1)*(1)*(1 + (0))</f>
      </c>
      <c r="D110" s="21" t="s">
        <v>170</v>
      </c>
      <c r="E110" s="21"/>
      <c r="F110" s="21">
        <f>(0)</f>
      </c>
      <c r="G110" s="21">
        <f>(C110 * E110 + C110 * E110 * F110)</f>
      </c>
    </row>
    <row r="111">
      <c r="A111" s="4"/>
      <c r="B111" s="12" t="s">
        <v>171</v>
      </c>
      <c r="C111" s="21">
        <f>(21)*(1)*(1)*(1)*(1 + (0))</f>
      </c>
      <c r="D111" s="21" t="s">
        <v>9</v>
      </c>
      <c r="E111" s="21"/>
      <c r="F111" s="21">
        <f>(0)</f>
      </c>
      <c r="G111" s="21">
        <f>(C111 * E111 + C111 * E111 * F111)</f>
      </c>
    </row>
    <row r="112">
      <c r="A112" s="3"/>
      <c r="B112" s="11" t="s">
        <v>172</v>
      </c>
      <c r="C112" s="20"/>
      <c r="D112" s="20"/>
      <c r="E112" s="20"/>
      <c r="F112" s="20"/>
      <c r="G112" s="20"/>
    </row>
    <row r="113">
      <c r="A113" s="5"/>
      <c r="B113" s="13" t="s">
        <v>173</v>
      </c>
      <c r="C113" s="22"/>
      <c r="D113" s="22"/>
      <c r="E113" s="22"/>
      <c r="F113" s="22"/>
      <c r="G113" s="22"/>
    </row>
    <row r="114">
      <c r="A114" s="4"/>
      <c r="B114" s="14" t="s">
        <v>174</v>
      </c>
      <c r="C114" s="21">
        <f>(4633)*(1)*(1)*(1)*(1 + (0))</f>
      </c>
      <c r="D114" s="21" t="s">
        <v>9</v>
      </c>
      <c r="E114" s="21"/>
      <c r="F114" s="21">
        <f>(0)</f>
      </c>
      <c r="G114" s="21">
        <f>(C114 * E114 + C114 * E114 * F114)</f>
      </c>
    </row>
    <row r="115">
      <c r="A115" s="3"/>
      <c r="B115" s="11" t="s">
        <v>175</v>
      </c>
      <c r="C115" s="20"/>
      <c r="D115" s="20"/>
      <c r="E115" s="20"/>
      <c r="F115" s="20"/>
      <c r="G115" s="20"/>
    </row>
    <row r="116">
      <c r="A116" s="4"/>
      <c r="B116" s="12" t="s">
        <v>176</v>
      </c>
      <c r="C116" s="21">
        <f>(543)*(1)*(1)*(1)*(1 + (0))</f>
      </c>
      <c r="D116" s="21" t="s">
        <v>164</v>
      </c>
      <c r="E116" s="21"/>
      <c r="F116" s="21">
        <f>(0)</f>
      </c>
      <c r="G116" s="21">
        <f>(C116 * E116 + C116 * E116 * F116)</f>
      </c>
    </row>
    <row r="117">
      <c r="A117" s="4"/>
      <c r="B117" s="12" t="s">
        <v>177</v>
      </c>
      <c r="C117" s="21">
        <f>(543)*(1)*(1)*(1)*(1 + (0))</f>
      </c>
      <c r="D117" s="21" t="s">
        <v>164</v>
      </c>
      <c r="E117" s="21"/>
      <c r="F117" s="21">
        <f>(0)</f>
      </c>
      <c r="G117" s="21">
        <f>(C117 * E117 + C117 * E117 * F117)</f>
      </c>
    </row>
    <row r="118">
      <c r="A118" s="4"/>
      <c r="B118" s="12" t="s">
        <v>178</v>
      </c>
      <c r="C118" s="21">
        <f>(612)*(1)*(1)*(1)*(1 + (0))</f>
      </c>
      <c r="D118" s="21" t="s">
        <v>164</v>
      </c>
      <c r="E118" s="21"/>
      <c r="F118" s="21">
        <f>(0)</f>
      </c>
      <c r="G118" s="21">
        <f>(C118 * E118 + C118 * E118 * F118)</f>
      </c>
    </row>
    <row r="119">
      <c r="A119" s="3"/>
      <c r="B119" s="11" t="s">
        <v>179</v>
      </c>
      <c r="C119" s="20"/>
      <c r="D119" s="20"/>
      <c r="E119" s="20"/>
      <c r="F119" s="20"/>
      <c r="G119" s="20"/>
    </row>
    <row r="120">
      <c r="A120" s="5"/>
      <c r="B120" s="13" t="s">
        <v>180</v>
      </c>
      <c r="C120" s="22"/>
      <c r="D120" s="22"/>
      <c r="E120" s="22"/>
      <c r="F120" s="22"/>
      <c r="G120" s="22"/>
    </row>
    <row r="121">
      <c r="A121" s="4"/>
      <c r="B121" s="14" t="s">
        <v>181</v>
      </c>
      <c r="C121" s="21">
        <f>(44)*(1)*(1)*(1)*(1 + (0))</f>
      </c>
      <c r="D121" s="21" t="s">
        <v>164</v>
      </c>
      <c r="E121" s="21"/>
      <c r="F121" s="21">
        <f>(0)</f>
      </c>
      <c r="G121" s="21">
        <f>(C121 * E121 + C121 * E121 * F121)</f>
      </c>
    </row>
    <row r="122">
      <c r="A122" s="4"/>
      <c r="B122" s="14" t="s">
        <v>182</v>
      </c>
      <c r="C122" s="21">
        <f>(202)*(1)*(1)*(1)*(1 + (0))</f>
      </c>
      <c r="D122" s="21" t="s">
        <v>164</v>
      </c>
      <c r="E122" s="21"/>
      <c r="F122" s="21">
        <f>(0)</f>
      </c>
      <c r="G122" s="21">
        <f>(C122 * E122 + C122 * E122 * F122)</f>
      </c>
    </row>
    <row r="123">
      <c r="A123" s="4"/>
      <c r="B123" s="14" t="s">
        <v>183</v>
      </c>
      <c r="C123" s="21">
        <f>(818)*(1)*(1)*(1)*(1 + (0))</f>
      </c>
      <c r="D123" s="21" t="s">
        <v>164</v>
      </c>
      <c r="E123" s="21"/>
      <c r="F123" s="21">
        <f>(0)</f>
      </c>
      <c r="G123" s="21">
        <f>(C123 * E123 + C123 * E123 * F123)</f>
      </c>
    </row>
    <row r="124">
      <c r="A124" s="5"/>
      <c r="B124" s="13" t="s">
        <v>184</v>
      </c>
      <c r="C124" s="22"/>
      <c r="D124" s="22"/>
      <c r="E124" s="22"/>
      <c r="F124" s="22"/>
      <c r="G124" s="22"/>
    </row>
    <row r="125">
      <c r="A125" s="4"/>
      <c r="B125" s="14" t="s">
        <v>185</v>
      </c>
      <c r="C125" s="21">
        <f>(12)*(1)*(1)*(1)*(1 + (0))</f>
      </c>
      <c r="D125" s="21" t="s">
        <v>164</v>
      </c>
      <c r="E125" s="21"/>
      <c r="F125" s="21">
        <f>(0)</f>
      </c>
      <c r="G125" s="21">
        <f>(C125 * E125 + C125 * E125 * F125)</f>
      </c>
    </row>
    <row r="126">
      <c r="A126" s="3"/>
      <c r="B126" s="11" t="s">
        <v>186</v>
      </c>
      <c r="C126" s="20"/>
      <c r="D126" s="20"/>
      <c r="E126" s="20"/>
      <c r="F126" s="20"/>
      <c r="G126" s="20"/>
    </row>
    <row r="127">
      <c r="A127" s="4"/>
      <c r="B127" s="12" t="s">
        <v>187</v>
      </c>
      <c r="C127" s="21">
        <f>(558)*(1)*(1)*(1)*(1 + (0))</f>
      </c>
      <c r="D127" s="21" t="s">
        <v>164</v>
      </c>
      <c r="E127" s="21"/>
      <c r="F127" s="21">
        <f>(0)</f>
      </c>
      <c r="G127" s="21">
        <f>(C127 * E127 + C127 * E127 * F127)</f>
      </c>
    </row>
    <row r="128">
      <c r="A128" s="2"/>
      <c r="B128" s="10" t="s">
        <v>188</v>
      </c>
      <c r="C128" s="19"/>
      <c r="D128" s="19"/>
      <c r="E128" s="19"/>
      <c r="F128" s="19"/>
      <c r="G128" s="19"/>
    </row>
    <row r="129">
      <c r="A129" s="3"/>
      <c r="B129" s="11" t="s">
        <v>14</v>
      </c>
      <c r="C129" s="20"/>
      <c r="D129" s="20"/>
      <c r="E129" s="20"/>
      <c r="F129" s="20"/>
      <c r="G129" s="20"/>
    </row>
    <row r="130">
      <c r="A130" s="4" t="s">
        <v>189</v>
      </c>
      <c r="B130" s="12" t="s">
        <v>16</v>
      </c>
      <c r="C130" s="21"/>
      <c r="D130" s="21" t="s">
        <v>17</v>
      </c>
      <c r="E130" s="21"/>
      <c r="F130" s="21">
        <f>(0)</f>
      </c>
      <c r="G130" s="21">
        <f>(C130 * E130 + C130 * E130 * F130)</f>
      </c>
    </row>
    <row r="131">
      <c r="A131" s="4" t="s">
        <v>190</v>
      </c>
      <c r="B131" s="12" t="s">
        <v>19</v>
      </c>
      <c r="C131" s="21"/>
      <c r="D131" s="21" t="s">
        <v>17</v>
      </c>
      <c r="E131" s="21"/>
      <c r="F131" s="21">
        <f>(0)</f>
      </c>
      <c r="G131" s="21">
        <f>(C131 * E131 + C131 * E131 * F131)</f>
      </c>
    </row>
    <row r="132">
      <c r="A132" s="3"/>
      <c r="B132" s="11" t="s">
        <v>98</v>
      </c>
      <c r="C132" s="20"/>
      <c r="D132" s="20"/>
      <c r="E132" s="20"/>
      <c r="F132" s="20"/>
      <c r="G132" s="20"/>
    </row>
    <row r="133">
      <c r="A133" s="4"/>
      <c r="B133" s="12" t="s">
        <v>103</v>
      </c>
      <c r="C133" s="21"/>
      <c r="D133" s="21" t="s">
        <v>17</v>
      </c>
      <c r="E133" s="21"/>
      <c r="F133" s="21">
        <f>(0)</f>
      </c>
      <c r="G133" s="21">
        <f>(C133 * E133 + C133 * E133 * F133)</f>
      </c>
    </row>
    <row r="134">
      <c r="A134" s="3"/>
      <c r="B134" s="11" t="s">
        <v>24</v>
      </c>
      <c r="C134" s="20"/>
      <c r="D134" s="20"/>
      <c r="E134" s="20"/>
      <c r="F134" s="20"/>
      <c r="G134" s="20"/>
    </row>
    <row r="135">
      <c r="A135" s="5"/>
      <c r="B135" s="13" t="s">
        <v>25</v>
      </c>
      <c r="C135" s="22"/>
      <c r="D135" s="22"/>
      <c r="E135" s="22"/>
      <c r="F135" s="22"/>
      <c r="G135" s="22"/>
    </row>
    <row r="136">
      <c r="A136" s="4" t="s">
        <v>191</v>
      </c>
      <c r="B136" s="14" t="s">
        <v>192</v>
      </c>
      <c r="C136" s="21"/>
      <c r="D136" s="21" t="s">
        <v>17</v>
      </c>
      <c r="E136" s="21"/>
      <c r="F136" s="21">
        <f>(0)</f>
      </c>
      <c r="G136" s="21">
        <f>(C136 * E136 + C136 * E136 * F136)</f>
      </c>
    </row>
    <row r="137">
      <c r="A137" s="4" t="s">
        <v>193</v>
      </c>
      <c r="B137" s="14" t="s">
        <v>194</v>
      </c>
      <c r="C137" s="21"/>
      <c r="D137" s="21" t="s">
        <v>17</v>
      </c>
      <c r="E137" s="21"/>
      <c r="F137" s="21">
        <f>(0)</f>
      </c>
      <c r="G137" s="21">
        <f>(C137 * E137 + C137 * E137 * F137)</f>
      </c>
    </row>
    <row r="138">
      <c r="A138" s="4" t="s">
        <v>195</v>
      </c>
      <c r="B138" s="14" t="s">
        <v>196</v>
      </c>
      <c r="C138" s="21"/>
      <c r="D138" s="21" t="s">
        <v>17</v>
      </c>
      <c r="E138" s="21"/>
      <c r="F138" s="21">
        <f>(0)</f>
      </c>
      <c r="G138" s="21">
        <f>(C138 * E138 + C138 * E138 * F138)</f>
      </c>
    </row>
    <row r="139">
      <c r="A139" s="4" t="s">
        <v>197</v>
      </c>
      <c r="B139" s="14" t="s">
        <v>198</v>
      </c>
      <c r="C139" s="21"/>
      <c r="D139" s="21" t="s">
        <v>17</v>
      </c>
      <c r="E139" s="21"/>
      <c r="F139" s="21">
        <f>(0)</f>
      </c>
      <c r="G139" s="21">
        <f>(C139 * E139 + C139 * E139 * F139)</f>
      </c>
    </row>
    <row r="140">
      <c r="A140" s="3"/>
      <c r="B140" s="11" t="s">
        <v>42</v>
      </c>
      <c r="C140" s="20"/>
      <c r="D140" s="20"/>
      <c r="E140" s="20"/>
      <c r="F140" s="20"/>
      <c r="G140" s="20"/>
    </row>
    <row r="141">
      <c r="A141" s="4" t="s">
        <v>199</v>
      </c>
      <c r="B141" s="12" t="s">
        <v>200</v>
      </c>
      <c r="C141" s="21">
        <f>(1)*(1)*(1)*(1)*(1 + (0))</f>
      </c>
      <c r="D141" s="21" t="s">
        <v>45</v>
      </c>
      <c r="E141" s="21"/>
      <c r="F141" s="21">
        <f>(0)</f>
      </c>
      <c r="G141" s="21">
        <f>(C141 * E141 + C141 * E141 * F141)</f>
      </c>
    </row>
    <row r="142">
      <c r="A142" s="4" t="s">
        <v>201</v>
      </c>
      <c r="B142" s="12" t="s">
        <v>202</v>
      </c>
      <c r="C142" s="21">
        <f>(1)*(1)*(1)*(1)*(1 + (0))</f>
      </c>
      <c r="D142" s="21" t="s">
        <v>45</v>
      </c>
      <c r="E142" s="21"/>
      <c r="F142" s="21">
        <f>(0)</f>
      </c>
      <c r="G142" s="21">
        <f>(C142 * E142 + C142 * E142 * F142)</f>
      </c>
    </row>
    <row r="143">
      <c r="A143" s="4" t="s">
        <v>203</v>
      </c>
      <c r="B143" s="12" t="s">
        <v>61</v>
      </c>
      <c r="C143" s="21">
        <f>(1)*(1)*(1)*(1)*(1 + (0))</f>
      </c>
      <c r="D143" s="21" t="s">
        <v>45</v>
      </c>
      <c r="E143" s="21"/>
      <c r="F143" s="21">
        <f>(0)</f>
      </c>
      <c r="G143" s="21">
        <f>(C143 * E143 + C143 * E143 * F143)</f>
      </c>
    </row>
    <row r="144">
      <c r="A144" s="4" t="s">
        <v>204</v>
      </c>
      <c r="B144" s="12" t="s">
        <v>205</v>
      </c>
      <c r="C144" s="21">
        <f>(1)*(1)*(1)*(1)*(1 + (0))</f>
      </c>
      <c r="D144" s="21" t="s">
        <v>45</v>
      </c>
      <c r="E144" s="21"/>
      <c r="F144" s="21">
        <f>(0)</f>
      </c>
      <c r="G144" s="21">
        <f>(C144 * E144 + C144 * E144 * F144)</f>
      </c>
    </row>
    <row r="145">
      <c r="A145" s="4" t="s">
        <v>206</v>
      </c>
      <c r="B145" s="12" t="s">
        <v>207</v>
      </c>
      <c r="C145" s="21">
        <f>(1)*(1)*(1)*(1)*(1 + (0))</f>
      </c>
      <c r="D145" s="21" t="s">
        <v>45</v>
      </c>
      <c r="E145" s="21"/>
      <c r="F145" s="21">
        <f>(0)</f>
      </c>
      <c r="G145" s="21">
        <f>(C145 * E145 + C145 * E145 * F145)</f>
      </c>
    </row>
    <row r="146">
      <c r="A146" s="4" t="s">
        <v>208</v>
      </c>
      <c r="B146" s="12" t="s">
        <v>209</v>
      </c>
      <c r="C146" s="21">
        <f>(1)*(1)*(1)*(1)*(1 + (0))</f>
      </c>
      <c r="D146" s="21" t="s">
        <v>45</v>
      </c>
      <c r="E146" s="21"/>
      <c r="F146" s="21">
        <f>(0)</f>
      </c>
      <c r="G146" s="21">
        <f>(C146 * E146 + C146 * E146 * F146)</f>
      </c>
    </row>
    <row r="147">
      <c r="A147" s="4" t="s">
        <v>210</v>
      </c>
      <c r="B147" s="12" t="s">
        <v>211</v>
      </c>
      <c r="C147" s="21">
        <f>(1)*(1)*(1)*(1)*(1 + (0))</f>
      </c>
      <c r="D147" s="21" t="s">
        <v>45</v>
      </c>
      <c r="E147" s="21"/>
      <c r="F147" s="21">
        <f>(0)</f>
      </c>
      <c r="G147" s="21">
        <f>(C147 * E147 + C147 * E147 * F147)</f>
      </c>
    </row>
    <row r="148">
      <c r="A148" s="4" t="s">
        <v>212</v>
      </c>
      <c r="B148" s="12" t="s">
        <v>213</v>
      </c>
      <c r="C148" s="21">
        <f>(1)*(1)*(1)*(1)*(1 + (0))</f>
      </c>
      <c r="D148" s="21" t="s">
        <v>45</v>
      </c>
      <c r="E148" s="21"/>
      <c r="F148" s="21">
        <f>(0)</f>
      </c>
      <c r="G148" s="21">
        <f>(C148 * E148 + C148 * E148 * F148)</f>
      </c>
    </row>
    <row r="149">
      <c r="A149" s="4" t="s">
        <v>214</v>
      </c>
      <c r="B149" s="12" t="s">
        <v>215</v>
      </c>
      <c r="C149" s="21">
        <f>(1)*(1)*(1)*(1)*(1 + (0))</f>
      </c>
      <c r="D149" s="21" t="s">
        <v>45</v>
      </c>
      <c r="E149" s="21"/>
      <c r="F149" s="21">
        <f>(0)</f>
      </c>
      <c r="G149" s="21">
        <f>(C149 * E149 + C149 * E149 * F149)</f>
      </c>
    </row>
    <row r="150">
      <c r="A150" s="4" t="s">
        <v>216</v>
      </c>
      <c r="B150" s="12" t="s">
        <v>217</v>
      </c>
      <c r="C150" s="21">
        <f>(1)*(1)*(1)*(1)*(1 + (0))</f>
      </c>
      <c r="D150" s="21" t="s">
        <v>45</v>
      </c>
      <c r="E150" s="21"/>
      <c r="F150" s="21">
        <f>(0)</f>
      </c>
      <c r="G150" s="21">
        <f>(C150 * E150 + C150 * E150 * F150)</f>
      </c>
    </row>
    <row r="151">
      <c r="A151" s="4" t="s">
        <v>218</v>
      </c>
      <c r="B151" s="12" t="s">
        <v>219</v>
      </c>
      <c r="C151" s="21">
        <f>(1)*(1)*(1)*(1)*(1 + (0))</f>
      </c>
      <c r="D151" s="21" t="s">
        <v>45</v>
      </c>
      <c r="E151" s="21"/>
      <c r="F151" s="21">
        <f>(0)</f>
      </c>
      <c r="G151" s="21">
        <f>(C151 * E151 + C151 * E151 * F151)</f>
      </c>
    </row>
    <row r="152">
      <c r="A152" s="4"/>
      <c r="B152" s="12" t="s">
        <v>220</v>
      </c>
      <c r="C152" s="21">
        <f>(1)*(1)*(1)*(1)*(1 + (0))</f>
      </c>
      <c r="D152" s="21" t="s">
        <v>45</v>
      </c>
      <c r="E152" s="21"/>
      <c r="F152" s="21">
        <f>(0)</f>
      </c>
      <c r="G152" s="21">
        <f>(C152 * E152 + C152 * E152 * F152)</f>
      </c>
    </row>
    <row r="153">
      <c r="A153" s="3"/>
      <c r="B153" s="11" t="s">
        <v>221</v>
      </c>
      <c r="C153" s="20"/>
      <c r="D153" s="20"/>
      <c r="E153" s="20"/>
      <c r="F153" s="20"/>
      <c r="G153" s="20"/>
    </row>
    <row r="154">
      <c r="A154" s="4"/>
      <c r="B154" s="12" t="s">
        <v>222</v>
      </c>
      <c r="C154" s="21">
        <f>(44)*(1)*(1)*(1)*(1 + (0))</f>
      </c>
      <c r="D154" s="21" t="s">
        <v>170</v>
      </c>
      <c r="E154" s="21"/>
      <c r="F154" s="21">
        <f>(0)</f>
      </c>
      <c r="G154" s="21">
        <f>(C154 * E154 + C154 * E154 * F154)</f>
      </c>
    </row>
    <row r="155">
      <c r="A155" s="4"/>
      <c r="B155" s="12" t="s">
        <v>223</v>
      </c>
      <c r="C155" s="21">
        <f>(63)*(1)*(1)*(1)*(1 + (0))</f>
      </c>
      <c r="D155" s="21" t="s">
        <v>170</v>
      </c>
      <c r="E155" s="21"/>
      <c r="F155" s="21">
        <f>(0)</f>
      </c>
      <c r="G155" s="21">
        <f>(C155 * E155 + C155 * E155 * F155)</f>
      </c>
    </row>
    <row r="156">
      <c r="A156" s="4"/>
      <c r="B156" s="12" t="s">
        <v>224</v>
      </c>
      <c r="C156" s="21">
        <f>(169)*(1)*(1)*(1)*(1 + (0))</f>
      </c>
      <c r="D156" s="21" t="s">
        <v>170</v>
      </c>
      <c r="E156" s="21"/>
      <c r="F156" s="21">
        <f>(0)</f>
      </c>
      <c r="G156" s="21">
        <f>(C156 * E156 + C156 * E156 * F156)</f>
      </c>
    </row>
    <row r="157">
      <c r="A157" s="4"/>
      <c r="B157" s="12" t="s">
        <v>225</v>
      </c>
      <c r="C157" s="21">
        <f>(47)*(1)*(1)*(1)*(1 + (0))</f>
      </c>
      <c r="D157" s="21" t="s">
        <v>170</v>
      </c>
      <c r="E157" s="21"/>
      <c r="F157" s="21">
        <f>(0)</f>
      </c>
      <c r="G157" s="21">
        <f>(C157 * E157 + C157 * E157 * F157)</f>
      </c>
    </row>
    <row r="158">
      <c r="A158" s="2"/>
      <c r="B158" s="10" t="s">
        <v>226</v>
      </c>
      <c r="C158" s="19"/>
      <c r="D158" s="19"/>
      <c r="E158" s="19"/>
      <c r="F158" s="19"/>
      <c r="G158" s="19"/>
    </row>
    <row r="159">
      <c r="A159" s="3"/>
      <c r="B159" s="11" t="s">
        <v>14</v>
      </c>
      <c r="C159" s="20"/>
      <c r="D159" s="20"/>
      <c r="E159" s="20"/>
      <c r="F159" s="20"/>
      <c r="G159" s="20"/>
    </row>
    <row r="160">
      <c r="A160" s="4" t="s">
        <v>227</v>
      </c>
      <c r="B160" s="12" t="s">
        <v>16</v>
      </c>
      <c r="C160" s="21"/>
      <c r="D160" s="21" t="s">
        <v>17</v>
      </c>
      <c r="E160" s="21"/>
      <c r="F160" s="21">
        <f>(0)</f>
      </c>
      <c r="G160" s="21">
        <f>(C160 * E160 + C160 * E160 * F160)</f>
      </c>
    </row>
    <row r="161">
      <c r="A161" s="4" t="s">
        <v>228</v>
      </c>
      <c r="B161" s="12" t="s">
        <v>19</v>
      </c>
      <c r="C161" s="21"/>
      <c r="D161" s="21" t="s">
        <v>17</v>
      </c>
      <c r="E161" s="21"/>
      <c r="F161" s="21">
        <f>(0)</f>
      </c>
      <c r="G161" s="21">
        <f>(C161 * E161 + C161 * E161 * F161)</f>
      </c>
    </row>
    <row r="162">
      <c r="A162" s="3"/>
      <c r="B162" s="11" t="s">
        <v>98</v>
      </c>
      <c r="C162" s="20"/>
      <c r="D162" s="20"/>
      <c r="E162" s="20"/>
      <c r="F162" s="20"/>
      <c r="G162" s="20"/>
    </row>
    <row r="163">
      <c r="A163" s="4"/>
      <c r="B163" s="12" t="s">
        <v>229</v>
      </c>
      <c r="C163" s="21"/>
      <c r="D163" s="21" t="s">
        <v>17</v>
      </c>
      <c r="E163" s="21"/>
      <c r="F163" s="21">
        <f>(0)</f>
      </c>
      <c r="G163" s="21">
        <f>(C163 * E163 + C163 * E163 * F163)</f>
      </c>
    </row>
    <row r="164">
      <c r="A164" s="4"/>
      <c r="B164" s="12" t="s">
        <v>230</v>
      </c>
      <c r="C164" s="21"/>
      <c r="D164" s="21" t="s">
        <v>17</v>
      </c>
      <c r="E164" s="21"/>
      <c r="F164" s="21">
        <f>(0)</f>
      </c>
      <c r="G164" s="21">
        <f>(C164 * E164 + C164 * E164 * F164)</f>
      </c>
    </row>
    <row r="165">
      <c r="A165" s="4"/>
      <c r="B165" s="12" t="s">
        <v>231</v>
      </c>
      <c r="C165" s="21"/>
      <c r="D165" s="21" t="s">
        <v>17</v>
      </c>
      <c r="E165" s="21"/>
      <c r="F165" s="21">
        <f>(0)</f>
      </c>
      <c r="G165" s="21">
        <f>(C165 * E165 + C165 * E165 * F165)</f>
      </c>
    </row>
    <row r="166">
      <c r="A166" s="3"/>
      <c r="B166" s="11" t="s">
        <v>24</v>
      </c>
      <c r="C166" s="20"/>
      <c r="D166" s="20"/>
      <c r="E166" s="20"/>
      <c r="F166" s="20"/>
      <c r="G166" s="20"/>
    </row>
    <row r="167">
      <c r="A167" s="5"/>
      <c r="B167" s="13" t="s">
        <v>25</v>
      </c>
      <c r="C167" s="22"/>
      <c r="D167" s="22"/>
      <c r="E167" s="22"/>
      <c r="F167" s="22"/>
      <c r="G167" s="22"/>
    </row>
    <row r="168">
      <c r="A168" s="4" t="s">
        <v>232</v>
      </c>
      <c r="B168" s="14" t="s">
        <v>233</v>
      </c>
      <c r="C168" s="21"/>
      <c r="D168" s="21" t="s">
        <v>17</v>
      </c>
      <c r="E168" s="21"/>
      <c r="F168" s="21">
        <f>(0)</f>
      </c>
      <c r="G168" s="21">
        <f>(C168 * E168 + C168 * E168 * F168)</f>
      </c>
    </row>
    <row r="169">
      <c r="A169" s="4" t="s">
        <v>234</v>
      </c>
      <c r="B169" s="14" t="s">
        <v>235</v>
      </c>
      <c r="C169" s="21"/>
      <c r="D169" s="21" t="s">
        <v>17</v>
      </c>
      <c r="E169" s="21"/>
      <c r="F169" s="21">
        <f>(0)</f>
      </c>
      <c r="G169" s="21">
        <f>(C169 * E169 + C169 * E169 * F169)</f>
      </c>
    </row>
    <row r="170">
      <c r="A170" s="4" t="s">
        <v>236</v>
      </c>
      <c r="B170" s="14" t="s">
        <v>237</v>
      </c>
      <c r="C170" s="21"/>
      <c r="D170" s="21" t="s">
        <v>17</v>
      </c>
      <c r="E170" s="21"/>
      <c r="F170" s="21">
        <f>(0)</f>
      </c>
      <c r="G170" s="21">
        <f>(C170 * E170 + C170 * E170 * F170)</f>
      </c>
    </row>
    <row r="171">
      <c r="A171" s="4" t="s">
        <v>238</v>
      </c>
      <c r="B171" s="14" t="s">
        <v>239</v>
      </c>
      <c r="C171" s="21"/>
      <c r="D171" s="21" t="s">
        <v>17</v>
      </c>
      <c r="E171" s="21"/>
      <c r="F171" s="21">
        <f>(0)</f>
      </c>
      <c r="G171" s="21">
        <f>(C171 * E171 + C171 * E171 * F171)</f>
      </c>
    </row>
    <row r="172">
      <c r="A172" s="4" t="s">
        <v>240</v>
      </c>
      <c r="B172" s="14" t="s">
        <v>241</v>
      </c>
      <c r="C172" s="21"/>
      <c r="D172" s="21" t="s">
        <v>17</v>
      </c>
      <c r="E172" s="21"/>
      <c r="F172" s="21">
        <f>(0)</f>
      </c>
      <c r="G172" s="21">
        <f>(C172 * E172 + C172 * E172 * F172)</f>
      </c>
    </row>
    <row r="173">
      <c r="A173" s="4" t="s">
        <v>242</v>
      </c>
      <c r="B173" s="14" t="s">
        <v>194</v>
      </c>
      <c r="C173" s="21"/>
      <c r="D173" s="21" t="s">
        <v>17</v>
      </c>
      <c r="E173" s="21"/>
      <c r="F173" s="21">
        <f>(0)</f>
      </c>
      <c r="G173" s="21">
        <f>(C173 * E173 + C173 * E173 * F173)</f>
      </c>
    </row>
    <row r="174">
      <c r="A174" s="3"/>
      <c r="B174" s="11" t="s">
        <v>42</v>
      </c>
      <c r="C174" s="20"/>
      <c r="D174" s="20"/>
      <c r="E174" s="20"/>
      <c r="F174" s="20"/>
      <c r="G174" s="20"/>
    </row>
    <row r="175">
      <c r="A175" s="4" t="s">
        <v>243</v>
      </c>
      <c r="B175" s="12" t="s">
        <v>244</v>
      </c>
      <c r="C175" s="21">
        <f>(1)*(1)*(1)*(1)*(1 + (0))</f>
      </c>
      <c r="D175" s="21" t="s">
        <v>45</v>
      </c>
      <c r="E175" s="21"/>
      <c r="F175" s="21">
        <f>(0)</f>
      </c>
      <c r="G175" s="21">
        <f>(C175 * E175 + C175 * E175 * F175)</f>
      </c>
    </row>
    <row r="176">
      <c r="A176" s="4" t="s">
        <v>245</v>
      </c>
      <c r="B176" s="12" t="s">
        <v>59</v>
      </c>
      <c r="C176" s="21">
        <f>(1)*(1)*(1)*(1)*(1 + (0))</f>
      </c>
      <c r="D176" s="21" t="s">
        <v>45</v>
      </c>
      <c r="E176" s="21"/>
      <c r="F176" s="21">
        <f>(0)</f>
      </c>
      <c r="G176" s="21">
        <f>(C176 * E176 + C176 * E176 * F176)</f>
      </c>
    </row>
    <row r="177">
      <c r="A177" s="4" t="s">
        <v>246</v>
      </c>
      <c r="B177" s="12" t="s">
        <v>61</v>
      </c>
      <c r="C177" s="21">
        <f>(1)*(1)*(1)*(1)*(1 + (0))</f>
      </c>
      <c r="D177" s="21" t="s">
        <v>45</v>
      </c>
      <c r="E177" s="21"/>
      <c r="F177" s="21">
        <f>(0)</f>
      </c>
      <c r="G177" s="21">
        <f>(C177 * E177 + C177 * E177 * F177)</f>
      </c>
    </row>
    <row r="178">
      <c r="A178" s="4" t="s">
        <v>247</v>
      </c>
      <c r="B178" s="12" t="s">
        <v>205</v>
      </c>
      <c r="C178" s="21">
        <f>(1)*(1)*(1)*(1)*(1 + (0))</f>
      </c>
      <c r="D178" s="21" t="s">
        <v>45</v>
      </c>
      <c r="E178" s="21"/>
      <c r="F178" s="21">
        <f>(0)</f>
      </c>
      <c r="G178" s="21">
        <f>(C178 * E178 + C178 * E178 * F178)</f>
      </c>
    </row>
    <row r="179">
      <c r="A179" s="4" t="s">
        <v>248</v>
      </c>
      <c r="B179" s="12" t="s">
        <v>249</v>
      </c>
      <c r="C179" s="21">
        <f>(1)*(1)*(1)*(1)*(1 + (0))</f>
      </c>
      <c r="D179" s="21" t="s">
        <v>45</v>
      </c>
      <c r="E179" s="21"/>
      <c r="F179" s="21">
        <f>(0)</f>
      </c>
      <c r="G179" s="21">
        <f>(C179 * E179 + C179 * E179 * F179)</f>
      </c>
    </row>
    <row r="180">
      <c r="A180" s="4" t="s">
        <v>250</v>
      </c>
      <c r="B180" s="12" t="s">
        <v>251</v>
      </c>
      <c r="C180" s="21">
        <f>(1)*(1)*(1)*(1)*(1 + (0))</f>
      </c>
      <c r="D180" s="21" t="s">
        <v>45</v>
      </c>
      <c r="E180" s="21"/>
      <c r="F180" s="21">
        <f>(0)</f>
      </c>
      <c r="G180" s="21">
        <f>(C180 * E180 + C180 * E180 * F180)</f>
      </c>
    </row>
    <row r="181">
      <c r="A181" s="4" t="s">
        <v>252</v>
      </c>
      <c r="B181" s="12" t="s">
        <v>253</v>
      </c>
      <c r="C181" s="21">
        <f>(1)*(1)*(1)*(1)*(1 + (0))</f>
      </c>
      <c r="D181" s="21" t="s">
        <v>45</v>
      </c>
      <c r="E181" s="21"/>
      <c r="F181" s="21">
        <f>(0)</f>
      </c>
      <c r="G181" s="21">
        <f>(C181 * E181 + C181 * E181 * F181)</f>
      </c>
    </row>
    <row r="182">
      <c r="A182" s="4" t="s">
        <v>254</v>
      </c>
      <c r="B182" s="12" t="s">
        <v>255</v>
      </c>
      <c r="C182" s="21">
        <f>(1)*(1)*(1)*(1)*(1 + (0))</f>
      </c>
      <c r="D182" s="21" t="s">
        <v>45</v>
      </c>
      <c r="E182" s="21"/>
      <c r="F182" s="21">
        <f>(0)</f>
      </c>
      <c r="G182" s="21">
        <f>(C182 * E182 + C182 * E182 * F182)</f>
      </c>
    </row>
    <row r="183">
      <c r="A183" s="4" t="s">
        <v>256</v>
      </c>
      <c r="B183" s="12" t="s">
        <v>257</v>
      </c>
      <c r="C183" s="21">
        <f>(1)*(1)*(1)*(1)*(1 + (0))</f>
      </c>
      <c r="D183" s="21" t="s">
        <v>45</v>
      </c>
      <c r="E183" s="21"/>
      <c r="F183" s="21">
        <f>(0)</f>
      </c>
      <c r="G183" s="21">
        <f>(C183 * E183 + C183 * E183 * F183)</f>
      </c>
    </row>
    <row r="184">
      <c r="A184" s="4" t="s">
        <v>258</v>
      </c>
      <c r="B184" s="12" t="s">
        <v>259</v>
      </c>
      <c r="C184" s="21">
        <f>(1)*(1)*(1)*(1)*(1 + (0))</f>
      </c>
      <c r="D184" s="21" t="s">
        <v>45</v>
      </c>
      <c r="E184" s="21"/>
      <c r="F184" s="21">
        <f>(0)</f>
      </c>
      <c r="G184" s="21">
        <f>(C184 * E184 + C184 * E184 * F184)</f>
      </c>
    </row>
    <row r="185">
      <c r="A185" s="4" t="s">
        <v>260</v>
      </c>
      <c r="B185" s="12" t="s">
        <v>261</v>
      </c>
      <c r="C185" s="21">
        <f>(1)*(1)*(1)*(1)*(1 + (0))</f>
      </c>
      <c r="D185" s="21" t="s">
        <v>45</v>
      </c>
      <c r="E185" s="21"/>
      <c r="F185" s="21">
        <f>(0)</f>
      </c>
      <c r="G185" s="21">
        <f>(C185 * E185 + C185 * E185 * F185)</f>
      </c>
    </row>
    <row r="186">
      <c r="A186" s="3"/>
      <c r="B186" s="11" t="s">
        <v>82</v>
      </c>
      <c r="C186" s="20"/>
      <c r="D186" s="20"/>
      <c r="E186" s="20"/>
      <c r="F186" s="20"/>
      <c r="G186" s="20"/>
    </row>
    <row r="187">
      <c r="A187" s="4"/>
      <c r="B187" s="12" t="s">
        <v>262</v>
      </c>
      <c r="C187" s="21"/>
      <c r="D187" s="21" t="s">
        <v>17</v>
      </c>
      <c r="E187" s="21"/>
      <c r="F187" s="21">
        <f>(0)</f>
      </c>
      <c r="G187" s="21">
        <f>(C187 * E187 + C187 * E187 * F187)</f>
      </c>
    </row>
    <row r="188">
      <c r="A188" s="4"/>
      <c r="B188" s="12" t="s">
        <v>263</v>
      </c>
      <c r="C188" s="21"/>
      <c r="D188" s="21" t="s">
        <v>264</v>
      </c>
      <c r="E188" s="21"/>
      <c r="F188" s="21">
        <f>(0)</f>
      </c>
      <c r="G188" s="21">
        <f>(C188 * E188 + C188 * E188 * F188)</f>
      </c>
    </row>
    <row r="189">
      <c r="A189" s="3"/>
      <c r="B189" s="11" t="s">
        <v>265</v>
      </c>
      <c r="C189" s="20"/>
      <c r="D189" s="20"/>
      <c r="E189" s="20"/>
      <c r="F189" s="20"/>
      <c r="G189" s="20"/>
    </row>
    <row r="190">
      <c r="A190" s="4"/>
      <c r="B190" s="12" t="s">
        <v>266</v>
      </c>
      <c r="C190" s="21">
        <f>(1287)*(1)*(1)*(1)*(1 + (0))</f>
      </c>
      <c r="D190" s="21" t="s">
        <v>164</v>
      </c>
      <c r="E190" s="21"/>
      <c r="F190" s="21">
        <f>(0)</f>
      </c>
      <c r="G190" s="21">
        <f>(C190 * E190 + C190 * E190 * F190)</f>
      </c>
    </row>
    <row r="191">
      <c r="A191" s="4"/>
      <c r="B191" s="12" t="s">
        <v>267</v>
      </c>
      <c r="C191" s="21">
        <f>(246)*(1)*(1)*(1)*(1 + (0))</f>
      </c>
      <c r="D191" s="21" t="s">
        <v>164</v>
      </c>
      <c r="E191" s="21"/>
      <c r="F191" s="21">
        <f>(0)</f>
      </c>
      <c r="G191" s="21">
        <f>(C191 * E191 + C191 * E191 * F191)</f>
      </c>
    </row>
    <row r="192">
      <c r="A192" s="3"/>
      <c r="B192" s="11" t="s">
        <v>268</v>
      </c>
      <c r="C192" s="20"/>
      <c r="D192" s="20"/>
      <c r="E192" s="20"/>
      <c r="F192" s="20"/>
      <c r="G192" s="20"/>
    </row>
    <row r="193">
      <c r="A193" s="5"/>
      <c r="B193" s="13" t="s">
        <v>269</v>
      </c>
      <c r="C193" s="22"/>
      <c r="D193" s="22"/>
      <c r="E193" s="22"/>
      <c r="F193" s="22"/>
      <c r="G193" s="22"/>
    </row>
    <row r="194">
      <c r="A194" s="6"/>
      <c r="B194" s="15" t="s">
        <v>270</v>
      </c>
      <c r="C194" s="23"/>
      <c r="D194" s="23"/>
      <c r="E194" s="23"/>
      <c r="F194" s="23"/>
      <c r="G194" s="23"/>
    </row>
    <row r="195">
      <c r="A195" s="4"/>
      <c r="B195" s="16" t="s">
        <v>271</v>
      </c>
      <c r="C195" s="21">
        <f>(9)*(1)*(1)*(1)*(1 + (0))</f>
      </c>
      <c r="D195" s="21" t="s">
        <v>164</v>
      </c>
      <c r="E195" s="21"/>
      <c r="F195" s="21">
        <f>(0)</f>
      </c>
      <c r="G195" s="21">
        <f>(C195 * E195 + C195 * E195 * F195)</f>
      </c>
    </row>
    <row r="196">
      <c r="A196" s="4"/>
      <c r="B196" s="16" t="s">
        <v>272</v>
      </c>
      <c r="C196" s="21">
        <f>(9)*(1)*(1)*(1)*(1 + (0))</f>
      </c>
      <c r="D196" s="21" t="s">
        <v>164</v>
      </c>
      <c r="E196" s="21"/>
      <c r="F196" s="21">
        <f>(0)</f>
      </c>
      <c r="G196" s="21">
        <f>(C196 * E196 + C196 * E196 * F196)</f>
      </c>
    </row>
    <row r="197">
      <c r="A197" s="4"/>
      <c r="B197" s="16" t="s">
        <v>273</v>
      </c>
      <c r="C197" s="21">
        <f>(26)*(1)*(1)*(1)*(1 + (0))</f>
      </c>
      <c r="D197" s="21" t="s">
        <v>164</v>
      </c>
      <c r="E197" s="21"/>
      <c r="F197" s="21">
        <f>(0)</f>
      </c>
      <c r="G197" s="21">
        <f>(C197 * E197 + C197 * E197 * F197)</f>
      </c>
    </row>
    <row r="198">
      <c r="A198" s="5"/>
      <c r="B198" s="13" t="s">
        <v>274</v>
      </c>
      <c r="C198" s="22"/>
      <c r="D198" s="22"/>
      <c r="E198" s="22"/>
      <c r="F198" s="22"/>
      <c r="G198" s="22"/>
    </row>
    <row r="199">
      <c r="A199" s="6"/>
      <c r="B199" s="15" t="s">
        <v>270</v>
      </c>
      <c r="C199" s="23"/>
      <c r="D199" s="23"/>
      <c r="E199" s="23"/>
      <c r="F199" s="23"/>
      <c r="G199" s="23"/>
    </row>
    <row r="200">
      <c r="A200" s="4"/>
      <c r="B200" s="16" t="s">
        <v>275</v>
      </c>
      <c r="C200" s="21">
        <f>(54)*(1)*(1)*(1)*(1 + (0))</f>
      </c>
      <c r="D200" s="21" t="s">
        <v>164</v>
      </c>
      <c r="E200" s="21"/>
      <c r="F200" s="21">
        <f>(0)</f>
      </c>
      <c r="G200" s="21">
        <f>(C200 * E200 + C200 * E200 * F200)</f>
      </c>
    </row>
    <row r="201">
      <c r="A201" s="4"/>
      <c r="B201" s="16" t="s">
        <v>276</v>
      </c>
      <c r="C201" s="21">
        <f>(51)*(1)*(1)*(1)*(1 + (0))</f>
      </c>
      <c r="D201" s="21" t="s">
        <v>164</v>
      </c>
      <c r="E201" s="21"/>
      <c r="F201" s="21">
        <f>(0)</f>
      </c>
      <c r="G201" s="21">
        <f>(C201 * E201 + C201 * E201 * F201)</f>
      </c>
    </row>
    <row r="202">
      <c r="A202" s="4"/>
      <c r="B202" s="16" t="s">
        <v>277</v>
      </c>
      <c r="C202" s="21">
        <f>(85)*(1)*(1)*(1)*(1 + (0))</f>
      </c>
      <c r="D202" s="21" t="s">
        <v>164</v>
      </c>
      <c r="E202" s="21"/>
      <c r="F202" s="21">
        <f>(0)</f>
      </c>
      <c r="G202" s="21">
        <f>(C202 * E202 + C202 * E202 * F202)</f>
      </c>
    </row>
    <row r="203">
      <c r="A203" s="4"/>
      <c r="B203" s="16" t="s">
        <v>278</v>
      </c>
      <c r="C203" s="21">
        <f>(10)*(1)*(1)*(1)*(1 + (0))</f>
      </c>
      <c r="D203" s="21" t="s">
        <v>164</v>
      </c>
      <c r="E203" s="21"/>
      <c r="F203" s="21">
        <f>(0)</f>
      </c>
      <c r="G203" s="21">
        <f>(C203 * E203 + C203 * E203 * F203)</f>
      </c>
    </row>
    <row r="204">
      <c r="A204" s="4"/>
      <c r="B204" s="16" t="s">
        <v>279</v>
      </c>
      <c r="C204" s="21">
        <f>(4)*(1)*(1)*(1)*(1 + (0))</f>
      </c>
      <c r="D204" s="21" t="s">
        <v>164</v>
      </c>
      <c r="E204" s="21"/>
      <c r="F204" s="21">
        <f>(0)</f>
      </c>
      <c r="G204" s="21">
        <f>(C204 * E204 + C204 * E204 * F204)</f>
      </c>
    </row>
    <row r="205">
      <c r="A205" s="5"/>
      <c r="B205" s="13" t="s">
        <v>280</v>
      </c>
      <c r="C205" s="22"/>
      <c r="D205" s="22"/>
      <c r="E205" s="22"/>
      <c r="F205" s="22"/>
      <c r="G205" s="22"/>
    </row>
    <row r="206">
      <c r="A206" s="6"/>
      <c r="B206" s="15" t="s">
        <v>270</v>
      </c>
      <c r="C206" s="23"/>
      <c r="D206" s="23"/>
      <c r="E206" s="23"/>
      <c r="F206" s="23"/>
      <c r="G206" s="23"/>
    </row>
    <row r="207">
      <c r="A207" s="4"/>
      <c r="B207" s="16" t="s">
        <v>281</v>
      </c>
      <c r="C207" s="21">
        <f>(16)*(1)*(1)*(1)*(1 + (0))</f>
      </c>
      <c r="D207" s="21" t="s">
        <v>164</v>
      </c>
      <c r="E207" s="21"/>
      <c r="F207" s="21">
        <f>(0)</f>
      </c>
      <c r="G207" s="21">
        <f>(C207 * E207 + C207 * E207 * F207)</f>
      </c>
    </row>
    <row r="208">
      <c r="A208" s="4"/>
      <c r="B208" s="16" t="s">
        <v>282</v>
      </c>
      <c r="C208" s="21">
        <f>(8)*(1)*(1)*(1)*(1 + (0))</f>
      </c>
      <c r="D208" s="21" t="s">
        <v>164</v>
      </c>
      <c r="E208" s="21"/>
      <c r="F208" s="21">
        <f>(0)</f>
      </c>
      <c r="G208" s="21">
        <f>(C208 * E208 + C208 * E208 * F208)</f>
      </c>
    </row>
    <row r="209">
      <c r="A209" s="4"/>
      <c r="B209" s="16" t="s">
        <v>283</v>
      </c>
      <c r="C209" s="21">
        <f>(7)*(1)*(1)*(1)*(1 + (0))</f>
      </c>
      <c r="D209" s="21" t="s">
        <v>164</v>
      </c>
      <c r="E209" s="21"/>
      <c r="F209" s="21">
        <f>(0)</f>
      </c>
      <c r="G209" s="21">
        <f>(C209 * E209 + C209 * E209 * F209)</f>
      </c>
    </row>
    <row r="210">
      <c r="A210" s="4"/>
      <c r="B210" s="16" t="s">
        <v>284</v>
      </c>
      <c r="C210" s="21">
        <f>(10)*(1)*(1)*(1)*(1 + (0))</f>
      </c>
      <c r="D210" s="21" t="s">
        <v>164</v>
      </c>
      <c r="E210" s="21"/>
      <c r="F210" s="21">
        <f>(0)</f>
      </c>
      <c r="G210" s="21">
        <f>(C210 * E210 + C210 * E210 * F210)</f>
      </c>
    </row>
    <row r="211">
      <c r="A211" s="4"/>
      <c r="B211" s="16" t="s">
        <v>285</v>
      </c>
      <c r="C211" s="21">
        <f>(5)*(1)*(1)*(1)*(1 + (0))</f>
      </c>
      <c r="D211" s="21" t="s">
        <v>164</v>
      </c>
      <c r="E211" s="21"/>
      <c r="F211" s="21">
        <f>(0)</f>
      </c>
      <c r="G211" s="21">
        <f>(C211 * E211 + C211 * E211 * F211)</f>
      </c>
    </row>
    <row r="212">
      <c r="A212" s="4"/>
      <c r="B212" s="16" t="s">
        <v>286</v>
      </c>
      <c r="C212" s="21">
        <f>(22)*(1)*(1)*(1)*(1 + (0))</f>
      </c>
      <c r="D212" s="21" t="s">
        <v>164</v>
      </c>
      <c r="E212" s="21"/>
      <c r="F212" s="21">
        <f>(0)</f>
      </c>
      <c r="G212" s="21">
        <f>(C212 * E212 + C212 * E212 * F212)</f>
      </c>
    </row>
    <row r="213">
      <c r="A213" s="4"/>
      <c r="B213" s="16" t="s">
        <v>287</v>
      </c>
      <c r="C213" s="21">
        <f>(29)*(1)*(1)*(1)*(1 + (0))</f>
      </c>
      <c r="D213" s="21" t="s">
        <v>164</v>
      </c>
      <c r="E213" s="21"/>
      <c r="F213" s="21">
        <f>(0)</f>
      </c>
      <c r="G213" s="21">
        <f>(C213 * E213 + C213 * E213 * F213)</f>
      </c>
    </row>
    <row r="214">
      <c r="A214" s="4"/>
      <c r="B214" s="16" t="s">
        <v>288</v>
      </c>
      <c r="C214" s="21">
        <f>(37)*(1)*(1)*(1)*(1 + (0))</f>
      </c>
      <c r="D214" s="21" t="s">
        <v>164</v>
      </c>
      <c r="E214" s="21"/>
      <c r="F214" s="21">
        <f>(0)</f>
      </c>
      <c r="G214" s="21">
        <f>(C214 * E214 + C214 * E214 * F214)</f>
      </c>
    </row>
    <row r="215">
      <c r="A215" s="4"/>
      <c r="B215" s="16" t="s">
        <v>289</v>
      </c>
      <c r="C215" s="21">
        <f>(3)*(1)*(1)*(1)*(1 + (0))</f>
      </c>
      <c r="D215" s="21" t="s">
        <v>164</v>
      </c>
      <c r="E215" s="21"/>
      <c r="F215" s="21">
        <f>(0)</f>
      </c>
      <c r="G215" s="21">
        <f>(C215 * E215 + C215 * E215 * F215)</f>
      </c>
    </row>
    <row r="216">
      <c r="A216" s="4"/>
      <c r="B216" s="16" t="s">
        <v>290</v>
      </c>
      <c r="C216" s="21">
        <f>(4)*(1)*(1)*(1)*(1 + (0))</f>
      </c>
      <c r="D216" s="21" t="s">
        <v>164</v>
      </c>
      <c r="E216" s="21"/>
      <c r="F216" s="21">
        <f>(0)</f>
      </c>
      <c r="G216" s="21">
        <f>(C216 * E216 + C216 * E216 * F216)</f>
      </c>
    </row>
    <row r="217">
      <c r="A217" s="4"/>
      <c r="B217" s="16" t="s">
        <v>291</v>
      </c>
      <c r="C217" s="21">
        <f>(4)*(1)*(1)*(1)*(1 + (0))</f>
      </c>
      <c r="D217" s="21" t="s">
        <v>164</v>
      </c>
      <c r="E217" s="21"/>
      <c r="F217" s="21">
        <f>(0)</f>
      </c>
      <c r="G217" s="21">
        <f>(C217 * E217 + C217 * E217 * F217)</f>
      </c>
    </row>
    <row r="218">
      <c r="A218" s="4"/>
      <c r="B218" s="16" t="s">
        <v>292</v>
      </c>
      <c r="C218" s="21">
        <f>(6)*(1)*(1)*(1)*(1 + (0))</f>
      </c>
      <c r="D218" s="21" t="s">
        <v>164</v>
      </c>
      <c r="E218" s="21"/>
      <c r="F218" s="21">
        <f>(0)</f>
      </c>
      <c r="G218" s="21">
        <f>(C218 * E218 + C218 * E218 * F218)</f>
      </c>
    </row>
    <row r="219">
      <c r="A219" s="5"/>
      <c r="B219" s="13" t="s">
        <v>293</v>
      </c>
      <c r="C219" s="22"/>
      <c r="D219" s="22"/>
      <c r="E219" s="22"/>
      <c r="F219" s="22"/>
      <c r="G219" s="22"/>
    </row>
    <row r="220">
      <c r="A220" s="6"/>
      <c r="B220" s="15" t="s">
        <v>270</v>
      </c>
      <c r="C220" s="23"/>
      <c r="D220" s="23"/>
      <c r="E220" s="23"/>
      <c r="F220" s="23"/>
      <c r="G220" s="23"/>
    </row>
    <row r="221">
      <c r="A221" s="4"/>
      <c r="B221" s="16" t="s">
        <v>294</v>
      </c>
      <c r="C221" s="21">
        <f>(4)*(1)*(1)*(1)*(1 + (0))</f>
      </c>
      <c r="D221" s="21" t="s">
        <v>164</v>
      </c>
      <c r="E221" s="21"/>
      <c r="F221" s="21">
        <f>(0)</f>
      </c>
      <c r="G221" s="21">
        <f>(C221 * E221 + C221 * E221 * F221)</f>
      </c>
    </row>
    <row r="222">
      <c r="A222" s="4"/>
      <c r="B222" s="16" t="s">
        <v>295</v>
      </c>
      <c r="C222" s="21">
        <f>(1)*(1)*(1)*(1)*(1 + (0))</f>
      </c>
      <c r="D222" s="21" t="s">
        <v>170</v>
      </c>
      <c r="E222" s="21"/>
      <c r="F222" s="21">
        <f>(0)</f>
      </c>
      <c r="G222" s="21">
        <f>(C222 * E222 + C222 * E222 * F222)</f>
      </c>
    </row>
    <row r="223">
      <c r="A223" s="5"/>
      <c r="B223" s="13" t="s">
        <v>296</v>
      </c>
      <c r="C223" s="22"/>
      <c r="D223" s="22"/>
      <c r="E223" s="22"/>
      <c r="F223" s="22"/>
      <c r="G223" s="22"/>
    </row>
    <row r="224">
      <c r="A224" s="6"/>
      <c r="B224" s="15" t="s">
        <v>297</v>
      </c>
      <c r="C224" s="23"/>
      <c r="D224" s="23"/>
      <c r="E224" s="23"/>
      <c r="F224" s="23"/>
      <c r="G224" s="23"/>
    </row>
    <row r="225">
      <c r="A225" s="4"/>
      <c r="B225" s="16" t="s">
        <v>298</v>
      </c>
      <c r="C225" s="21">
        <f>(32)*(1)*(1)*(1)*(1 + (0))</f>
      </c>
      <c r="D225" s="21" t="s">
        <v>164</v>
      </c>
      <c r="E225" s="21"/>
      <c r="F225" s="21">
        <f>(0)</f>
      </c>
      <c r="G225" s="21">
        <f>(C225 * E225 + C225 * E225 * F225)</f>
      </c>
    </row>
    <row r="226">
      <c r="A226" s="4"/>
      <c r="B226" s="16" t="s">
        <v>299</v>
      </c>
      <c r="C226" s="21">
        <f>(588)*(1)*(1)*(1)*(1 + (0))</f>
      </c>
      <c r="D226" s="21" t="s">
        <v>164</v>
      </c>
      <c r="E226" s="21"/>
      <c r="F226" s="21">
        <f>(0)</f>
      </c>
      <c r="G226" s="21">
        <f>(C226 * E226 + C226 * E226 * F226)</f>
      </c>
    </row>
    <row r="227">
      <c r="A227" s="4"/>
      <c r="B227" s="16" t="s">
        <v>300</v>
      </c>
      <c r="C227" s="21">
        <f>(3)*(1)*(1)*(1)*(1 + (0))</f>
      </c>
      <c r="D227" s="21" t="s">
        <v>164</v>
      </c>
      <c r="E227" s="21"/>
      <c r="F227" s="21">
        <f>(0)</f>
      </c>
      <c r="G227" s="21">
        <f>(C227 * E227 + C227 * E227 * F227)</f>
      </c>
    </row>
    <row r="228">
      <c r="A228" s="4"/>
      <c r="B228" s="16" t="s">
        <v>301</v>
      </c>
      <c r="C228" s="21">
        <f>(88)*(1)*(1)*(1)*(1 + (0))</f>
      </c>
      <c r="D228" s="21" t="s">
        <v>164</v>
      </c>
      <c r="E228" s="21"/>
      <c r="F228" s="21">
        <f>(0)</f>
      </c>
      <c r="G228" s="21">
        <f>(C228 * E228 + C228 * E228 * F228)</f>
      </c>
    </row>
    <row r="229">
      <c r="A229" s="4"/>
      <c r="B229" s="16" t="s">
        <v>302</v>
      </c>
      <c r="C229" s="21">
        <f>(32)*(1)*(1)*(1)*(1 + (0))</f>
      </c>
      <c r="D229" s="21" t="s">
        <v>164</v>
      </c>
      <c r="E229" s="21"/>
      <c r="F229" s="21">
        <f>(0)</f>
      </c>
      <c r="G229" s="21">
        <f>(C229 * E229 + C229 * E229 * F229)</f>
      </c>
    </row>
    <row r="230">
      <c r="A230" s="4"/>
      <c r="B230" s="16" t="s">
        <v>303</v>
      </c>
      <c r="C230" s="21">
        <f>(75)*(1)*(1)*(1)*(1 + (0))</f>
      </c>
      <c r="D230" s="21" t="s">
        <v>164</v>
      </c>
      <c r="E230" s="21"/>
      <c r="F230" s="21">
        <f>(0)</f>
      </c>
      <c r="G230" s="21">
        <f>(C230 * E230 + C230 * E230 * F230)</f>
      </c>
    </row>
    <row r="231">
      <c r="A231" s="4"/>
      <c r="B231" s="16" t="s">
        <v>304</v>
      </c>
      <c r="C231" s="21">
        <f>(7)*(1)*(1)*(1)*(1 + (0))</f>
      </c>
      <c r="D231" s="21" t="s">
        <v>164</v>
      </c>
      <c r="E231" s="21"/>
      <c r="F231" s="21">
        <f>(0)</f>
      </c>
      <c r="G231" s="21">
        <f>(C231 * E231 + C231 * E231 * F231)</f>
      </c>
    </row>
    <row r="232">
      <c r="A232" s="4"/>
      <c r="B232" s="16" t="s">
        <v>305</v>
      </c>
      <c r="C232" s="21">
        <f>(6)*(1)*(1)*(1)*(1 + (0))</f>
      </c>
      <c r="D232" s="21" t="s">
        <v>164</v>
      </c>
      <c r="E232" s="21"/>
      <c r="F232" s="21">
        <f>(0)</f>
      </c>
      <c r="G232" s="21">
        <f>(C232 * E232 + C232 * E232 * F232)</f>
      </c>
    </row>
    <row r="233">
      <c r="A233" s="4"/>
      <c r="B233" s="16" t="s">
        <v>306</v>
      </c>
      <c r="C233" s="21">
        <f>(2)*(1)*(1)*(1)*(1 + (0))</f>
      </c>
      <c r="D233" s="21" t="s">
        <v>164</v>
      </c>
      <c r="E233" s="21"/>
      <c r="F233" s="21">
        <f>(0)</f>
      </c>
      <c r="G233" s="21">
        <f>(C233 * E233 + C233 * E233 * F233)</f>
      </c>
    </row>
    <row r="234">
      <c r="A234" s="4"/>
      <c r="B234" s="16" t="s">
        <v>307</v>
      </c>
      <c r="C234" s="21">
        <f>(27)*(1)*(1)*(1)*(1 + (0))</f>
      </c>
      <c r="D234" s="21" t="s">
        <v>164</v>
      </c>
      <c r="E234" s="21"/>
      <c r="F234" s="21">
        <f>(0)</f>
      </c>
      <c r="G234" s="21">
        <f>(C234 * E234 + C234 * E234 * F234)</f>
      </c>
    </row>
    <row r="235">
      <c r="A235" s="4"/>
      <c r="B235" s="16" t="s">
        <v>308</v>
      </c>
      <c r="C235" s="21">
        <f>(2)*(1)*(1)*(1)*(1 + (0))</f>
      </c>
      <c r="D235" s="21" t="s">
        <v>164</v>
      </c>
      <c r="E235" s="21"/>
      <c r="F235" s="21">
        <f>(0)</f>
      </c>
      <c r="G235" s="21">
        <f>(C235 * E235 + C235 * E235 * F235)</f>
      </c>
    </row>
    <row r="236">
      <c r="A236" s="4"/>
      <c r="B236" s="16" t="s">
        <v>309</v>
      </c>
      <c r="C236" s="21">
        <f>(2)*(1)*(1)*(1)*(1 + (0))</f>
      </c>
      <c r="D236" s="21" t="s">
        <v>164</v>
      </c>
      <c r="E236" s="21"/>
      <c r="F236" s="21">
        <f>(0)</f>
      </c>
      <c r="G236" s="21">
        <f>(C236 * E236 + C236 * E236 * F236)</f>
      </c>
    </row>
    <row r="237">
      <c r="A237" s="4"/>
      <c r="B237" s="16" t="s">
        <v>310</v>
      </c>
      <c r="C237" s="21">
        <f>(11)*(1)*(1)*(1)*(1 + (0))</f>
      </c>
      <c r="D237" s="21" t="s">
        <v>164</v>
      </c>
      <c r="E237" s="21"/>
      <c r="F237" s="21">
        <f>(0)</f>
      </c>
      <c r="G237" s="21">
        <f>(C237 * E237 + C237 * E237 * F237)</f>
      </c>
    </row>
    <row r="238">
      <c r="A238" s="4"/>
      <c r="B238" s="16" t="s">
        <v>311</v>
      </c>
      <c r="C238" s="21">
        <f>(277)*(1)*(1)*(1)*(1 + (0))</f>
      </c>
      <c r="D238" s="21" t="s">
        <v>9</v>
      </c>
      <c r="E238" s="21"/>
      <c r="F238" s="21">
        <f>(0)</f>
      </c>
      <c r="G238" s="21">
        <f>(C238 * E238 + C238 * E238 * F238)</f>
      </c>
    </row>
    <row r="239">
      <c r="A239" s="4"/>
      <c r="B239" s="16" t="s">
        <v>312</v>
      </c>
      <c r="C239" s="21">
        <f>(242)*(1)*(1)*(1)*(1 + (0))</f>
      </c>
      <c r="D239" s="21" t="s">
        <v>167</v>
      </c>
      <c r="E239" s="21"/>
      <c r="F239" s="21">
        <f>(0)</f>
      </c>
      <c r="G239" s="21">
        <f>(C239 * E239 + C239 * E239 * F239)</f>
      </c>
    </row>
    <row r="240">
      <c r="A240" s="5"/>
      <c r="B240" s="13" t="s">
        <v>313</v>
      </c>
      <c r="C240" s="22"/>
      <c r="D240" s="22"/>
      <c r="E240" s="22"/>
      <c r="F240" s="22"/>
      <c r="G240" s="22"/>
    </row>
    <row r="241">
      <c r="A241" s="6"/>
      <c r="B241" s="15" t="s">
        <v>297</v>
      </c>
      <c r="C241" s="23"/>
      <c r="D241" s="23"/>
      <c r="E241" s="23"/>
      <c r="F241" s="23"/>
      <c r="G241" s="23"/>
    </row>
    <row r="242">
      <c r="A242" s="4"/>
      <c r="B242" s="16" t="s">
        <v>314</v>
      </c>
      <c r="C242" s="21">
        <f>(3)*(1)*(1)*(1)*(1 + (0))</f>
      </c>
      <c r="D242" s="21" t="s">
        <v>164</v>
      </c>
      <c r="E242" s="21"/>
      <c r="F242" s="21">
        <f>(0)</f>
      </c>
      <c r="G242" s="21">
        <f>(C242 * E242 + C242 * E242 * F242)</f>
      </c>
    </row>
    <row r="243">
      <c r="A243" s="4"/>
      <c r="B243" s="16" t="s">
        <v>315</v>
      </c>
      <c r="C243" s="21">
        <f>(12)*(1)*(1)*(1)*(1 + (0))</f>
      </c>
      <c r="D243" s="21" t="s">
        <v>164</v>
      </c>
      <c r="E243" s="21"/>
      <c r="F243" s="21">
        <f>(0)</f>
      </c>
      <c r="G243" s="21">
        <f>(C243 * E243 + C243 * E243 * F243)</f>
      </c>
    </row>
    <row r="244">
      <c r="A244" s="5"/>
      <c r="B244" s="13" t="s">
        <v>316</v>
      </c>
      <c r="C244" s="22"/>
      <c r="D244" s="22"/>
      <c r="E244" s="22"/>
      <c r="F244" s="22"/>
      <c r="G244" s="22"/>
    </row>
    <row r="245">
      <c r="A245" s="6"/>
      <c r="B245" s="15" t="s">
        <v>297</v>
      </c>
      <c r="C245" s="23"/>
      <c r="D245" s="23"/>
      <c r="E245" s="23"/>
      <c r="F245" s="23"/>
      <c r="G245" s="23"/>
    </row>
    <row r="246">
      <c r="A246" s="4"/>
      <c r="B246" s="16" t="s">
        <v>317</v>
      </c>
      <c r="C246" s="21">
        <f>(4)*(1)*(1)*(1)*(1 + (0))</f>
      </c>
      <c r="D246" s="21" t="s">
        <v>164</v>
      </c>
      <c r="E246" s="21"/>
      <c r="F246" s="21">
        <f>(0)</f>
      </c>
      <c r="G246" s="21">
        <f>(C246 * E246 + C246 * E246 * F246)</f>
      </c>
    </row>
    <row r="247">
      <c r="A247" s="6"/>
      <c r="B247" s="15" t="s">
        <v>318</v>
      </c>
      <c r="C247" s="23"/>
      <c r="D247" s="23"/>
      <c r="E247" s="23"/>
      <c r="F247" s="23"/>
      <c r="G247" s="23"/>
    </row>
    <row r="248">
      <c r="A248" s="4"/>
      <c r="B248" s="16" t="s">
        <v>319</v>
      </c>
      <c r="C248" s="21">
        <f>(54)*(1)*(1)*(1)*(1 + (0))</f>
      </c>
      <c r="D248" s="21" t="s">
        <v>164</v>
      </c>
      <c r="E248" s="21"/>
      <c r="F248" s="21">
        <f>(0)</f>
      </c>
      <c r="G248" s="21">
        <f>(C248 * E248 + C248 * E248 * F248)</f>
      </c>
    </row>
    <row r="249">
      <c r="A249" s="4"/>
      <c r="B249" s="16" t="s">
        <v>320</v>
      </c>
      <c r="C249" s="21">
        <f>(134)*(1)*(1)*(1)*(1 + (0))</f>
      </c>
      <c r="D249" s="21" t="s">
        <v>164</v>
      </c>
      <c r="E249" s="21"/>
      <c r="F249" s="21">
        <f>(0)</f>
      </c>
      <c r="G249" s="21">
        <f>(C249 * E249 + C249 * E249 * F249)</f>
      </c>
    </row>
    <row r="250">
      <c r="A250" s="4"/>
      <c r="B250" s="16" t="s">
        <v>321</v>
      </c>
      <c r="C250" s="21">
        <f>(2)*(1)*(1)*(1)*(1 + (0))</f>
      </c>
      <c r="D250" s="21" t="s">
        <v>164</v>
      </c>
      <c r="E250" s="21"/>
      <c r="F250" s="21">
        <f>(0)</f>
      </c>
      <c r="G250" s="21">
        <f>(C250 * E250 + C250 * E250 * F250)</f>
      </c>
    </row>
    <row r="251">
      <c r="A251" s="4"/>
      <c r="B251" s="16" t="s">
        <v>322</v>
      </c>
      <c r="C251" s="21">
        <f>(2)*(1)*(1)*(1)*(1 + (0))</f>
      </c>
      <c r="D251" s="21" t="s">
        <v>164</v>
      </c>
      <c r="E251" s="21"/>
      <c r="F251" s="21">
        <f>(0)</f>
      </c>
      <c r="G251" s="21">
        <f>(C251 * E251 + C251 * E251 * F251)</f>
      </c>
    </row>
    <row r="252">
      <c r="A252" s="4"/>
      <c r="B252" s="16" t="s">
        <v>323</v>
      </c>
      <c r="C252" s="21">
        <f>(6)*(1)*(1)*(1)*(1 + (0))</f>
      </c>
      <c r="D252" s="21" t="s">
        <v>164</v>
      </c>
      <c r="E252" s="21"/>
      <c r="F252" s="21">
        <f>(0)</f>
      </c>
      <c r="G252" s="21">
        <f>(C252 * E252 + C252 * E252 * F252)</f>
      </c>
    </row>
    <row r="253">
      <c r="A253" s="4"/>
      <c r="B253" s="16" t="s">
        <v>311</v>
      </c>
      <c r="C253" s="21">
        <f>(42)*(1)*(1)*(1)*(1 + (0))</f>
      </c>
      <c r="D253" s="21" t="s">
        <v>9</v>
      </c>
      <c r="E253" s="21"/>
      <c r="F253" s="21">
        <f>(0)</f>
      </c>
      <c r="G253" s="21">
        <f>(C253 * E253 + C253 * E253 * F253)</f>
      </c>
    </row>
    <row r="254">
      <c r="A254" s="4"/>
      <c r="B254" s="16" t="s">
        <v>312</v>
      </c>
      <c r="C254" s="21">
        <f>(53)*(1)*(1)*(1)*(1 + (0))</f>
      </c>
      <c r="D254" s="21" t="s">
        <v>167</v>
      </c>
      <c r="E254" s="21"/>
      <c r="F254" s="21">
        <f>(0)</f>
      </c>
      <c r="G254" s="21">
        <f>(C254 * E254 + C254 * E254 * F254)</f>
      </c>
    </row>
    <row r="255">
      <c r="A255" s="5"/>
      <c r="B255" s="13" t="s">
        <v>324</v>
      </c>
      <c r="C255" s="22"/>
      <c r="D255" s="22"/>
      <c r="E255" s="22"/>
      <c r="F255" s="22"/>
      <c r="G255" s="22"/>
    </row>
    <row r="256">
      <c r="A256" s="6"/>
      <c r="B256" s="15" t="s">
        <v>325</v>
      </c>
      <c r="C256" s="23"/>
      <c r="D256" s="23"/>
      <c r="E256" s="23"/>
      <c r="F256" s="23"/>
      <c r="G256" s="23"/>
    </row>
    <row r="257">
      <c r="A257" s="4"/>
      <c r="B257" s="16" t="s">
        <v>326</v>
      </c>
      <c r="C257" s="21">
        <f>(1)*(1)*(1)*(1)*(1 + (0))</f>
      </c>
      <c r="D257" s="21" t="s">
        <v>164</v>
      </c>
      <c r="E257" s="21"/>
      <c r="F257" s="21">
        <f>(0)</f>
      </c>
      <c r="G257" s="21">
        <f>(C257 * E257 + C257 * E257 * F257)</f>
      </c>
    </row>
    <row r="258">
      <c r="A258" s="5"/>
      <c r="B258" s="13" t="s">
        <v>327</v>
      </c>
      <c r="C258" s="22"/>
      <c r="D258" s="22"/>
      <c r="E258" s="22"/>
      <c r="F258" s="22"/>
      <c r="G258" s="22"/>
    </row>
    <row r="259">
      <c r="A259" s="6"/>
      <c r="B259" s="15" t="s">
        <v>297</v>
      </c>
      <c r="C259" s="23"/>
      <c r="D259" s="23"/>
      <c r="E259" s="23"/>
      <c r="F259" s="23"/>
      <c r="G259" s="23"/>
    </row>
    <row r="260">
      <c r="A260" s="4"/>
      <c r="B260" s="16" t="s">
        <v>328</v>
      </c>
      <c r="C260" s="21">
        <f>(3)*(1)*(1)*(1)*(1 + (0))</f>
      </c>
      <c r="D260" s="21" t="s">
        <v>164</v>
      </c>
      <c r="E260" s="21"/>
      <c r="F260" s="21">
        <f>(0)</f>
      </c>
      <c r="G260" s="21">
        <f>(C260 * E260 + C260 * E260 * F260)</f>
      </c>
    </row>
    <row r="261">
      <c r="A261" s="4"/>
      <c r="B261" s="16" t="s">
        <v>329</v>
      </c>
      <c r="C261" s="21">
        <f>(2)*(1)*(1)*(1)*(1 + (0))</f>
      </c>
      <c r="D261" s="21" t="s">
        <v>164</v>
      </c>
      <c r="E261" s="21"/>
      <c r="F261" s="21">
        <f>(0)</f>
      </c>
      <c r="G261" s="21">
        <f>(C261 * E261 + C261 * E261 * F261)</f>
      </c>
    </row>
    <row r="262">
      <c r="A262" s="4"/>
      <c r="B262" s="16" t="s">
        <v>330</v>
      </c>
      <c r="C262" s="21">
        <f>(4)*(1)*(1)*(1)*(1 + (0))</f>
      </c>
      <c r="D262" s="21" t="s">
        <v>164</v>
      </c>
      <c r="E262" s="21"/>
      <c r="F262" s="21">
        <f>(0)</f>
      </c>
      <c r="G262" s="21">
        <f>(C262 * E262 + C262 * E262 * F262)</f>
      </c>
    </row>
    <row r="263">
      <c r="A263" s="5"/>
      <c r="B263" s="13" t="s">
        <v>331</v>
      </c>
      <c r="C263" s="22"/>
      <c r="D263" s="22"/>
      <c r="E263" s="22"/>
      <c r="F263" s="22"/>
      <c r="G263" s="22"/>
    </row>
    <row r="264">
      <c r="A264" s="6"/>
      <c r="B264" s="15" t="s">
        <v>318</v>
      </c>
      <c r="C264" s="23"/>
      <c r="D264" s="23"/>
      <c r="E264" s="23"/>
      <c r="F264" s="23"/>
      <c r="G264" s="23"/>
    </row>
    <row r="265">
      <c r="A265" s="4"/>
      <c r="B265" s="16" t="s">
        <v>332</v>
      </c>
      <c r="C265" s="21">
        <f>(1)*(1)*(1)*(1)*(1 + (0))</f>
      </c>
      <c r="D265" s="21" t="s">
        <v>164</v>
      </c>
      <c r="E265" s="21"/>
      <c r="F265" s="21">
        <f>(0)</f>
      </c>
      <c r="G265" s="21">
        <f>(C265 * E265 + C265 * E265 * F265)</f>
      </c>
    </row>
    <row r="266">
      <c r="A266" s="4"/>
      <c r="B266" s="16" t="s">
        <v>333</v>
      </c>
      <c r="C266" s="21">
        <f>(2)*(1)*(1)*(1)*(1 + (0))</f>
      </c>
      <c r="D266" s="21" t="s">
        <v>164</v>
      </c>
      <c r="E266" s="21"/>
      <c r="F266" s="21">
        <f>(0)</f>
      </c>
      <c r="G266" s="21">
        <f>(C266 * E266 + C266 * E266 * F266)</f>
      </c>
    </row>
    <row r="267">
      <c r="A267" s="5"/>
      <c r="B267" s="13" t="s">
        <v>334</v>
      </c>
      <c r="C267" s="22"/>
      <c r="D267" s="22"/>
      <c r="E267" s="22"/>
      <c r="F267" s="22"/>
      <c r="G267" s="22"/>
    </row>
    <row r="268">
      <c r="A268" s="4"/>
      <c r="B268" s="14" t="s">
        <v>335</v>
      </c>
      <c r="C268" s="21">
        <f>(6)*(1)*(1)*(1)*(1 + (0))</f>
      </c>
      <c r="D268" s="21" t="s">
        <v>164</v>
      </c>
      <c r="E268" s="21"/>
      <c r="F268" s="21">
        <f>(0)</f>
      </c>
      <c r="G268" s="21">
        <f>(C268 * E268 + C268 * E268 * F268)</f>
      </c>
    </row>
    <row r="269">
      <c r="A269" s="4"/>
      <c r="B269" s="14" t="s">
        <v>336</v>
      </c>
      <c r="C269" s="21">
        <f>(4)*(1)*(1)*(1)*(1 + (0))</f>
      </c>
      <c r="D269" s="21" t="s">
        <v>164</v>
      </c>
      <c r="E269" s="21"/>
      <c r="F269" s="21">
        <f>(0)</f>
      </c>
      <c r="G269" s="21">
        <f>(C269 * E269 + C269 * E269 * F269)</f>
      </c>
    </row>
    <row r="270">
      <c r="A270" s="4"/>
      <c r="B270" s="14" t="s">
        <v>337</v>
      </c>
      <c r="C270" s="21">
        <f>(3)*(1)*(1)*(1)*(1 + (0))</f>
      </c>
      <c r="D270" s="21" t="s">
        <v>164</v>
      </c>
      <c r="E270" s="21"/>
      <c r="F270" s="21">
        <f>(0)</f>
      </c>
      <c r="G270" s="21">
        <f>(C270 * E270 + C270 * E270 * F270)</f>
      </c>
    </row>
    <row r="271">
      <c r="A271" s="4"/>
      <c r="B271" s="14" t="s">
        <v>338</v>
      </c>
      <c r="C271" s="21">
        <f>(6)*(1)*(1)*(1)*(1 + (0))</f>
      </c>
      <c r="D271" s="21" t="s">
        <v>164</v>
      </c>
      <c r="E271" s="21"/>
      <c r="F271" s="21">
        <f>(0)</f>
      </c>
      <c r="G271" s="21">
        <f>(C271 * E271 + C271 * E271 * F271)</f>
      </c>
    </row>
    <row r="272">
      <c r="A272" s="4"/>
      <c r="B272" s="14" t="s">
        <v>339</v>
      </c>
      <c r="C272" s="21">
        <f>(3)*(1)*(1)*(1)*(1 + (0))</f>
      </c>
      <c r="D272" s="21" t="s">
        <v>164</v>
      </c>
      <c r="E272" s="21"/>
      <c r="F272" s="21">
        <f>(0)</f>
      </c>
      <c r="G272" s="21">
        <f>(C272 * E272 + C272 * E272 * F272)</f>
      </c>
    </row>
    <row r="273">
      <c r="A273" s="4"/>
      <c r="B273" s="14" t="s">
        <v>340</v>
      </c>
      <c r="C273" s="21">
        <f>(3)*(1)*(1)*(1)*(1 + (0))</f>
      </c>
      <c r="D273" s="21" t="s">
        <v>164</v>
      </c>
      <c r="E273" s="21"/>
      <c r="F273" s="21">
        <f>(0)</f>
      </c>
      <c r="G273" s="21">
        <f>(C273 * E273 + C273 * E273 * F273)</f>
      </c>
    </row>
    <row r="274">
      <c r="A274" s="3"/>
      <c r="B274" s="11" t="s">
        <v>341</v>
      </c>
      <c r="C274" s="20"/>
      <c r="D274" s="20"/>
      <c r="E274" s="20"/>
      <c r="F274" s="20"/>
      <c r="G274" s="20"/>
    </row>
    <row r="275">
      <c r="A275" s="5"/>
      <c r="B275" s="13" t="s">
        <v>342</v>
      </c>
      <c r="C275" s="22"/>
      <c r="D275" s="22"/>
      <c r="E275" s="22"/>
      <c r="F275" s="22"/>
      <c r="G275" s="22"/>
    </row>
    <row r="276">
      <c r="A276" s="4"/>
      <c r="B276" s="14" t="s">
        <v>343</v>
      </c>
      <c r="C276" s="21">
        <f>(4633)*(1)*(1)*(1)*(1 + (0))</f>
      </c>
      <c r="D276" s="21" t="s">
        <v>9</v>
      </c>
      <c r="E276" s="21"/>
      <c r="F276" s="21">
        <f>(0)</f>
      </c>
      <c r="G276" s="21">
        <f>(C276 * E276 + C276 * E276 * F276)</f>
      </c>
    </row>
    <row r="277">
      <c r="A277" s="4"/>
      <c r="B277" s="14" t="s">
        <v>344</v>
      </c>
      <c r="C277" s="21">
        <f>(821)*(1)*(1)*(1)*(1 + (0))</f>
      </c>
      <c r="D277" s="21" t="s">
        <v>9</v>
      </c>
      <c r="E277" s="21"/>
      <c r="F277" s="21">
        <f>(0)</f>
      </c>
      <c r="G277" s="21">
        <f>(C277 * E277 + C277 * E277 * F277)</f>
      </c>
    </row>
    <row r="278">
      <c r="A278" s="4"/>
      <c r="B278" s="14" t="s">
        <v>345</v>
      </c>
      <c r="C278" s="21">
        <f>(92)*(1)*(1)*(1)*(1 + (0))</f>
      </c>
      <c r="D278" s="21" t="s">
        <v>9</v>
      </c>
      <c r="E278" s="21"/>
      <c r="F278" s="21">
        <f>(0)</f>
      </c>
      <c r="G278" s="21">
        <f>(C278 * E278 + C278 * E278 * F278)</f>
      </c>
    </row>
    <row r="279">
      <c r="A279" s="5"/>
      <c r="B279" s="13" t="s">
        <v>346</v>
      </c>
      <c r="C279" s="22"/>
      <c r="D279" s="22"/>
      <c r="E279" s="22"/>
      <c r="F279" s="22"/>
      <c r="G279" s="22"/>
    </row>
    <row r="280">
      <c r="A280" s="4"/>
      <c r="B280" s="14" t="s">
        <v>347</v>
      </c>
      <c r="C280" s="21">
        <f>(3349)*(1)*(1)*(1)*(1 + (0))</f>
      </c>
      <c r="D280" s="21" t="s">
        <v>9</v>
      </c>
      <c r="E280" s="21"/>
      <c r="F280" s="21">
        <f>(0)</f>
      </c>
      <c r="G280" s="21">
        <f>(C280 * E280 + C280 * E280 * F280)</f>
      </c>
    </row>
    <row r="281">
      <c r="A281" s="4"/>
      <c r="B281" s="14" t="s">
        <v>348</v>
      </c>
      <c r="C281" s="21">
        <f>(271)*(1)*(1)*(1)*(1 + (0))</f>
      </c>
      <c r="D281" s="21" t="s">
        <v>9</v>
      </c>
      <c r="E281" s="21"/>
      <c r="F281" s="21">
        <f>(0)</f>
      </c>
      <c r="G281" s="21">
        <f>(C281 * E281 + C281 * E281 * F281)</f>
      </c>
    </row>
    <row r="282">
      <c r="A282" s="4"/>
      <c r="B282" s="14" t="s">
        <v>349</v>
      </c>
      <c r="C282" s="21">
        <f>(1707)*(1)*(1)*(1)*(1 + (0))</f>
      </c>
      <c r="D282" s="21" t="s">
        <v>9</v>
      </c>
      <c r="E282" s="21"/>
      <c r="F282" s="21">
        <f>(0)</f>
      </c>
      <c r="G282" s="21">
        <f>(C282 * E282 + C282 * E282 * F282)</f>
      </c>
    </row>
    <row r="283">
      <c r="A283" s="4"/>
      <c r="B283" s="14" t="s">
        <v>350</v>
      </c>
      <c r="C283" s="21">
        <f>(128)*(1)*(1)*(1)*(1 + (0))</f>
      </c>
      <c r="D283" s="21" t="s">
        <v>9</v>
      </c>
      <c r="E283" s="21"/>
      <c r="F283" s="21">
        <f>(0)</f>
      </c>
      <c r="G283" s="21">
        <f>(C283 * E283 + C283 * E283 * F283)</f>
      </c>
    </row>
    <row r="284">
      <c r="A284" s="6"/>
      <c r="B284" s="15" t="s">
        <v>351</v>
      </c>
      <c r="C284" s="23"/>
      <c r="D284" s="23"/>
      <c r="E284" s="23"/>
      <c r="F284" s="23"/>
      <c r="G284" s="23"/>
    </row>
    <row r="285">
      <c r="A285" s="4"/>
      <c r="B285" s="16" t="s">
        <v>352</v>
      </c>
      <c r="C285" s="21">
        <f>(18)*(1)*(1)*(1)*(1 + (0))</f>
      </c>
      <c r="D285" s="21" t="s">
        <v>167</v>
      </c>
      <c r="E285" s="21"/>
      <c r="F285" s="21">
        <f>(0)</f>
      </c>
      <c r="G285" s="21">
        <f>(C285 * E285 + C285 * E285 * F285)</f>
      </c>
    </row>
    <row r="286">
      <c r="A286" s="4"/>
      <c r="B286" s="16" t="s">
        <v>353</v>
      </c>
      <c r="C286" s="21">
        <f>(13)*(1)*(1)*(1)*(1 + (0))</f>
      </c>
      <c r="D286" s="21" t="s">
        <v>9</v>
      </c>
      <c r="E286" s="21"/>
      <c r="F286" s="21">
        <f>(0)</f>
      </c>
      <c r="G286" s="21">
        <f>(C286 * E286 + C286 * E286 * F286)</f>
      </c>
    </row>
    <row r="287">
      <c r="A287" s="5"/>
      <c r="B287" s="13" t="s">
        <v>354</v>
      </c>
      <c r="C287" s="22"/>
      <c r="D287" s="22"/>
      <c r="E287" s="22"/>
      <c r="F287" s="22"/>
      <c r="G287" s="22"/>
    </row>
    <row r="288">
      <c r="A288" s="4"/>
      <c r="B288" s="14" t="s">
        <v>355</v>
      </c>
      <c r="C288" s="21">
        <f>(11)*(1)*(1)*(1)*(1 + (0))</f>
      </c>
      <c r="D288" s="21" t="s">
        <v>167</v>
      </c>
      <c r="E288" s="21"/>
      <c r="F288" s="21">
        <f>(0)</f>
      </c>
      <c r="G288" s="21">
        <f>(C288 * E288 + C288 * E288 * F288)</f>
      </c>
    </row>
    <row r="289">
      <c r="A289" s="4"/>
      <c r="B289" s="14" t="s">
        <v>356</v>
      </c>
      <c r="C289" s="21">
        <f>(11)*(1)*(1)*(1)*(1 + (0))</f>
      </c>
      <c r="D289" s="21" t="s">
        <v>167</v>
      </c>
      <c r="E289" s="21"/>
      <c r="F289" s="21">
        <f>(0)</f>
      </c>
      <c r="G289" s="21">
        <f>(C289 * E289 + C289 * E289 * F289)</f>
      </c>
    </row>
    <row r="290">
      <c r="A290" s="4"/>
      <c r="B290" s="14" t="s">
        <v>357</v>
      </c>
      <c r="C290" s="21">
        <f>(1)*(1)*(1)*(1)*(1 + (0))</f>
      </c>
      <c r="D290" s="21" t="s">
        <v>170</v>
      </c>
      <c r="E290" s="21"/>
      <c r="F290" s="21">
        <f>(0)</f>
      </c>
      <c r="G290" s="21">
        <f>(C290 * E290 + C290 * E290 * F290)</f>
      </c>
    </row>
    <row r="291">
      <c r="A291" s="4"/>
      <c r="B291" s="14" t="s">
        <v>358</v>
      </c>
      <c r="C291" s="21">
        <f>(40)*(1)*(1)*(1)*(1 + (0))</f>
      </c>
      <c r="D291" s="21" t="s">
        <v>170</v>
      </c>
      <c r="E291" s="21"/>
      <c r="F291" s="21">
        <f>(0)</f>
      </c>
      <c r="G291" s="21">
        <f>(C291 * E291 + C291 * E291 * F291)</f>
      </c>
    </row>
    <row r="292">
      <c r="A292" s="3"/>
      <c r="B292" s="11" t="s">
        <v>359</v>
      </c>
      <c r="C292" s="20"/>
      <c r="D292" s="20"/>
      <c r="E292" s="20"/>
      <c r="F292" s="20"/>
      <c r="G292" s="20"/>
    </row>
    <row r="293">
      <c r="A293" s="4"/>
      <c r="B293" s="12" t="s">
        <v>360</v>
      </c>
      <c r="C293" s="21">
        <f>(892)*(1)*(1)*(1)*(1 + (0))</f>
      </c>
      <c r="D293" s="21" t="s">
        <v>167</v>
      </c>
      <c r="E293" s="21"/>
      <c r="F293" s="21">
        <f>(0)</f>
      </c>
      <c r="G293" s="21">
        <f>(C293 * E293 + C293 * E293 * F293)</f>
      </c>
    </row>
    <row r="294">
      <c r="A294" s="4"/>
      <c r="B294" s="12" t="s">
        <v>361</v>
      </c>
      <c r="C294" s="21">
        <f>(776)*(1)*(1)*(1)*(1 + (0))</f>
      </c>
      <c r="D294" s="21" t="s">
        <v>167</v>
      </c>
      <c r="E294" s="21"/>
      <c r="F294" s="21">
        <f>(0)</f>
      </c>
      <c r="G294" s="21">
        <f>(C294 * E294 + C294 * E294 * F294)</f>
      </c>
    </row>
    <row r="295">
      <c r="A295" s="4"/>
      <c r="B295" s="12" t="s">
        <v>362</v>
      </c>
      <c r="C295" s="21">
        <f>(161)*(1)*(1)*(1)*(1 + (0))</f>
      </c>
      <c r="D295" s="21" t="s">
        <v>167</v>
      </c>
      <c r="E295" s="21"/>
      <c r="F295" s="21">
        <f>(0)</f>
      </c>
      <c r="G295" s="21">
        <f>(C295 * E295 + C295 * E295 * F295)</f>
      </c>
    </row>
    <row r="296">
      <c r="A296" s="4"/>
      <c r="B296" s="12" t="s">
        <v>363</v>
      </c>
      <c r="C296" s="21">
        <f>(416)*(1)*(1)*(1)*(1 + (0))</f>
      </c>
      <c r="D296" s="21" t="s">
        <v>167</v>
      </c>
      <c r="E296" s="21"/>
      <c r="F296" s="21">
        <f>(0)</f>
      </c>
      <c r="G296" s="21">
        <f>(C296 * E296 + C296 * E296 * F296)</f>
      </c>
    </row>
    <row r="297">
      <c r="A297" s="4"/>
      <c r="B297" s="12" t="s">
        <v>364</v>
      </c>
      <c r="C297" s="21">
        <f>(50)*(1)*(1)*(1)*(1 + (0))</f>
      </c>
      <c r="D297" s="21" t="s">
        <v>167</v>
      </c>
      <c r="E297" s="21"/>
      <c r="F297" s="21">
        <f>(0)</f>
      </c>
      <c r="G297" s="21">
        <f>(C297 * E297 + C297 * E297 * F297)</f>
      </c>
    </row>
    <row r="298">
      <c r="A298" s="4"/>
      <c r="B298" s="12" t="s">
        <v>365</v>
      </c>
      <c r="C298" s="21">
        <f>(9)*(1)*(1)*(1)*(1 + (0))</f>
      </c>
      <c r="D298" s="21" t="s">
        <v>167</v>
      </c>
      <c r="E298" s="21"/>
      <c r="F298" s="21">
        <f>(0)</f>
      </c>
      <c r="G298" s="21">
        <f>(C298 * E298 + C298 * E298 * F298)</f>
      </c>
    </row>
    <row r="299">
      <c r="A299" s="3"/>
      <c r="B299" s="11" t="s">
        <v>366</v>
      </c>
      <c r="C299" s="20"/>
      <c r="D299" s="20"/>
      <c r="E299" s="20"/>
      <c r="F299" s="20"/>
      <c r="G299" s="20"/>
    </row>
    <row r="300">
      <c r="A300" s="4"/>
      <c r="B300" s="12" t="s">
        <v>367</v>
      </c>
      <c r="C300" s="21">
        <f>(708)*(1)*(1)*(1)*(1 + (0))</f>
      </c>
      <c r="D300" s="21" t="s">
        <v>9</v>
      </c>
      <c r="E300" s="21"/>
      <c r="F300" s="21">
        <f>(0)</f>
      </c>
      <c r="G300" s="21">
        <f>(C300 * E300 + C300 * E300 * F300)</f>
      </c>
    </row>
    <row r="301">
      <c r="A301" s="4"/>
      <c r="B301" s="12" t="s">
        <v>368</v>
      </c>
      <c r="C301" s="21">
        <f>(3280)*(1)*(1)*(1)*(1 + (0))</f>
      </c>
      <c r="D301" s="21" t="s">
        <v>9</v>
      </c>
      <c r="E301" s="21"/>
      <c r="F301" s="21">
        <f>(0)</f>
      </c>
      <c r="G301" s="21">
        <f>(C301 * E301 + C301 * E301 * F301)</f>
      </c>
    </row>
    <row r="302">
      <c r="A302" s="4"/>
      <c r="B302" s="12" t="s">
        <v>369</v>
      </c>
      <c r="C302" s="21">
        <f>(538)*(1)*(1)*(1)*(1 + (0))</f>
      </c>
      <c r="D302" s="21" t="s">
        <v>9</v>
      </c>
      <c r="E302" s="21"/>
      <c r="F302" s="21">
        <f>(0)</f>
      </c>
      <c r="G302" s="21">
        <f>(C302 * E302 + C302 * E302 * F302)</f>
      </c>
    </row>
    <row r="303">
      <c r="A303" s="4"/>
      <c r="B303" s="12" t="s">
        <v>370</v>
      </c>
      <c r="C303" s="21">
        <f>(815)*(1)*(1)*(1)*(1 + (0))</f>
      </c>
      <c r="D303" s="21" t="s">
        <v>9</v>
      </c>
      <c r="E303" s="21"/>
      <c r="F303" s="21">
        <f>(0)</f>
      </c>
      <c r="G303" s="21">
        <f>(C303 * E303 + C303 * E303 * F303)</f>
      </c>
    </row>
    <row r="304">
      <c r="A304" s="4"/>
      <c r="B304" s="12" t="s">
        <v>371</v>
      </c>
      <c r="C304" s="21">
        <f>(4669)*(1)*(1)*(1)*(1 + (0))</f>
      </c>
      <c r="D304" s="21" t="s">
        <v>9</v>
      </c>
      <c r="E304" s="21"/>
      <c r="F304" s="21">
        <f>(0)</f>
      </c>
      <c r="G304" s="21">
        <f>(C304 * E304 + C304 * E304 * F304)</f>
      </c>
    </row>
    <row r="305">
      <c r="A305" s="2"/>
      <c r="B305" s="10" t="s">
        <v>372</v>
      </c>
      <c r="C305" s="19"/>
      <c r="D305" s="19"/>
      <c r="E305" s="19"/>
      <c r="F305" s="19"/>
      <c r="G305" s="19"/>
    </row>
    <row r="306">
      <c r="A306" s="3"/>
      <c r="B306" s="11" t="s">
        <v>14</v>
      </c>
      <c r="C306" s="20"/>
      <c r="D306" s="20"/>
      <c r="E306" s="20"/>
      <c r="F306" s="20"/>
      <c r="G306" s="20"/>
    </row>
    <row r="307">
      <c r="A307" s="4" t="s">
        <v>373</v>
      </c>
      <c r="B307" s="12" t="s">
        <v>16</v>
      </c>
      <c r="C307" s="21"/>
      <c r="D307" s="21" t="s">
        <v>17</v>
      </c>
      <c r="E307" s="21"/>
      <c r="F307" s="21">
        <f>(0)</f>
      </c>
      <c r="G307" s="21">
        <f>(C307 * E307 + C307 * E307 * F307)</f>
      </c>
    </row>
    <row r="308">
      <c r="A308" s="4" t="s">
        <v>374</v>
      </c>
      <c r="B308" s="12" t="s">
        <v>19</v>
      </c>
      <c r="C308" s="21"/>
      <c r="D308" s="21" t="s">
        <v>17</v>
      </c>
      <c r="E308" s="21"/>
      <c r="F308" s="21">
        <f>(0)</f>
      </c>
      <c r="G308" s="21">
        <f>(C308 * E308 + C308 * E308 * F308)</f>
      </c>
    </row>
    <row r="309">
      <c r="A309" s="3"/>
      <c r="B309" s="11" t="s">
        <v>98</v>
      </c>
      <c r="C309" s="20"/>
      <c r="D309" s="20"/>
      <c r="E309" s="20"/>
      <c r="F309" s="20"/>
      <c r="G309" s="20"/>
    </row>
    <row r="310">
      <c r="A310" s="4"/>
      <c r="B310" s="12" t="s">
        <v>375</v>
      </c>
      <c r="C310" s="21"/>
      <c r="D310" s="21" t="s">
        <v>17</v>
      </c>
      <c r="E310" s="21"/>
      <c r="F310" s="21">
        <f>(0)</f>
      </c>
      <c r="G310" s="21">
        <f>(C310 * E310 + C310 * E310 * F310)</f>
      </c>
    </row>
    <row r="311">
      <c r="A311" s="4"/>
      <c r="B311" s="12" t="s">
        <v>230</v>
      </c>
      <c r="C311" s="21"/>
      <c r="D311" s="21" t="s">
        <v>17</v>
      </c>
      <c r="E311" s="21"/>
      <c r="F311" s="21">
        <f>(0)</f>
      </c>
      <c r="G311" s="21">
        <f>(C311 * E311 + C311 * E311 * F311)</f>
      </c>
    </row>
    <row r="312">
      <c r="A312" s="3"/>
      <c r="B312" s="11" t="s">
        <v>24</v>
      </c>
      <c r="C312" s="20"/>
      <c r="D312" s="20"/>
      <c r="E312" s="20"/>
      <c r="F312" s="20"/>
      <c r="G312" s="20"/>
    </row>
    <row r="313">
      <c r="A313" s="5"/>
      <c r="B313" s="13" t="s">
        <v>25</v>
      </c>
      <c r="C313" s="22"/>
      <c r="D313" s="22"/>
      <c r="E313" s="22"/>
      <c r="F313" s="22"/>
      <c r="G313" s="22"/>
    </row>
    <row r="314">
      <c r="A314" s="4" t="s">
        <v>376</v>
      </c>
      <c r="B314" s="14" t="s">
        <v>377</v>
      </c>
      <c r="C314" s="21"/>
      <c r="D314" s="21" t="s">
        <v>17</v>
      </c>
      <c r="E314" s="21"/>
      <c r="F314" s="21">
        <f>(0)</f>
      </c>
      <c r="G314" s="21">
        <f>(C314 * E314 + C314 * E314 * F314)</f>
      </c>
    </row>
    <row r="315">
      <c r="A315" s="4" t="s">
        <v>378</v>
      </c>
      <c r="B315" s="14" t="s">
        <v>379</v>
      </c>
      <c r="C315" s="21"/>
      <c r="D315" s="21" t="s">
        <v>17</v>
      </c>
      <c r="E315" s="21"/>
      <c r="F315" s="21">
        <f>(0)</f>
      </c>
      <c r="G315" s="21">
        <f>(C315 * E315 + C315 * E315 * F315)</f>
      </c>
    </row>
    <row r="316">
      <c r="A316" s="4" t="s">
        <v>380</v>
      </c>
      <c r="B316" s="14" t="s">
        <v>381</v>
      </c>
      <c r="C316" s="21"/>
      <c r="D316" s="21" t="s">
        <v>17</v>
      </c>
      <c r="E316" s="21"/>
      <c r="F316" s="21">
        <f>(0)</f>
      </c>
      <c r="G316" s="21">
        <f>(C316 * E316 + C316 * E316 * F316)</f>
      </c>
    </row>
    <row r="317">
      <c r="A317" s="4" t="s">
        <v>382</v>
      </c>
      <c r="B317" s="14" t="s">
        <v>383</v>
      </c>
      <c r="C317" s="21"/>
      <c r="D317" s="21" t="s">
        <v>17</v>
      </c>
      <c r="E317" s="21"/>
      <c r="F317" s="21">
        <f>(0)</f>
      </c>
      <c r="G317" s="21">
        <f>(C317 * E317 + C317 * E317 * F317)</f>
      </c>
    </row>
    <row r="318">
      <c r="A318" s="4" t="s">
        <v>384</v>
      </c>
      <c r="B318" s="14" t="s">
        <v>385</v>
      </c>
      <c r="C318" s="21"/>
      <c r="D318" s="21" t="s">
        <v>17</v>
      </c>
      <c r="E318" s="21"/>
      <c r="F318" s="21">
        <f>(0)</f>
      </c>
      <c r="G318" s="21">
        <f>(C318 * E318 + C318 * E318 * F318)</f>
      </c>
    </row>
    <row r="319">
      <c r="A319" s="4" t="s">
        <v>386</v>
      </c>
      <c r="B319" s="14" t="s">
        <v>387</v>
      </c>
      <c r="C319" s="21"/>
      <c r="D319" s="21" t="s">
        <v>17</v>
      </c>
      <c r="E319" s="21"/>
      <c r="F319" s="21">
        <f>(0)</f>
      </c>
      <c r="G319" s="21">
        <f>(C319 * E319 + C319 * E319 * F319)</f>
      </c>
    </row>
    <row r="320">
      <c r="A320" s="4" t="s">
        <v>388</v>
      </c>
      <c r="B320" s="14" t="s">
        <v>389</v>
      </c>
      <c r="C320" s="21"/>
      <c r="D320" s="21" t="s">
        <v>17</v>
      </c>
      <c r="E320" s="21"/>
      <c r="F320" s="21">
        <f>(0)</f>
      </c>
      <c r="G320" s="21">
        <f>(C320 * E320 + C320 * E320 * F320)</f>
      </c>
    </row>
    <row r="321">
      <c r="A321" s="4" t="s">
        <v>390</v>
      </c>
      <c r="B321" s="14" t="s">
        <v>391</v>
      </c>
      <c r="C321" s="21"/>
      <c r="D321" s="21" t="s">
        <v>17</v>
      </c>
      <c r="E321" s="21"/>
      <c r="F321" s="21">
        <f>(0)</f>
      </c>
      <c r="G321" s="21">
        <f>(C321 * E321 + C321 * E321 * F321)</f>
      </c>
    </row>
    <row r="322">
      <c r="A322" s="4" t="s">
        <v>392</v>
      </c>
      <c r="B322" s="14" t="s">
        <v>393</v>
      </c>
      <c r="C322" s="21"/>
      <c r="D322" s="21" t="s">
        <v>17</v>
      </c>
      <c r="E322" s="21"/>
      <c r="F322" s="21">
        <f>(0)</f>
      </c>
      <c r="G322" s="21">
        <f>(C322 * E322 + C322 * E322 * F322)</f>
      </c>
    </row>
    <row r="323">
      <c r="A323" s="4" t="s">
        <v>394</v>
      </c>
      <c r="B323" s="14" t="s">
        <v>194</v>
      </c>
      <c r="C323" s="21"/>
      <c r="D323" s="21" t="s">
        <v>17</v>
      </c>
      <c r="E323" s="21"/>
      <c r="F323" s="21">
        <f>(0)</f>
      </c>
      <c r="G323" s="21">
        <f>(C323 * E323 + C323 * E323 * F323)</f>
      </c>
    </row>
    <row r="324">
      <c r="A324" s="3"/>
      <c r="B324" s="11" t="s">
        <v>42</v>
      </c>
      <c r="C324" s="20"/>
      <c r="D324" s="20"/>
      <c r="E324" s="20"/>
      <c r="F324" s="20"/>
      <c r="G324" s="20"/>
    </row>
    <row r="325">
      <c r="A325" s="4" t="s">
        <v>395</v>
      </c>
      <c r="B325" s="12" t="s">
        <v>59</v>
      </c>
      <c r="C325" s="21">
        <f>(1)*(1)*(1)*(1)*(1 + (0))</f>
      </c>
      <c r="D325" s="21" t="s">
        <v>45</v>
      </c>
      <c r="E325" s="21"/>
      <c r="F325" s="21">
        <f>(0)</f>
      </c>
      <c r="G325" s="21">
        <f>(C325 * E325 + C325 * E325 * F325)</f>
      </c>
    </row>
    <row r="326">
      <c r="A326" s="4" t="s">
        <v>396</v>
      </c>
      <c r="B326" s="12" t="s">
        <v>61</v>
      </c>
      <c r="C326" s="21">
        <f>(1)*(1)*(1)*(1)*(1 + (0))</f>
      </c>
      <c r="D326" s="21" t="s">
        <v>45</v>
      </c>
      <c r="E326" s="21"/>
      <c r="F326" s="21">
        <f>(0)</f>
      </c>
      <c r="G326" s="21">
        <f>(C326 * E326 + C326 * E326 * F326)</f>
      </c>
    </row>
    <row r="327">
      <c r="A327" s="4" t="s">
        <v>397</v>
      </c>
      <c r="B327" s="12" t="s">
        <v>132</v>
      </c>
      <c r="C327" s="21">
        <f>(1)*(1)*(1)*(1)*(1 + (0))</f>
      </c>
      <c r="D327" s="21" t="s">
        <v>45</v>
      </c>
      <c r="E327" s="21"/>
      <c r="F327" s="21">
        <f>(0)</f>
      </c>
      <c r="G327" s="21">
        <f>(C327 * E327 + C327 * E327 * F327)</f>
      </c>
    </row>
    <row r="328">
      <c r="A328" s="4" t="s">
        <v>398</v>
      </c>
      <c r="B328" s="12" t="s">
        <v>399</v>
      </c>
      <c r="C328" s="21">
        <f>(1)*(1)*(1)*(1)*(1 + (0))</f>
      </c>
      <c r="D328" s="21" t="s">
        <v>45</v>
      </c>
      <c r="E328" s="21"/>
      <c r="F328" s="21">
        <f>(0)</f>
      </c>
      <c r="G328" s="21">
        <f>(C328 * E328 + C328 * E328 * F328)</f>
      </c>
    </row>
    <row r="329">
      <c r="A329" s="4" t="s">
        <v>400</v>
      </c>
      <c r="B329" s="12" t="s">
        <v>401</v>
      </c>
      <c r="C329" s="21">
        <f>(1)*(1)*(1)*(1)*(1 + (0))</f>
      </c>
      <c r="D329" s="21" t="s">
        <v>45</v>
      </c>
      <c r="E329" s="21"/>
      <c r="F329" s="21">
        <f>(0)</f>
      </c>
      <c r="G329" s="21">
        <f>(C329 * E329 + C329 * E329 * F329)</f>
      </c>
    </row>
    <row r="330">
      <c r="A330" s="3"/>
      <c r="B330" s="11" t="s">
        <v>82</v>
      </c>
      <c r="C330" s="20"/>
      <c r="D330" s="20"/>
      <c r="E330" s="20"/>
      <c r="F330" s="20"/>
      <c r="G330" s="20"/>
    </row>
    <row r="331">
      <c r="A331" s="4"/>
      <c r="B331" s="12" t="s">
        <v>402</v>
      </c>
      <c r="C331" s="21"/>
      <c r="D331" s="21" t="s">
        <v>17</v>
      </c>
      <c r="E331" s="21"/>
      <c r="F331" s="21">
        <f>(0)</f>
      </c>
      <c r="G331" s="21">
        <f>(C331 * E331 + C331 * E331 * F331)</f>
      </c>
    </row>
    <row r="332">
      <c r="A332" s="4"/>
      <c r="B332" s="12" t="s">
        <v>403</v>
      </c>
      <c r="C332" s="21"/>
      <c r="D332" s="21" t="s">
        <v>17</v>
      </c>
      <c r="E332" s="21"/>
      <c r="F332" s="21">
        <f>(0)</f>
      </c>
      <c r="G332" s="21">
        <f>(C332 * E332 + C332 * E332 * F332)</f>
      </c>
    </row>
    <row r="333">
      <c r="A333" s="4"/>
      <c r="B333" s="12" t="s">
        <v>404</v>
      </c>
      <c r="C333" s="21"/>
      <c r="D333" s="21" t="s">
        <v>264</v>
      </c>
      <c r="E333" s="21"/>
      <c r="F333" s="21">
        <f>(0)</f>
      </c>
      <c r="G333" s="21">
        <f>(C333 * E333 + C333 * E333 * F333)</f>
      </c>
    </row>
    <row r="334">
      <c r="A334" s="3"/>
      <c r="B334" s="11" t="s">
        <v>405</v>
      </c>
      <c r="C334" s="20"/>
      <c r="D334" s="20"/>
      <c r="E334" s="20"/>
      <c r="F334" s="20"/>
      <c r="G334" s="20"/>
    </row>
    <row r="335">
      <c r="A335" s="5"/>
      <c r="B335" s="13" t="s">
        <v>406</v>
      </c>
      <c r="C335" s="22"/>
      <c r="D335" s="22"/>
      <c r="E335" s="22"/>
      <c r="F335" s="22"/>
      <c r="G335" s="22"/>
    </row>
    <row r="336">
      <c r="A336" s="6"/>
      <c r="B336" s="15" t="s">
        <v>318</v>
      </c>
      <c r="C336" s="23"/>
      <c r="D336" s="23"/>
      <c r="E336" s="23"/>
      <c r="F336" s="23"/>
      <c r="G336" s="23"/>
    </row>
    <row r="337">
      <c r="A337" s="4"/>
      <c r="B337" s="16" t="s">
        <v>407</v>
      </c>
      <c r="C337" s="21">
        <f>(8)*(1)*(1)*(1)*(1 + (0))</f>
      </c>
      <c r="D337" s="21" t="s">
        <v>9</v>
      </c>
      <c r="E337" s="21"/>
      <c r="F337" s="21">
        <f>(0)</f>
      </c>
      <c r="G337" s="21">
        <f>(C337 * E337 + C337 * E337 * F337)</f>
      </c>
    </row>
    <row r="338">
      <c r="A338" s="3"/>
      <c r="B338" s="11" t="s">
        <v>408</v>
      </c>
      <c r="C338" s="20"/>
      <c r="D338" s="20"/>
      <c r="E338" s="20"/>
      <c r="F338" s="20"/>
      <c r="G338" s="20"/>
    </row>
    <row r="339">
      <c r="A339" s="5"/>
      <c r="B339" s="13" t="s">
        <v>409</v>
      </c>
      <c r="C339" s="22"/>
      <c r="D339" s="22"/>
      <c r="E339" s="22"/>
      <c r="F339" s="22"/>
      <c r="G339" s="22"/>
    </row>
    <row r="340">
      <c r="A340" s="6"/>
      <c r="B340" s="15" t="s">
        <v>297</v>
      </c>
      <c r="C340" s="23"/>
      <c r="D340" s="23"/>
      <c r="E340" s="23"/>
      <c r="F340" s="23"/>
      <c r="G340" s="23"/>
    </row>
    <row r="341">
      <c r="A341" s="4"/>
      <c r="B341" s="16" t="s">
        <v>410</v>
      </c>
      <c r="C341" s="21">
        <f>(21)*(1)*(1)*(1)*(1 + (0))</f>
      </c>
      <c r="D341" s="21" t="s">
        <v>9</v>
      </c>
      <c r="E341" s="21"/>
      <c r="F341" s="21">
        <f>(0)</f>
      </c>
      <c r="G341" s="21">
        <f>(C341 * E341 + C341 * E341 * F341)</f>
      </c>
    </row>
    <row r="342">
      <c r="A342" s="4"/>
      <c r="B342" s="16" t="s">
        <v>411</v>
      </c>
      <c r="C342" s="21">
        <f>(127)*(1)*(1)*(1)*(1 + (0))</f>
      </c>
      <c r="D342" s="21" t="s">
        <v>9</v>
      </c>
      <c r="E342" s="21"/>
      <c r="F342" s="21">
        <f>(0)</f>
      </c>
      <c r="G342" s="21">
        <f>(C342 * E342 + C342 * E342 * F342)</f>
      </c>
    </row>
    <row r="343">
      <c r="A343" s="5"/>
      <c r="B343" s="13" t="s">
        <v>406</v>
      </c>
      <c r="C343" s="22"/>
      <c r="D343" s="22"/>
      <c r="E343" s="22"/>
      <c r="F343" s="22"/>
      <c r="G343" s="22"/>
    </row>
    <row r="344">
      <c r="A344" s="6"/>
      <c r="B344" s="15" t="s">
        <v>297</v>
      </c>
      <c r="C344" s="23"/>
      <c r="D344" s="23"/>
      <c r="E344" s="23"/>
      <c r="F344" s="23"/>
      <c r="G344" s="23"/>
    </row>
    <row r="345">
      <c r="A345" s="4"/>
      <c r="B345" s="16" t="s">
        <v>412</v>
      </c>
      <c r="C345" s="21">
        <f>(17)*(1)*(1)*(1)*(1 + (0))</f>
      </c>
      <c r="D345" s="21" t="s">
        <v>9</v>
      </c>
      <c r="E345" s="21"/>
      <c r="F345" s="21">
        <f>(0)</f>
      </c>
      <c r="G345" s="21">
        <f>(C345 * E345 + C345 * E345 * F345)</f>
      </c>
    </row>
    <row r="346">
      <c r="A346" s="4"/>
      <c r="B346" s="16" t="s">
        <v>413</v>
      </c>
      <c r="C346" s="21">
        <f>(17)*(1)*(1)*(1)*(1 + (0))</f>
      </c>
      <c r="D346" s="21" t="s">
        <v>167</v>
      </c>
      <c r="E346" s="21"/>
      <c r="F346" s="21">
        <f>(0)</f>
      </c>
      <c r="G346" s="21">
        <f>(C346 * E346 + C346 * E346 * F346)</f>
      </c>
    </row>
    <row r="347">
      <c r="A347" s="6"/>
      <c r="B347" s="15" t="s">
        <v>318</v>
      </c>
      <c r="C347" s="23"/>
      <c r="D347" s="23"/>
      <c r="E347" s="23"/>
      <c r="F347" s="23"/>
      <c r="G347" s="23"/>
    </row>
    <row r="348">
      <c r="A348" s="4"/>
      <c r="B348" s="16" t="s">
        <v>414</v>
      </c>
      <c r="C348" s="21">
        <f>(797)*(1)*(1)*(1)*(1 + (0))</f>
      </c>
      <c r="D348" s="21" t="s">
        <v>9</v>
      </c>
      <c r="E348" s="21"/>
      <c r="F348" s="21">
        <f>(0)</f>
      </c>
      <c r="G348" s="21">
        <f>(C348 * E348 + C348 * E348 * F348)</f>
      </c>
    </row>
    <row r="349">
      <c r="A349" s="4"/>
      <c r="B349" s="16" t="s">
        <v>413</v>
      </c>
      <c r="C349" s="21">
        <f>(175)*(1)*(1)*(1)*(1 + (0))</f>
      </c>
      <c r="D349" s="21" t="s">
        <v>167</v>
      </c>
      <c r="E349" s="21"/>
      <c r="F349" s="21">
        <f>(0)</f>
      </c>
      <c r="G349" s="21">
        <f>(C349 * E349 + C349 * E349 * F349)</f>
      </c>
    </row>
    <row r="350">
      <c r="A350" s="4"/>
      <c r="B350" s="16" t="s">
        <v>415</v>
      </c>
      <c r="C350" s="21">
        <f>(93)*(1)*(1)*(1)*(1 + (0))</f>
      </c>
      <c r="D350" s="21" t="s">
        <v>167</v>
      </c>
      <c r="E350" s="21"/>
      <c r="F350" s="21">
        <f>(0)</f>
      </c>
      <c r="G350" s="21">
        <f>(C350 * E350 + C350 * E350 * F350)</f>
      </c>
    </row>
    <row r="351">
      <c r="A351" s="4"/>
      <c r="B351" s="16" t="s">
        <v>416</v>
      </c>
      <c r="C351" s="21">
        <f>(45)*(1)*(1)*(1)*(1 + (0))</f>
      </c>
      <c r="D351" s="21" t="s">
        <v>167</v>
      </c>
      <c r="E351" s="21"/>
      <c r="F351" s="21">
        <f>(0)</f>
      </c>
      <c r="G351" s="21">
        <f>(C351 * E351 + C351 * E351 * F351)</f>
      </c>
    </row>
    <row r="352">
      <c r="A352" s="5"/>
      <c r="B352" s="13" t="s">
        <v>417</v>
      </c>
      <c r="C352" s="22"/>
      <c r="D352" s="22"/>
      <c r="E352" s="22"/>
      <c r="F352" s="22"/>
      <c r="G352" s="22"/>
    </row>
    <row r="353">
      <c r="A353" s="6"/>
      <c r="B353" s="15" t="s">
        <v>325</v>
      </c>
      <c r="C353" s="23"/>
      <c r="D353" s="23"/>
      <c r="E353" s="23"/>
      <c r="F353" s="23"/>
      <c r="G353" s="23"/>
    </row>
    <row r="354">
      <c r="A354" s="4"/>
      <c r="B354" s="16" t="s">
        <v>418</v>
      </c>
      <c r="C354" s="21">
        <f>(5)*(1)*(1)*(1)*(1 + (0))</f>
      </c>
      <c r="D354" s="21" t="s">
        <v>9</v>
      </c>
      <c r="E354" s="21"/>
      <c r="F354" s="21">
        <f>(0)</f>
      </c>
      <c r="G354" s="21">
        <f>(C354 * E354 + C354 * E354 * F354)</f>
      </c>
    </row>
    <row r="355">
      <c r="A355" s="4"/>
      <c r="B355" s="16" t="s">
        <v>419</v>
      </c>
      <c r="C355" s="21">
        <f>(9)*(1)*(1)*(1)*(1 + (0))</f>
      </c>
      <c r="D355" s="21" t="s">
        <v>167</v>
      </c>
      <c r="E355" s="21"/>
      <c r="F355" s="21">
        <f>(0)</f>
      </c>
      <c r="G355" s="21">
        <f>(C355 * E355 + C355 * E355 * F355)</f>
      </c>
    </row>
    <row r="356">
      <c r="A356" s="5"/>
      <c r="B356" s="13" t="s">
        <v>420</v>
      </c>
      <c r="C356" s="22"/>
      <c r="D356" s="22"/>
      <c r="E356" s="22"/>
      <c r="F356" s="22"/>
      <c r="G356" s="22"/>
    </row>
    <row r="357">
      <c r="A357" s="6"/>
      <c r="B357" s="15" t="s">
        <v>297</v>
      </c>
      <c r="C357" s="23"/>
      <c r="D357" s="23"/>
      <c r="E357" s="23"/>
      <c r="F357" s="23"/>
      <c r="G357" s="23"/>
    </row>
    <row r="358">
      <c r="A358" s="4"/>
      <c r="B358" s="16" t="s">
        <v>421</v>
      </c>
      <c r="C358" s="21">
        <f>(22)*(1)*(1)*(1)*(1 + (0))</f>
      </c>
      <c r="D358" s="21" t="s">
        <v>9</v>
      </c>
      <c r="E358" s="21"/>
      <c r="F358" s="21">
        <f>(0)</f>
      </c>
      <c r="G358" s="21">
        <f>(C358 * E358 + C358 * E358 * F358)</f>
      </c>
    </row>
    <row r="359">
      <c r="A359" s="4"/>
      <c r="B359" s="16" t="s">
        <v>422</v>
      </c>
      <c r="C359" s="21">
        <f>(164)*(1)*(1)*(1)*(1 + (0))</f>
      </c>
      <c r="D359" s="21" t="s">
        <v>167</v>
      </c>
      <c r="E359" s="21"/>
      <c r="F359" s="21">
        <f>(0)</f>
      </c>
      <c r="G359" s="21">
        <f>(C359 * E359 + C359 * E359 * F359)</f>
      </c>
    </row>
    <row r="360">
      <c r="A360" s="4"/>
      <c r="B360" s="16" t="s">
        <v>423</v>
      </c>
      <c r="C360" s="21">
        <f>(142)*(1)*(1)*(1)*(1 + (0))</f>
      </c>
      <c r="D360" s="21" t="s">
        <v>167</v>
      </c>
      <c r="E360" s="21"/>
      <c r="F360" s="21">
        <f>(0)</f>
      </c>
      <c r="G360" s="21">
        <f>(C360 * E360 + C360 * E360 * F360)</f>
      </c>
    </row>
    <row r="361">
      <c r="A361" s="6"/>
      <c r="B361" s="15" t="s">
        <v>318</v>
      </c>
      <c r="C361" s="23"/>
      <c r="D361" s="23"/>
      <c r="E361" s="23"/>
      <c r="F361" s="23"/>
      <c r="G361" s="23"/>
    </row>
    <row r="362">
      <c r="A362" s="4"/>
      <c r="B362" s="16" t="s">
        <v>424</v>
      </c>
      <c r="C362" s="21">
        <f>(28)*(1)*(1)*(1)*(1 + (0))</f>
      </c>
      <c r="D362" s="21" t="s">
        <v>167</v>
      </c>
      <c r="E362" s="21"/>
      <c r="F362" s="21">
        <f>(0)</f>
      </c>
      <c r="G362" s="21">
        <f>(C362 * E362 + C362 * E362 * F362)</f>
      </c>
    </row>
    <row r="363">
      <c r="A363" s="4"/>
      <c r="B363" s="16" t="s">
        <v>425</v>
      </c>
      <c r="C363" s="21">
        <f>(17)*(1)*(1)*(1)*(1 + (0))</f>
      </c>
      <c r="D363" s="21" t="s">
        <v>9</v>
      </c>
      <c r="E363" s="21"/>
      <c r="F363" s="21">
        <f>(0)</f>
      </c>
      <c r="G363" s="21">
        <f>(C363 * E363 + C363 * E363 * F363)</f>
      </c>
    </row>
    <row r="364">
      <c r="A364" s="5"/>
      <c r="B364" s="13" t="s">
        <v>426</v>
      </c>
      <c r="C364" s="22"/>
      <c r="D364" s="22"/>
      <c r="E364" s="22"/>
      <c r="F364" s="22"/>
      <c r="G364" s="22"/>
    </row>
    <row r="365">
      <c r="A365" s="6"/>
      <c r="B365" s="15" t="s">
        <v>335</v>
      </c>
      <c r="C365" s="23"/>
      <c r="D365" s="23"/>
      <c r="E365" s="23"/>
      <c r="F365" s="23"/>
      <c r="G365" s="23"/>
    </row>
    <row r="366">
      <c r="A366" s="4"/>
      <c r="B366" s="16" t="s">
        <v>427</v>
      </c>
      <c r="C366" s="21">
        <f>(14)*(1)*(1)*(1)*(1 + (0))</f>
      </c>
      <c r="D366" s="21" t="s">
        <v>9</v>
      </c>
      <c r="E366" s="21"/>
      <c r="F366" s="21">
        <f>(0)</f>
      </c>
      <c r="G366" s="21">
        <f>(C366 * E366 + C366 * E366 * F366)</f>
      </c>
    </row>
    <row r="367">
      <c r="A367" s="4"/>
      <c r="B367" s="16" t="s">
        <v>428</v>
      </c>
      <c r="C367" s="21">
        <f>(14)*(1)*(1)*(1)*(1 + (0))</f>
      </c>
      <c r="D367" s="21" t="s">
        <v>167</v>
      </c>
      <c r="E367" s="21"/>
      <c r="F367" s="21">
        <f>(0)</f>
      </c>
      <c r="G367" s="21">
        <f>(C367 * E367 + C367 * E367 * F367)</f>
      </c>
    </row>
    <row r="368">
      <c r="A368" s="4"/>
      <c r="B368" s="16" t="s">
        <v>429</v>
      </c>
      <c r="C368" s="21">
        <f>(38)*(1)*(1)*(1)*(1 + (0))</f>
      </c>
      <c r="D368" s="21" t="s">
        <v>167</v>
      </c>
      <c r="E368" s="21"/>
      <c r="F368" s="21">
        <f>(0)</f>
      </c>
      <c r="G368" s="21">
        <f>(C368 * E368 + C368 * E368 * F368)</f>
      </c>
    </row>
    <row r="369">
      <c r="A369" s="4"/>
      <c r="B369" s="16" t="s">
        <v>430</v>
      </c>
      <c r="C369" s="21">
        <f>(10)*(1)*(1)*(1)*(1 + (0))</f>
      </c>
      <c r="D369" s="21" t="s">
        <v>9</v>
      </c>
      <c r="E369" s="21"/>
      <c r="F369" s="21">
        <f>(0)</f>
      </c>
      <c r="G369" s="21">
        <f>(C369 * E369 + C369 * E369 * F369)</f>
      </c>
    </row>
    <row r="370">
      <c r="A370" s="4"/>
      <c r="B370" s="16" t="s">
        <v>431</v>
      </c>
      <c r="C370" s="21">
        <f>(18)*(1)*(1)*(1)*(1 + (0))</f>
      </c>
      <c r="D370" s="21" t="s">
        <v>167</v>
      </c>
      <c r="E370" s="21"/>
      <c r="F370" s="21">
        <f>(0)</f>
      </c>
      <c r="G370" s="21">
        <f>(C370 * E370 + C370 * E370 * F370)</f>
      </c>
    </row>
    <row r="371">
      <c r="A371" s="6"/>
      <c r="B371" s="15" t="s">
        <v>336</v>
      </c>
      <c r="C371" s="23"/>
      <c r="D371" s="23"/>
      <c r="E371" s="23"/>
      <c r="F371" s="23"/>
      <c r="G371" s="23"/>
    </row>
    <row r="372">
      <c r="A372" s="4"/>
      <c r="B372" s="16" t="s">
        <v>427</v>
      </c>
      <c r="C372" s="21">
        <f>(9)*(1)*(1)*(1)*(1 + (0))</f>
      </c>
      <c r="D372" s="21" t="s">
        <v>9</v>
      </c>
      <c r="E372" s="21"/>
      <c r="F372" s="21">
        <f>(0)</f>
      </c>
      <c r="G372" s="21">
        <f>(C372 * E372 + C372 * E372 * F372)</f>
      </c>
    </row>
    <row r="373">
      <c r="A373" s="4"/>
      <c r="B373" s="16" t="s">
        <v>428</v>
      </c>
      <c r="C373" s="21">
        <f>(15)*(1)*(1)*(1)*(1 + (0))</f>
      </c>
      <c r="D373" s="21" t="s">
        <v>167</v>
      </c>
      <c r="E373" s="21"/>
      <c r="F373" s="21">
        <f>(0)</f>
      </c>
      <c r="G373" s="21">
        <f>(C373 * E373 + C373 * E373 * F373)</f>
      </c>
    </row>
    <row r="374">
      <c r="A374" s="4"/>
      <c r="B374" s="16" t="s">
        <v>429</v>
      </c>
      <c r="C374" s="21">
        <f>(24)*(1)*(1)*(1)*(1 + (0))</f>
      </c>
      <c r="D374" s="21" t="s">
        <v>167</v>
      </c>
      <c r="E374" s="21"/>
      <c r="F374" s="21">
        <f>(0)</f>
      </c>
      <c r="G374" s="21">
        <f>(C374 * E374 + C374 * E374 * F374)</f>
      </c>
    </row>
    <row r="375">
      <c r="A375" s="4"/>
      <c r="B375" s="16" t="s">
        <v>430</v>
      </c>
      <c r="C375" s="21">
        <f>(4)*(1)*(1)*(1)*(1 + (0))</f>
      </c>
      <c r="D375" s="21" t="s">
        <v>9</v>
      </c>
      <c r="E375" s="21"/>
      <c r="F375" s="21">
        <f>(0)</f>
      </c>
      <c r="G375" s="21">
        <f>(C375 * E375 + C375 * E375 * F375)</f>
      </c>
    </row>
    <row r="376">
      <c r="A376" s="4"/>
      <c r="B376" s="16" t="s">
        <v>431</v>
      </c>
      <c r="C376" s="21">
        <f>(9)*(1)*(1)*(1)*(1 + (0))</f>
      </c>
      <c r="D376" s="21" t="s">
        <v>167</v>
      </c>
      <c r="E376" s="21"/>
      <c r="F376" s="21">
        <f>(0)</f>
      </c>
      <c r="G376" s="21">
        <f>(C376 * E376 + C376 * E376 * F376)</f>
      </c>
    </row>
    <row r="377">
      <c r="A377" s="6"/>
      <c r="B377" s="15" t="s">
        <v>337</v>
      </c>
      <c r="C377" s="23"/>
      <c r="D377" s="23"/>
      <c r="E377" s="23"/>
      <c r="F377" s="23"/>
      <c r="G377" s="23"/>
    </row>
    <row r="378">
      <c r="A378" s="4"/>
      <c r="B378" s="16" t="s">
        <v>428</v>
      </c>
      <c r="C378" s="21">
        <f>(8)*(1)*(1)*(1)*(1 + (0))</f>
      </c>
      <c r="D378" s="21" t="s">
        <v>167</v>
      </c>
      <c r="E378" s="21"/>
      <c r="F378" s="21">
        <f>(0)</f>
      </c>
      <c r="G378" s="21">
        <f>(C378 * E378 + C378 * E378 * F378)</f>
      </c>
    </row>
    <row r="379">
      <c r="A379" s="4"/>
      <c r="B379" s="16" t="s">
        <v>429</v>
      </c>
      <c r="C379" s="21">
        <f>(20)*(1)*(1)*(1)*(1 + (0))</f>
      </c>
      <c r="D379" s="21" t="s">
        <v>167</v>
      </c>
      <c r="E379" s="21"/>
      <c r="F379" s="21">
        <f>(0)</f>
      </c>
      <c r="G379" s="21">
        <f>(C379 * E379 + C379 * E379 * F379)</f>
      </c>
    </row>
    <row r="380">
      <c r="A380" s="6"/>
      <c r="B380" s="15" t="s">
        <v>338</v>
      </c>
      <c r="C380" s="23"/>
      <c r="D380" s="23"/>
      <c r="E380" s="23"/>
      <c r="F380" s="23"/>
      <c r="G380" s="23"/>
    </row>
    <row r="381">
      <c r="A381" s="4"/>
      <c r="B381" s="16" t="s">
        <v>428</v>
      </c>
      <c r="C381" s="21">
        <f>(8)*(1)*(1)*(1)*(1 + (0))</f>
      </c>
      <c r="D381" s="21" t="s">
        <v>167</v>
      </c>
      <c r="E381" s="21"/>
      <c r="F381" s="21">
        <f>(0)</f>
      </c>
      <c r="G381" s="21">
        <f>(C381 * E381 + C381 * E381 * F381)</f>
      </c>
    </row>
    <row r="382">
      <c r="A382" s="4"/>
      <c r="B382" s="16" t="s">
        <v>429</v>
      </c>
      <c r="C382" s="21">
        <f>(22)*(1)*(1)*(1)*(1 + (0))</f>
      </c>
      <c r="D382" s="21" t="s">
        <v>167</v>
      </c>
      <c r="E382" s="21"/>
      <c r="F382" s="21">
        <f>(0)</f>
      </c>
      <c r="G382" s="21">
        <f>(C382 * E382 + C382 * E382 * F382)</f>
      </c>
    </row>
    <row r="383">
      <c r="A383" s="6"/>
      <c r="B383" s="15" t="s">
        <v>339</v>
      </c>
      <c r="C383" s="23"/>
      <c r="D383" s="23"/>
      <c r="E383" s="23"/>
      <c r="F383" s="23"/>
      <c r="G383" s="23"/>
    </row>
    <row r="384">
      <c r="A384" s="4"/>
      <c r="B384" s="16" t="s">
        <v>428</v>
      </c>
      <c r="C384" s="21">
        <f>(7)*(1)*(1)*(1)*(1 + (0))</f>
      </c>
      <c r="D384" s="21" t="s">
        <v>167</v>
      </c>
      <c r="E384" s="21"/>
      <c r="F384" s="21">
        <f>(0)</f>
      </c>
      <c r="G384" s="21">
        <f>(C384 * E384 + C384 * E384 * F384)</f>
      </c>
    </row>
    <row r="385">
      <c r="A385" s="4"/>
      <c r="B385" s="16" t="s">
        <v>429</v>
      </c>
      <c r="C385" s="21">
        <f>(18)*(1)*(1)*(1)*(1 + (0))</f>
      </c>
      <c r="D385" s="21" t="s">
        <v>167</v>
      </c>
      <c r="E385" s="21"/>
      <c r="F385" s="21">
        <f>(0)</f>
      </c>
      <c r="G385" s="21">
        <f>(C385 * E385 + C385 * E385 * F385)</f>
      </c>
    </row>
    <row r="386">
      <c r="A386" s="6"/>
      <c r="B386" s="15" t="s">
        <v>340</v>
      </c>
      <c r="C386" s="23"/>
      <c r="D386" s="23"/>
      <c r="E386" s="23"/>
      <c r="F386" s="23"/>
      <c r="G386" s="23"/>
    </row>
    <row r="387">
      <c r="A387" s="4"/>
      <c r="B387" s="16" t="s">
        <v>428</v>
      </c>
      <c r="C387" s="21">
        <f>(6)*(1)*(1)*(1)*(1 + (0))</f>
      </c>
      <c r="D387" s="21" t="s">
        <v>167</v>
      </c>
      <c r="E387" s="21"/>
      <c r="F387" s="21">
        <f>(0)</f>
      </c>
      <c r="G387" s="21">
        <f>(C387 * E387 + C387 * E387 * F387)</f>
      </c>
    </row>
    <row r="388">
      <c r="A388" s="4"/>
      <c r="B388" s="16" t="s">
        <v>429</v>
      </c>
      <c r="C388" s="21">
        <f>(16)*(1)*(1)*(1)*(1 + (0))</f>
      </c>
      <c r="D388" s="21" t="s">
        <v>167</v>
      </c>
      <c r="E388" s="21"/>
      <c r="F388" s="21">
        <f>(0)</f>
      </c>
      <c r="G388" s="21">
        <f>(C388 * E388 + C388 * E388 * F388)</f>
      </c>
    </row>
    <row r="389">
      <c r="A389" s="3"/>
      <c r="B389" s="11" t="s">
        <v>432</v>
      </c>
      <c r="C389" s="20"/>
      <c r="D389" s="20"/>
      <c r="E389" s="20"/>
      <c r="F389" s="20"/>
      <c r="G389" s="20"/>
    </row>
    <row r="390">
      <c r="A390" s="5"/>
      <c r="B390" s="13" t="s">
        <v>433</v>
      </c>
      <c r="C390" s="22"/>
      <c r="D390" s="22"/>
      <c r="E390" s="22"/>
      <c r="F390" s="22"/>
      <c r="G390" s="22"/>
    </row>
    <row r="391">
      <c r="A391" s="6"/>
      <c r="B391" s="15" t="s">
        <v>270</v>
      </c>
      <c r="C391" s="23"/>
      <c r="D391" s="23"/>
      <c r="E391" s="23"/>
      <c r="F391" s="23"/>
      <c r="G391" s="23"/>
    </row>
    <row r="392">
      <c r="A392" s="4"/>
      <c r="B392" s="16" t="s">
        <v>434</v>
      </c>
      <c r="C392" s="21">
        <f>(19)*(1)*(1)*(1)*(1 + (0))</f>
      </c>
      <c r="D392" s="21" t="s">
        <v>9</v>
      </c>
      <c r="E392" s="21"/>
      <c r="F392" s="21">
        <f>(0)</f>
      </c>
      <c r="G392" s="21">
        <f>(C392 * E392 + C392 * E392 * F392)</f>
      </c>
    </row>
    <row r="393">
      <c r="A393" s="4"/>
      <c r="B393" s="16" t="s">
        <v>435</v>
      </c>
      <c r="C393" s="21">
        <f>(19)*(1)*(1)*(1)*(1 + (0))</f>
      </c>
      <c r="D393" s="21" t="s">
        <v>9</v>
      </c>
      <c r="E393" s="21"/>
      <c r="F393" s="21">
        <f>(0)</f>
      </c>
      <c r="G393" s="21">
        <f>(C393 * E393 + C393 * E393 * F393)</f>
      </c>
    </row>
    <row r="394">
      <c r="A394" s="4"/>
      <c r="B394" s="16" t="s">
        <v>436</v>
      </c>
      <c r="C394" s="21">
        <f>(55)*(1)*(1)*(1)*(1 + (0))</f>
      </c>
      <c r="D394" s="21" t="s">
        <v>9</v>
      </c>
      <c r="E394" s="21"/>
      <c r="F394" s="21">
        <f>(0)</f>
      </c>
      <c r="G394" s="21">
        <f>(C394 * E394 + C394 * E394 * F394)</f>
      </c>
    </row>
    <row r="395">
      <c r="A395" s="5"/>
      <c r="B395" s="13" t="s">
        <v>437</v>
      </c>
      <c r="C395" s="22"/>
      <c r="D395" s="22"/>
      <c r="E395" s="22"/>
      <c r="F395" s="22"/>
      <c r="G395" s="22"/>
    </row>
    <row r="396">
      <c r="A396" s="6"/>
      <c r="B396" s="15" t="s">
        <v>270</v>
      </c>
      <c r="C396" s="23"/>
      <c r="D396" s="23"/>
      <c r="E396" s="23"/>
      <c r="F396" s="23"/>
      <c r="G396" s="23"/>
    </row>
    <row r="397">
      <c r="A397" s="4"/>
      <c r="B397" s="16" t="s">
        <v>438</v>
      </c>
      <c r="C397" s="21">
        <f>(214)*(1)*(1)*(1)*(1 + (0))</f>
      </c>
      <c r="D397" s="21" t="s">
        <v>9</v>
      </c>
      <c r="E397" s="21"/>
      <c r="F397" s="21">
        <f>(0)</f>
      </c>
      <c r="G397" s="21">
        <f>(C397 * E397 + C397 * E397 * F397)</f>
      </c>
    </row>
    <row r="398">
      <c r="A398" s="4"/>
      <c r="B398" s="16" t="s">
        <v>439</v>
      </c>
      <c r="C398" s="21">
        <f>(227)*(1)*(1)*(1)*(1 + (0))</f>
      </c>
      <c r="D398" s="21" t="s">
        <v>9</v>
      </c>
      <c r="E398" s="21"/>
      <c r="F398" s="21">
        <f>(0)</f>
      </c>
      <c r="G398" s="21">
        <f>(C398 * E398 + C398 * E398 * F398)</f>
      </c>
    </row>
    <row r="399">
      <c r="A399" s="4"/>
      <c r="B399" s="16" t="s">
        <v>440</v>
      </c>
      <c r="C399" s="21">
        <f>(374)*(1)*(1)*(1)*(1 + (0))</f>
      </c>
      <c r="D399" s="21" t="s">
        <v>9</v>
      </c>
      <c r="E399" s="21"/>
      <c r="F399" s="21">
        <f>(0)</f>
      </c>
      <c r="G399" s="21">
        <f>(C399 * E399 + C399 * E399 * F399)</f>
      </c>
    </row>
    <row r="400">
      <c r="A400" s="4"/>
      <c r="B400" s="16" t="s">
        <v>441</v>
      </c>
      <c r="C400" s="21">
        <f>(42)*(1)*(1)*(1)*(1 + (0))</f>
      </c>
      <c r="D400" s="21" t="s">
        <v>9</v>
      </c>
      <c r="E400" s="21"/>
      <c r="F400" s="21">
        <f>(0)</f>
      </c>
      <c r="G400" s="21">
        <f>(C400 * E400 + C400 * E400 * F400)</f>
      </c>
    </row>
    <row r="401">
      <c r="A401" s="4"/>
      <c r="B401" s="16" t="s">
        <v>442</v>
      </c>
      <c r="C401" s="21">
        <f>(14)*(1)*(1)*(1)*(1 + (0))</f>
      </c>
      <c r="D401" s="21" t="s">
        <v>9</v>
      </c>
      <c r="E401" s="21"/>
      <c r="F401" s="21">
        <f>(0)</f>
      </c>
      <c r="G401" s="21">
        <f>(C401 * E401 + C401 * E401 * F401)</f>
      </c>
    </row>
    <row r="402">
      <c r="A402" s="5"/>
      <c r="B402" s="13" t="s">
        <v>443</v>
      </c>
      <c r="C402" s="22"/>
      <c r="D402" s="22"/>
      <c r="E402" s="22"/>
      <c r="F402" s="22"/>
      <c r="G402" s="22"/>
    </row>
    <row r="403">
      <c r="A403" s="6"/>
      <c r="B403" s="15" t="s">
        <v>270</v>
      </c>
      <c r="C403" s="23"/>
      <c r="D403" s="23"/>
      <c r="E403" s="23"/>
      <c r="F403" s="23"/>
      <c r="G403" s="23"/>
    </row>
    <row r="404">
      <c r="A404" s="4"/>
      <c r="B404" s="16" t="s">
        <v>444</v>
      </c>
      <c r="C404" s="21">
        <f>(38)*(1)*(1)*(1)*(1 + (0))</f>
      </c>
      <c r="D404" s="21" t="s">
        <v>9</v>
      </c>
      <c r="E404" s="21"/>
      <c r="F404" s="21">
        <f>(0)</f>
      </c>
      <c r="G404" s="21">
        <f>(C404 * E404 + C404 * E404 * F404)</f>
      </c>
    </row>
    <row r="405">
      <c r="A405" s="4"/>
      <c r="B405" s="16" t="s">
        <v>445</v>
      </c>
      <c r="C405" s="21">
        <f>(16)*(1)*(1)*(1)*(1 + (0))</f>
      </c>
      <c r="D405" s="21" t="s">
        <v>9</v>
      </c>
      <c r="E405" s="21"/>
      <c r="F405" s="21">
        <f>(0)</f>
      </c>
      <c r="G405" s="21">
        <f>(C405 * E405 + C405 * E405 * F405)</f>
      </c>
    </row>
    <row r="406">
      <c r="A406" s="4"/>
      <c r="B406" s="16" t="s">
        <v>446</v>
      </c>
      <c r="C406" s="21">
        <f>(14)*(1)*(1)*(1)*(1 + (0))</f>
      </c>
      <c r="D406" s="21" t="s">
        <v>9</v>
      </c>
      <c r="E406" s="21"/>
      <c r="F406" s="21">
        <f>(0)</f>
      </c>
      <c r="G406" s="21">
        <f>(C406 * E406 + C406 * E406 * F406)</f>
      </c>
    </row>
    <row r="407">
      <c r="A407" s="4"/>
      <c r="B407" s="16" t="s">
        <v>447</v>
      </c>
      <c r="C407" s="21">
        <f>(14)*(1)*(1)*(1)*(1 + (0))</f>
      </c>
      <c r="D407" s="21" t="s">
        <v>9</v>
      </c>
      <c r="E407" s="21"/>
      <c r="F407" s="21">
        <f>(0)</f>
      </c>
      <c r="G407" s="21">
        <f>(C407 * E407 + C407 * E407 * F407)</f>
      </c>
    </row>
    <row r="408">
      <c r="A408" s="4"/>
      <c r="B408" s="16" t="s">
        <v>448</v>
      </c>
      <c r="C408" s="21">
        <f>(7)*(1)*(1)*(1)*(1 + (0))</f>
      </c>
      <c r="D408" s="21" t="s">
        <v>9</v>
      </c>
      <c r="E408" s="21"/>
      <c r="F408" s="21">
        <f>(0)</f>
      </c>
      <c r="G408" s="21">
        <f>(C408 * E408 + C408 * E408 * F408)</f>
      </c>
    </row>
    <row r="409">
      <c r="A409" s="4"/>
      <c r="B409" s="16" t="s">
        <v>449</v>
      </c>
      <c r="C409" s="21">
        <f>(31)*(1)*(1)*(1)*(1 + (0))</f>
      </c>
      <c r="D409" s="21" t="s">
        <v>9</v>
      </c>
      <c r="E409" s="21"/>
      <c r="F409" s="21">
        <f>(0)</f>
      </c>
      <c r="G409" s="21">
        <f>(C409 * E409 + C409 * E409 * F409)</f>
      </c>
    </row>
    <row r="410">
      <c r="A410" s="4"/>
      <c r="B410" s="16" t="s">
        <v>450</v>
      </c>
      <c r="C410" s="21">
        <f>(38)*(1)*(1)*(1)*(1 + (0))</f>
      </c>
      <c r="D410" s="21" t="s">
        <v>9</v>
      </c>
      <c r="E410" s="21"/>
      <c r="F410" s="21">
        <f>(0)</f>
      </c>
      <c r="G410" s="21">
        <f>(C410 * E410 + C410 * E410 * F410)</f>
      </c>
    </row>
    <row r="411">
      <c r="A411" s="4"/>
      <c r="B411" s="16" t="s">
        <v>451</v>
      </c>
      <c r="C411" s="21">
        <f>(41)*(1)*(1)*(1)*(1 + (0))</f>
      </c>
      <c r="D411" s="21" t="s">
        <v>9</v>
      </c>
      <c r="E411" s="21"/>
      <c r="F411" s="21">
        <f>(0)</f>
      </c>
      <c r="G411" s="21">
        <f>(C411 * E411 + C411 * E411 * F411)</f>
      </c>
    </row>
    <row r="412">
      <c r="A412" s="4"/>
      <c r="B412" s="16" t="s">
        <v>452</v>
      </c>
      <c r="C412" s="21">
        <f>(13)*(1)*(1)*(1)*(1 + (0))</f>
      </c>
      <c r="D412" s="21" t="s">
        <v>9</v>
      </c>
      <c r="E412" s="21"/>
      <c r="F412" s="21">
        <f>(0)</f>
      </c>
      <c r="G412" s="21">
        <f>(C412 * E412 + C412 * E412 * F412)</f>
      </c>
    </row>
    <row r="413">
      <c r="A413" s="4"/>
      <c r="B413" s="16" t="s">
        <v>453</v>
      </c>
      <c r="C413" s="21">
        <f>(17)*(1)*(1)*(1)*(1 + (0))</f>
      </c>
      <c r="D413" s="21" t="s">
        <v>9</v>
      </c>
      <c r="E413" s="21"/>
      <c r="F413" s="21">
        <f>(0)</f>
      </c>
      <c r="G413" s="21">
        <f>(C413 * E413 + C413 * E413 * F413)</f>
      </c>
    </row>
    <row r="414">
      <c r="A414" s="4"/>
      <c r="B414" s="16" t="s">
        <v>454</v>
      </c>
      <c r="C414" s="21">
        <f>(31)*(1)*(1)*(1)*(1 + (0))</f>
      </c>
      <c r="D414" s="21" t="s">
        <v>167</v>
      </c>
      <c r="E414" s="21"/>
      <c r="F414" s="21">
        <f>(0)</f>
      </c>
      <c r="G414" s="21">
        <f>(C414 * E414 + C414 * E414 * F414)</f>
      </c>
    </row>
    <row r="415">
      <c r="A415" s="4"/>
      <c r="B415" s="16" t="s">
        <v>455</v>
      </c>
      <c r="C415" s="21">
        <f>(2)*(1)*(1)*(1)*(1 + (0))</f>
      </c>
      <c r="D415" s="21" t="s">
        <v>9</v>
      </c>
      <c r="E415" s="21"/>
      <c r="F415" s="21">
        <f>(0)</f>
      </c>
      <c r="G415" s="21">
        <f>(C415 * E415 + C415 * E415 * F415)</f>
      </c>
    </row>
    <row r="416">
      <c r="A416" s="4"/>
      <c r="B416" s="16" t="s">
        <v>456</v>
      </c>
      <c r="C416" s="21">
        <f>(27)*(1)*(1)*(1)*(1 + (0))</f>
      </c>
      <c r="D416" s="21" t="s">
        <v>167</v>
      </c>
      <c r="E416" s="21"/>
      <c r="F416" s="21">
        <f>(0)</f>
      </c>
      <c r="G416" s="21">
        <f>(C416 * E416 + C416 * E416 * F416)</f>
      </c>
    </row>
    <row r="417">
      <c r="A417" s="5"/>
      <c r="B417" s="13" t="s">
        <v>457</v>
      </c>
      <c r="C417" s="22"/>
      <c r="D417" s="22"/>
      <c r="E417" s="22"/>
      <c r="F417" s="22"/>
      <c r="G417" s="22"/>
    </row>
    <row r="418">
      <c r="A418" s="6"/>
      <c r="B418" s="15" t="s">
        <v>270</v>
      </c>
      <c r="C418" s="23"/>
      <c r="D418" s="23"/>
      <c r="E418" s="23"/>
      <c r="F418" s="23"/>
      <c r="G418" s="23"/>
    </row>
    <row r="419">
      <c r="A419" s="4"/>
      <c r="B419" s="16" t="s">
        <v>458</v>
      </c>
      <c r="C419" s="21">
        <f>(6)*(1)*(1)*(1)*(1 + (0))</f>
      </c>
      <c r="D419" s="21" t="s">
        <v>9</v>
      </c>
      <c r="E419" s="21"/>
      <c r="F419" s="21">
        <f>(0)</f>
      </c>
      <c r="G419" s="21">
        <f>(C419 * E419 + C419 * E419 * F419)</f>
      </c>
    </row>
    <row r="420">
      <c r="A420" s="4"/>
      <c r="B420" s="16" t="s">
        <v>459</v>
      </c>
      <c r="C420" s="21">
        <f>(2)*(1)*(1)*(1)*(1 + (0))</f>
      </c>
      <c r="D420" s="21" t="s">
        <v>9</v>
      </c>
      <c r="E420" s="21"/>
      <c r="F420" s="21">
        <f>(0)</f>
      </c>
      <c r="G420" s="21">
        <f>(C420 * E420 + C420 * E420 * F420)</f>
      </c>
    </row>
    <row r="421">
      <c r="A421" s="5"/>
      <c r="B421" s="13" t="s">
        <v>460</v>
      </c>
      <c r="C421" s="22"/>
      <c r="D421" s="22"/>
      <c r="E421" s="22"/>
      <c r="F421" s="22"/>
      <c r="G421" s="22"/>
    </row>
    <row r="422">
      <c r="A422" s="6"/>
      <c r="B422" s="15" t="s">
        <v>297</v>
      </c>
      <c r="C422" s="23"/>
      <c r="D422" s="23"/>
      <c r="E422" s="23"/>
      <c r="F422" s="23"/>
      <c r="G422" s="23"/>
    </row>
    <row r="423">
      <c r="A423" s="4"/>
      <c r="B423" s="16" t="s">
        <v>461</v>
      </c>
      <c r="C423" s="21">
        <f>(651)*(1)*(1)*(1)*(1 + (0))</f>
      </c>
      <c r="D423" s="21" t="s">
        <v>167</v>
      </c>
      <c r="E423" s="21"/>
      <c r="F423" s="21">
        <f>(0)</f>
      </c>
      <c r="G423" s="21">
        <f>(C423 * E423 + C423 * E423 * F423)</f>
      </c>
    </row>
    <row r="424">
      <c r="A424" s="4"/>
      <c r="B424" s="16" t="s">
        <v>462</v>
      </c>
      <c r="C424" s="21">
        <f>(125)*(1)*(1)*(1)*(1 + (0))</f>
      </c>
      <c r="D424" s="21" t="s">
        <v>167</v>
      </c>
      <c r="E424" s="21"/>
      <c r="F424" s="21">
        <f>(0)</f>
      </c>
      <c r="G424" s="21">
        <f>(C424 * E424 + C424 * E424 * F424)</f>
      </c>
    </row>
    <row r="425">
      <c r="A425" s="4"/>
      <c r="B425" s="16" t="s">
        <v>463</v>
      </c>
      <c r="C425" s="21">
        <f>(36)*(1)*(1)*(1)*(1 + (0))</f>
      </c>
      <c r="D425" s="21" t="s">
        <v>9</v>
      </c>
      <c r="E425" s="21"/>
      <c r="F425" s="21">
        <f>(0)</f>
      </c>
      <c r="G425" s="21">
        <f>(C425 * E425 + C425 * E425 * F425)</f>
      </c>
    </row>
    <row r="426">
      <c r="A426" s="4"/>
      <c r="B426" s="16" t="s">
        <v>464</v>
      </c>
      <c r="C426" s="21">
        <f>(37)*(1)*(1)*(1)*(1 + (0))</f>
      </c>
      <c r="D426" s="21" t="s">
        <v>167</v>
      </c>
      <c r="E426" s="21"/>
      <c r="F426" s="21">
        <f>(0)</f>
      </c>
      <c r="G426" s="21">
        <f>(C426 * E426 + C426 * E426 * F426)</f>
      </c>
    </row>
    <row r="427">
      <c r="A427" s="4"/>
      <c r="B427" s="16" t="s">
        <v>465</v>
      </c>
      <c r="C427" s="21">
        <f>(1965)*(1)*(1)*(1)*(1 + (0))</f>
      </c>
      <c r="D427" s="21" t="s">
        <v>167</v>
      </c>
      <c r="E427" s="21"/>
      <c r="F427" s="21">
        <f>(0)</f>
      </c>
      <c r="G427" s="21">
        <f>(C427 * E427 + C427 * E427 * F427)</f>
      </c>
    </row>
    <row r="428">
      <c r="A428" s="4"/>
      <c r="B428" s="16" t="s">
        <v>466</v>
      </c>
      <c r="C428" s="21">
        <f>(241)*(1)*(1)*(1)*(1 + (0))</f>
      </c>
      <c r="D428" s="21" t="s">
        <v>167</v>
      </c>
      <c r="E428" s="21"/>
      <c r="F428" s="21">
        <f>(0)</f>
      </c>
      <c r="G428" s="21">
        <f>(C428 * E428 + C428 * E428 * F428)</f>
      </c>
    </row>
    <row r="429">
      <c r="A429" s="4"/>
      <c r="B429" s="16" t="s">
        <v>467</v>
      </c>
      <c r="C429" s="21">
        <f>(18)*(1)*(1)*(1)*(1 + (0))</f>
      </c>
      <c r="D429" s="21" t="s">
        <v>167</v>
      </c>
      <c r="E429" s="21"/>
      <c r="F429" s="21">
        <f>(0)</f>
      </c>
      <c r="G429" s="21">
        <f>(C429 * E429 + C429 * E429 * F429)</f>
      </c>
    </row>
    <row r="430">
      <c r="A430" s="2"/>
      <c r="B430" s="10" t="s">
        <v>468</v>
      </c>
      <c r="C430" s="19"/>
      <c r="D430" s="19"/>
      <c r="E430" s="19"/>
      <c r="F430" s="19"/>
      <c r="G430" s="19"/>
    </row>
    <row r="431">
      <c r="A431" s="3"/>
      <c r="B431" s="11" t="s">
        <v>14</v>
      </c>
      <c r="C431" s="20"/>
      <c r="D431" s="20"/>
      <c r="E431" s="20"/>
      <c r="F431" s="20"/>
      <c r="G431" s="20"/>
    </row>
    <row r="432">
      <c r="A432" s="4" t="s">
        <v>469</v>
      </c>
      <c r="B432" s="12" t="s">
        <v>16</v>
      </c>
      <c r="C432" s="21"/>
      <c r="D432" s="21" t="s">
        <v>17</v>
      </c>
      <c r="E432" s="21"/>
      <c r="F432" s="21">
        <f>(0)</f>
      </c>
      <c r="G432" s="21">
        <f>(C432 * E432 + C432 * E432 * F432)</f>
      </c>
    </row>
    <row r="433">
      <c r="A433" s="4" t="s">
        <v>470</v>
      </c>
      <c r="B433" s="12" t="s">
        <v>19</v>
      </c>
      <c r="C433" s="21"/>
      <c r="D433" s="21" t="s">
        <v>17</v>
      </c>
      <c r="E433" s="21"/>
      <c r="F433" s="21">
        <f>(0)</f>
      </c>
      <c r="G433" s="21">
        <f>(C433 * E433 + C433 * E433 * F433)</f>
      </c>
    </row>
    <row r="434">
      <c r="A434" s="3"/>
      <c r="B434" s="11" t="s">
        <v>98</v>
      </c>
      <c r="C434" s="20"/>
      <c r="D434" s="20"/>
      <c r="E434" s="20"/>
      <c r="F434" s="20"/>
      <c r="G434" s="20"/>
    </row>
    <row r="435">
      <c r="A435" s="4"/>
      <c r="B435" s="12" t="s">
        <v>471</v>
      </c>
      <c r="C435" s="21"/>
      <c r="D435" s="21" t="s">
        <v>17</v>
      </c>
      <c r="E435" s="21"/>
      <c r="F435" s="21">
        <f>(0)</f>
      </c>
      <c r="G435" s="21">
        <f>(C435 * E435 + C435 * E435 * F435)</f>
      </c>
    </row>
    <row r="436">
      <c r="A436" s="4"/>
      <c r="B436" s="12" t="s">
        <v>230</v>
      </c>
      <c r="C436" s="21"/>
      <c r="D436" s="21" t="s">
        <v>17</v>
      </c>
      <c r="E436" s="21"/>
      <c r="F436" s="21">
        <f>(0)</f>
      </c>
      <c r="G436" s="21">
        <f>(C436 * E436 + C436 * E436 * F436)</f>
      </c>
    </row>
    <row r="437">
      <c r="A437" s="3"/>
      <c r="B437" s="11" t="s">
        <v>24</v>
      </c>
      <c r="C437" s="20"/>
      <c r="D437" s="20"/>
      <c r="E437" s="20"/>
      <c r="F437" s="20"/>
      <c r="G437" s="20"/>
    </row>
    <row r="438">
      <c r="A438" s="5"/>
      <c r="B438" s="13" t="s">
        <v>25</v>
      </c>
      <c r="C438" s="22"/>
      <c r="D438" s="22"/>
      <c r="E438" s="22"/>
      <c r="F438" s="22"/>
      <c r="G438" s="22"/>
    </row>
    <row r="439">
      <c r="A439" s="4" t="s">
        <v>472</v>
      </c>
      <c r="B439" s="14" t="s">
        <v>473</v>
      </c>
      <c r="C439" s="21"/>
      <c r="D439" s="21" t="s">
        <v>17</v>
      </c>
      <c r="E439" s="21"/>
      <c r="F439" s="21">
        <f>(0)</f>
      </c>
      <c r="G439" s="21">
        <f>(C439 * E439 + C439 * E439 * F439)</f>
      </c>
    </row>
    <row r="440">
      <c r="A440" s="4" t="s">
        <v>474</v>
      </c>
      <c r="B440" s="14" t="s">
        <v>475</v>
      </c>
      <c r="C440" s="21"/>
      <c r="D440" s="21" t="s">
        <v>17</v>
      </c>
      <c r="E440" s="21"/>
      <c r="F440" s="21">
        <f>(0)</f>
      </c>
      <c r="G440" s="21">
        <f>(C440 * E440 + C440 * E440 * F440)</f>
      </c>
    </row>
    <row r="441">
      <c r="A441" s="4" t="s">
        <v>476</v>
      </c>
      <c r="B441" s="14" t="s">
        <v>477</v>
      </c>
      <c r="C441" s="21"/>
      <c r="D441" s="21" t="s">
        <v>17</v>
      </c>
      <c r="E441" s="21"/>
      <c r="F441" s="21">
        <f>(0)</f>
      </c>
      <c r="G441" s="21">
        <f>(C441 * E441 + C441 * E441 * F441)</f>
      </c>
    </row>
    <row r="442">
      <c r="A442" s="4" t="s">
        <v>478</v>
      </c>
      <c r="B442" s="14" t="s">
        <v>479</v>
      </c>
      <c r="C442" s="21"/>
      <c r="D442" s="21" t="s">
        <v>17</v>
      </c>
      <c r="E442" s="21"/>
      <c r="F442" s="21">
        <f>(0)</f>
      </c>
      <c r="G442" s="21">
        <f>(C442 * E442 + C442 * E442 * F442)</f>
      </c>
    </row>
    <row r="443">
      <c r="A443" s="4" t="s">
        <v>480</v>
      </c>
      <c r="B443" s="14" t="s">
        <v>194</v>
      </c>
      <c r="C443" s="21"/>
      <c r="D443" s="21" t="s">
        <v>17</v>
      </c>
      <c r="E443" s="21"/>
      <c r="F443" s="21">
        <f>(0)</f>
      </c>
      <c r="G443" s="21">
        <f>(C443 * E443 + C443 * E443 * F443)</f>
      </c>
    </row>
    <row r="444">
      <c r="A444" s="3"/>
      <c r="B444" s="11" t="s">
        <v>42</v>
      </c>
      <c r="C444" s="20"/>
      <c r="D444" s="20"/>
      <c r="E444" s="20"/>
      <c r="F444" s="20"/>
      <c r="G444" s="20"/>
    </row>
    <row r="445">
      <c r="A445" s="4" t="s">
        <v>481</v>
      </c>
      <c r="B445" s="12" t="s">
        <v>59</v>
      </c>
      <c r="C445" s="21">
        <f>(1)*(1)*(1)*(1)*(1 + (0))</f>
      </c>
      <c r="D445" s="21" t="s">
        <v>45</v>
      </c>
      <c r="E445" s="21"/>
      <c r="F445" s="21">
        <f>(0)</f>
      </c>
      <c r="G445" s="21">
        <f>(C445 * E445 + C445 * E445 * F445)</f>
      </c>
    </row>
    <row r="446">
      <c r="A446" s="4" t="s">
        <v>482</v>
      </c>
      <c r="B446" s="12" t="s">
        <v>61</v>
      </c>
      <c r="C446" s="21">
        <f>(1)*(1)*(1)*(1)*(1 + (0))</f>
      </c>
      <c r="D446" s="21" t="s">
        <v>45</v>
      </c>
      <c r="E446" s="21"/>
      <c r="F446" s="21">
        <f>(0)</f>
      </c>
      <c r="G446" s="21">
        <f>(C446 * E446 + C446 * E446 * F446)</f>
      </c>
    </row>
    <row r="447">
      <c r="A447" s="4" t="s">
        <v>483</v>
      </c>
      <c r="B447" s="12" t="s">
        <v>484</v>
      </c>
      <c r="C447" s="21">
        <f>(1)*(1)*(1)*(1)*(1 + (0))</f>
      </c>
      <c r="D447" s="21" t="s">
        <v>45</v>
      </c>
      <c r="E447" s="21"/>
      <c r="F447" s="21">
        <f>(0)</f>
      </c>
      <c r="G447" s="21">
        <f>(C447 * E447 + C447 * E447 * F447)</f>
      </c>
    </row>
    <row r="448">
      <c r="A448" s="4" t="s">
        <v>485</v>
      </c>
      <c r="B448" s="12" t="s">
        <v>486</v>
      </c>
      <c r="C448" s="21">
        <f>(1)*(1)*(1)*(1)*(1 + (0))</f>
      </c>
      <c r="D448" s="21" t="s">
        <v>45</v>
      </c>
      <c r="E448" s="21"/>
      <c r="F448" s="21">
        <f>(0)</f>
      </c>
      <c r="G448" s="21">
        <f>(C448 * E448 + C448 * E448 * F448)</f>
      </c>
    </row>
    <row r="449">
      <c r="A449" s="4" t="s">
        <v>487</v>
      </c>
      <c r="B449" s="12" t="s">
        <v>488</v>
      </c>
      <c r="C449" s="21">
        <f>(1)*(1)*(1)*(1)*(1 + (0))</f>
      </c>
      <c r="D449" s="21" t="s">
        <v>45</v>
      </c>
      <c r="E449" s="21"/>
      <c r="F449" s="21">
        <f>(0)</f>
      </c>
      <c r="G449" s="21">
        <f>(C449 * E449 + C449 * E449 * F449)</f>
      </c>
    </row>
    <row r="450">
      <c r="A450" s="4" t="s">
        <v>489</v>
      </c>
      <c r="B450" s="12" t="s">
        <v>490</v>
      </c>
      <c r="C450" s="21">
        <f>(1)*(1)*(1)*(1)*(1 + (0))</f>
      </c>
      <c r="D450" s="21" t="s">
        <v>45</v>
      </c>
      <c r="E450" s="21"/>
      <c r="F450" s="21">
        <f>(0)</f>
      </c>
      <c r="G450" s="21">
        <f>(C450 * E450 + C450 * E450 * F450)</f>
      </c>
    </row>
    <row r="451">
      <c r="A451" s="3"/>
      <c r="B451" s="11" t="s">
        <v>82</v>
      </c>
      <c r="C451" s="20"/>
      <c r="D451" s="20"/>
      <c r="E451" s="20"/>
      <c r="F451" s="20"/>
      <c r="G451" s="20"/>
    </row>
    <row r="452">
      <c r="A452" s="4"/>
      <c r="B452" s="12" t="s">
        <v>491</v>
      </c>
      <c r="C452" s="21"/>
      <c r="D452" s="21" t="s">
        <v>264</v>
      </c>
      <c r="E452" s="21"/>
      <c r="F452" s="21">
        <f>(0)</f>
      </c>
      <c r="G452" s="21">
        <f>(C452 * E452 + C452 * E452 * F452)</f>
      </c>
    </row>
    <row r="453">
      <c r="A453" s="4"/>
      <c r="B453" s="12" t="s">
        <v>492</v>
      </c>
      <c r="C453" s="21"/>
      <c r="D453" s="21" t="s">
        <v>17</v>
      </c>
      <c r="E453" s="21"/>
      <c r="F453" s="21">
        <f>(0)</f>
      </c>
      <c r="G453" s="21">
        <f>(C453 * E453 + C453 * E453 * F453)</f>
      </c>
    </row>
    <row r="454">
      <c r="A454" s="3"/>
      <c r="B454" s="11" t="s">
        <v>493</v>
      </c>
      <c r="C454" s="20"/>
      <c r="D454" s="20"/>
      <c r="E454" s="20"/>
      <c r="F454" s="20"/>
      <c r="G454" s="20"/>
    </row>
    <row r="455">
      <c r="A455" s="4"/>
      <c r="B455" s="12" t="s">
        <v>494</v>
      </c>
      <c r="C455" s="21">
        <f>(159.29)*(1)*(1)*(1)*(1 + (0))</f>
      </c>
      <c r="D455" s="21" t="s">
        <v>495</v>
      </c>
      <c r="E455" s="21"/>
      <c r="F455" s="21">
        <f>(0)</f>
      </c>
      <c r="G455" s="21">
        <f>(C455 * E455 + C455 * E455 * F455)</f>
      </c>
    </row>
    <row r="456">
      <c r="A456" s="4"/>
      <c r="B456" s="12" t="s">
        <v>496</v>
      </c>
      <c r="C456" s="21">
        <f>(1.92)*(1)*(1)*(1)*(1 + (0))</f>
      </c>
      <c r="D456" s="21" t="s">
        <v>495</v>
      </c>
      <c r="E456" s="21"/>
      <c r="F456" s="21">
        <f>(0)</f>
      </c>
      <c r="G456" s="21">
        <f>(C456 * E456 + C456 * E456 * F456)</f>
      </c>
    </row>
    <row r="457">
      <c r="A457" s="4"/>
      <c r="B457" s="12" t="s">
        <v>497</v>
      </c>
      <c r="C457" s="21">
        <f>(19)*(1)*(1)*(1)*(1 + (0))</f>
      </c>
      <c r="D457" s="21" t="s">
        <v>9</v>
      </c>
      <c r="E457" s="21"/>
      <c r="F457" s="21">
        <f>(0)</f>
      </c>
      <c r="G457" s="21">
        <f>(C457 * E457 + C457 * E457 * F457)</f>
      </c>
    </row>
    <row r="458">
      <c r="A458" s="4"/>
      <c r="B458" s="12" t="s">
        <v>498</v>
      </c>
      <c r="C458" s="21">
        <f>(25)*(1)*(1)*(1)*(1 + (0))</f>
      </c>
      <c r="D458" s="21" t="s">
        <v>9</v>
      </c>
      <c r="E458" s="21"/>
      <c r="F458" s="21">
        <f>(0)</f>
      </c>
      <c r="G458" s="21">
        <f>(C458 * E458 + C458 * E458 * F458)</f>
      </c>
    </row>
    <row r="459">
      <c r="A459" s="4"/>
      <c r="B459" s="12" t="s">
        <v>499</v>
      </c>
      <c r="C459" s="21">
        <f>(579)*(1)*(1)*(1)*(1 + (0))</f>
      </c>
      <c r="D459" s="21" t="s">
        <v>9</v>
      </c>
      <c r="E459" s="21"/>
      <c r="F459" s="21">
        <f>(0)</f>
      </c>
      <c r="G459" s="21">
        <f>(C459 * E459 + C459 * E459 * F459)</f>
      </c>
    </row>
    <row r="460">
      <c r="A460" s="4"/>
      <c r="B460" s="12" t="s">
        <v>500</v>
      </c>
      <c r="C460" s="21">
        <f>(1631)*(1)*(1)*(1)*(1 + (0))</f>
      </c>
      <c r="D460" s="21" t="s">
        <v>9</v>
      </c>
      <c r="E460" s="21"/>
      <c r="F460" s="21">
        <f>(0)</f>
      </c>
      <c r="G460" s="21">
        <f>(C460 * E460 + C460 * E460 * F460)</f>
      </c>
    </row>
    <row r="461">
      <c r="A461" s="3"/>
      <c r="B461" s="11" t="s">
        <v>501</v>
      </c>
      <c r="C461" s="20"/>
      <c r="D461" s="20"/>
      <c r="E461" s="20"/>
      <c r="F461" s="20"/>
      <c r="G461" s="20"/>
    </row>
    <row r="462">
      <c r="A462" s="5"/>
      <c r="B462" s="13" t="s">
        <v>433</v>
      </c>
      <c r="C462" s="22"/>
      <c r="D462" s="22"/>
      <c r="E462" s="22"/>
      <c r="F462" s="22"/>
      <c r="G462" s="22"/>
    </row>
    <row r="463">
      <c r="A463" s="6"/>
      <c r="B463" s="15" t="s">
        <v>270</v>
      </c>
      <c r="C463" s="23"/>
      <c r="D463" s="23"/>
      <c r="E463" s="23"/>
      <c r="F463" s="23"/>
      <c r="G463" s="23"/>
    </row>
    <row r="464">
      <c r="A464" s="4"/>
      <c r="B464" s="16" t="s">
        <v>502</v>
      </c>
      <c r="C464" s="21">
        <f>(0.71192)*(1)*(1)*(1)*(1 + (0))</f>
      </c>
      <c r="D464" s="21" t="s">
        <v>495</v>
      </c>
      <c r="E464" s="21"/>
      <c r="F464" s="21">
        <f>(0)</f>
      </c>
      <c r="G464" s="21">
        <f>(C464 * E464 + C464 * E464 * F464)</f>
      </c>
    </row>
    <row r="465">
      <c r="A465" s="4"/>
      <c r="B465" s="16" t="s">
        <v>503</v>
      </c>
      <c r="C465" s="21">
        <f>(0.71192)*(1)*(1)*(1)*(1 + (0))</f>
      </c>
      <c r="D465" s="21" t="s">
        <v>495</v>
      </c>
      <c r="E465" s="21"/>
      <c r="F465" s="21">
        <f>(0)</f>
      </c>
      <c r="G465" s="21">
        <f>(C465 * E465 + C465 * E465 * F465)</f>
      </c>
    </row>
    <row r="466">
      <c r="A466" s="4"/>
      <c r="B466" s="16" t="s">
        <v>504</v>
      </c>
      <c r="C466" s="21">
        <f>(2.13576)*(1)*(1)*(1)*(1 + (0))</f>
      </c>
      <c r="D466" s="21" t="s">
        <v>495</v>
      </c>
      <c r="E466" s="21"/>
      <c r="F466" s="21">
        <f>(0)</f>
      </c>
      <c r="G466" s="21">
        <f>(C466 * E466 + C466 * E466 * F466)</f>
      </c>
    </row>
    <row r="467">
      <c r="A467" s="5"/>
      <c r="B467" s="13" t="s">
        <v>437</v>
      </c>
      <c r="C467" s="22"/>
      <c r="D467" s="22"/>
      <c r="E467" s="22"/>
      <c r="F467" s="22"/>
      <c r="G467" s="22"/>
    </row>
    <row r="468">
      <c r="A468" s="6"/>
      <c r="B468" s="15" t="s">
        <v>270</v>
      </c>
      <c r="C468" s="23"/>
      <c r="D468" s="23"/>
      <c r="E468" s="23"/>
      <c r="F468" s="23"/>
      <c r="G468" s="23"/>
    </row>
    <row r="469">
      <c r="A469" s="4"/>
      <c r="B469" s="16" t="s">
        <v>505</v>
      </c>
      <c r="C469" s="21">
        <f>(1.92133096)*(1)*(1)*(1)*(1 + (0))</f>
      </c>
      <c r="D469" s="21" t="s">
        <v>495</v>
      </c>
      <c r="E469" s="21"/>
      <c r="F469" s="21">
        <f>(0)</f>
      </c>
      <c r="G469" s="21">
        <f>(C469 * E469 + C469 * E469 * F469)</f>
      </c>
    </row>
    <row r="470">
      <c r="A470" s="4"/>
      <c r="B470" s="16" t="s">
        <v>506</v>
      </c>
      <c r="C470" s="21">
        <f>(2.01334256)*(1)*(1)*(1)*(1 + (0))</f>
      </c>
      <c r="D470" s="21" t="s">
        <v>495</v>
      </c>
      <c r="E470" s="21"/>
      <c r="F470" s="21">
        <f>(0)</f>
      </c>
      <c r="G470" s="21">
        <f>(C470 * E470 + C470 * E470 * F470)</f>
      </c>
    </row>
    <row r="471">
      <c r="A471" s="4"/>
      <c r="B471" s="16" t="s">
        <v>507</v>
      </c>
      <c r="C471" s="21">
        <f>(3.3173336)*(1)*(1)*(1)*(1 + (0))</f>
      </c>
      <c r="D471" s="21" t="s">
        <v>495</v>
      </c>
      <c r="E471" s="21"/>
      <c r="F471" s="21">
        <f>(0)</f>
      </c>
      <c r="G471" s="21">
        <f>(C471 * E471 + C471 * E471 * F471)</f>
      </c>
    </row>
    <row r="472">
      <c r="A472" s="4"/>
      <c r="B472" s="16" t="s">
        <v>508</v>
      </c>
      <c r="C472" s="21">
        <f>(0.3728072)*(1)*(1)*(1)*(1 + (0))</f>
      </c>
      <c r="D472" s="21" t="s">
        <v>495</v>
      </c>
      <c r="E472" s="21"/>
      <c r="F472" s="21">
        <f>(0)</f>
      </c>
      <c r="G472" s="21">
        <f>(C472 * E472 + C472 * E472 * F472)</f>
      </c>
    </row>
    <row r="473">
      <c r="A473" s="4"/>
      <c r="B473" s="16" t="s">
        <v>509</v>
      </c>
      <c r="C473" s="21">
        <f>(0.12501424)*(1)*(1)*(1)*(1 + (0))</f>
      </c>
      <c r="D473" s="21" t="s">
        <v>495</v>
      </c>
      <c r="E473" s="21"/>
      <c r="F473" s="21">
        <f>(0)</f>
      </c>
      <c r="G473" s="21">
        <f>(C473 * E473 + C473 * E473 * F473)</f>
      </c>
    </row>
    <row r="474">
      <c r="A474" s="5"/>
      <c r="B474" s="13" t="s">
        <v>443</v>
      </c>
      <c r="C474" s="22"/>
      <c r="D474" s="22"/>
      <c r="E474" s="22"/>
      <c r="F474" s="22"/>
      <c r="G474" s="22"/>
    </row>
    <row r="475">
      <c r="A475" s="6"/>
      <c r="B475" s="15" t="s">
        <v>270</v>
      </c>
      <c r="C475" s="23"/>
      <c r="D475" s="23"/>
      <c r="E475" s="23"/>
      <c r="F475" s="23"/>
      <c r="G475" s="23"/>
    </row>
    <row r="476">
      <c r="A476" s="4"/>
      <c r="B476" s="16" t="s">
        <v>510</v>
      </c>
      <c r="C476" s="21">
        <f>(0.41341573)*(1)*(1)*(1)*(1 + (0))</f>
      </c>
      <c r="D476" s="21" t="s">
        <v>495</v>
      </c>
      <c r="E476" s="21"/>
      <c r="F476" s="21">
        <f>(0)</f>
      </c>
      <c r="G476" s="21">
        <f>(C476 * E476 + C476 * E476 * F476)</f>
      </c>
    </row>
    <row r="477">
      <c r="A477" s="4"/>
      <c r="B477" s="16" t="s">
        <v>511</v>
      </c>
      <c r="C477" s="21">
        <f>(0.19966856)*(1)*(1)*(1)*(1 + (0))</f>
      </c>
      <c r="D477" s="21" t="s">
        <v>495</v>
      </c>
      <c r="E477" s="21"/>
      <c r="F477" s="21">
        <f>(0)</f>
      </c>
      <c r="G477" s="21">
        <f>(C477 * E477 + C477 * E477 * F477)</f>
      </c>
    </row>
    <row r="478">
      <c r="A478" s="4"/>
      <c r="B478" s="16" t="s">
        <v>512</v>
      </c>
      <c r="C478" s="21">
        <f>(0.18879952)*(1)*(1)*(1)*(1 + (0))</f>
      </c>
      <c r="D478" s="21" t="s">
        <v>495</v>
      </c>
      <c r="E478" s="21"/>
      <c r="F478" s="21">
        <f>(0)</f>
      </c>
      <c r="G478" s="21">
        <f>(C478 * E478 + C478 * E478 * F478)</f>
      </c>
    </row>
    <row r="479">
      <c r="A479" s="4"/>
      <c r="B479" s="16" t="s">
        <v>513</v>
      </c>
      <c r="C479" s="21">
        <f>(0.26172354)*(1)*(1)*(1)*(1 + (0))</f>
      </c>
      <c r="D479" s="21" t="s">
        <v>495</v>
      </c>
      <c r="E479" s="21"/>
      <c r="F479" s="21">
        <f>(0)</f>
      </c>
      <c r="G479" s="21">
        <f>(C479 * E479 + C479 * E479 * F479)</f>
      </c>
    </row>
    <row r="480">
      <c r="A480" s="4"/>
      <c r="B480" s="16" t="s">
        <v>514</v>
      </c>
      <c r="C480" s="21">
        <f>(0.146551)*(1)*(1)*(1)*(1 + (0))</f>
      </c>
      <c r="D480" s="21" t="s">
        <v>495</v>
      </c>
      <c r="E480" s="21"/>
      <c r="F480" s="21">
        <f>(0)</f>
      </c>
      <c r="G480" s="21">
        <f>(C480 * E480 + C480 * E480 * F480)</f>
      </c>
    </row>
    <row r="481">
      <c r="A481" s="4"/>
      <c r="B481" s="16" t="s">
        <v>515</v>
      </c>
      <c r="C481" s="21">
        <f>(1.316675006)*(1)*(1)*(1)*(1 + (0))</f>
      </c>
      <c r="D481" s="21" t="s">
        <v>495</v>
      </c>
      <c r="E481" s="21"/>
      <c r="F481" s="21">
        <f>(0)</f>
      </c>
      <c r="G481" s="21">
        <f>(C481 * E481 + C481 * E481 * F481)</f>
      </c>
    </row>
    <row r="482">
      <c r="A482" s="4"/>
      <c r="B482" s="16" t="s">
        <v>516</v>
      </c>
      <c r="C482" s="21">
        <f>(1.711546288)*(1)*(1)*(1)*(1 + (0))</f>
      </c>
      <c r="D482" s="21" t="s">
        <v>495</v>
      </c>
      <c r="E482" s="21"/>
      <c r="F482" s="21">
        <f>(0)</f>
      </c>
      <c r="G482" s="21">
        <f>(C482 * E482 + C482 * E482 * F482)</f>
      </c>
    </row>
    <row r="483">
      <c r="A483" s="4"/>
      <c r="B483" s="16" t="s">
        <v>517</v>
      </c>
      <c r="C483" s="21">
        <f>(1.635914496)*(1)*(1)*(1)*(1 + (0))</f>
      </c>
      <c r="D483" s="21" t="s">
        <v>495</v>
      </c>
      <c r="E483" s="21"/>
      <c r="F483" s="21">
        <f>(0)</f>
      </c>
      <c r="G483" s="21">
        <f>(C483 * E483 + C483 * E483 * F483)</f>
      </c>
    </row>
    <row r="484">
      <c r="A484" s="4"/>
      <c r="B484" s="16" t="s">
        <v>518</v>
      </c>
      <c r="C484" s="21">
        <f>(0.198340912)*(1)*(1)*(1)*(1 + (0))</f>
      </c>
      <c r="D484" s="21" t="s">
        <v>495</v>
      </c>
      <c r="E484" s="21"/>
      <c r="F484" s="21">
        <f>(0)</f>
      </c>
      <c r="G484" s="21">
        <f>(C484 * E484 + C484 * E484 * F484)</f>
      </c>
    </row>
    <row r="485">
      <c r="A485" s="4"/>
      <c r="B485" s="16" t="s">
        <v>519</v>
      </c>
      <c r="C485" s="21">
        <f>(0.216190688)*(1)*(1)*(1)*(1 + (0))</f>
      </c>
      <c r="D485" s="21" t="s">
        <v>495</v>
      </c>
      <c r="E485" s="21"/>
      <c r="F485" s="21">
        <f>(0)</f>
      </c>
      <c r="G485" s="21">
        <f>(C485 * E485 + C485 * E485 * F485)</f>
      </c>
    </row>
    <row r="486">
      <c r="A486" s="4"/>
      <c r="B486" s="16" t="s">
        <v>520</v>
      </c>
      <c r="C486" s="21">
        <f>(0.183348409122)*(1)*(1)*(1)*(1 + (0))</f>
      </c>
      <c r="D486" s="21" t="s">
        <v>495</v>
      </c>
      <c r="E486" s="21"/>
      <c r="F486" s="21">
        <f>(0)</f>
      </c>
      <c r="G486" s="21">
        <f>(C486 * E486 + C486 * E486 * F486)</f>
      </c>
    </row>
    <row r="487">
      <c r="A487" s="4"/>
      <c r="B487" s="16" t="s">
        <v>521</v>
      </c>
      <c r="C487" s="21">
        <f>(0.19654157465)*(1)*(1)*(1)*(1 + (0))</f>
      </c>
      <c r="D487" s="21" t="s">
        <v>495</v>
      </c>
      <c r="E487" s="21"/>
      <c r="F487" s="21">
        <f>(0)</f>
      </c>
      <c r="G487" s="21">
        <f>(C487 * E487 + C487 * E487 * F487)</f>
      </c>
    </row>
    <row r="488">
      <c r="A488" s="5"/>
      <c r="B488" s="13" t="s">
        <v>457</v>
      </c>
      <c r="C488" s="22"/>
      <c r="D488" s="22"/>
      <c r="E488" s="22"/>
      <c r="F488" s="22"/>
      <c r="G488" s="22"/>
    </row>
    <row r="489">
      <c r="A489" s="6"/>
      <c r="B489" s="15" t="s">
        <v>270</v>
      </c>
      <c r="C489" s="23"/>
      <c r="D489" s="23"/>
      <c r="E489" s="23"/>
      <c r="F489" s="23"/>
      <c r="G489" s="23"/>
    </row>
    <row r="490">
      <c r="A490" s="4"/>
      <c r="B490" s="16" t="s">
        <v>522</v>
      </c>
      <c r="C490" s="21">
        <f>(0.3436632)*(1)*(1)*(1)*(1 + (0))</f>
      </c>
      <c r="D490" s="21" t="s">
        <v>495</v>
      </c>
      <c r="E490" s="21"/>
      <c r="F490" s="21">
        <f>(0)</f>
      </c>
      <c r="G490" s="21">
        <f>(C490 * E490 + C490 * E490 * F490)</f>
      </c>
    </row>
    <row r="491">
      <c r="A491" s="5"/>
      <c r="B491" s="13" t="s">
        <v>460</v>
      </c>
      <c r="C491" s="22"/>
      <c r="D491" s="22"/>
      <c r="E491" s="22"/>
      <c r="F491" s="22"/>
      <c r="G491" s="22"/>
    </row>
    <row r="492">
      <c r="A492" s="6"/>
      <c r="B492" s="15" t="s">
        <v>297</v>
      </c>
      <c r="C492" s="23"/>
      <c r="D492" s="23"/>
      <c r="E492" s="23"/>
      <c r="F492" s="23"/>
      <c r="G492" s="23"/>
    </row>
    <row r="493">
      <c r="A493" s="4"/>
      <c r="B493" s="16" t="s">
        <v>523</v>
      </c>
      <c r="C493" s="21">
        <f>(105.814386236516)*(1)*(1)*(1)*(1 + (0))</f>
      </c>
      <c r="D493" s="21" t="s">
        <v>495</v>
      </c>
      <c r="E493" s="21"/>
      <c r="F493" s="21">
        <f>(0)</f>
      </c>
      <c r="G493" s="21">
        <f>(C493 * E493 + C493 * E493 * F493)</f>
      </c>
    </row>
    <row r="494">
      <c r="A494" s="4"/>
      <c r="B494" s="16" t="s">
        <v>524</v>
      </c>
      <c r="C494" s="21">
        <f>(1.3099328)*(1)*(1)*(1)*(1 + (0))</f>
      </c>
      <c r="D494" s="21" t="s">
        <v>495</v>
      </c>
      <c r="E494" s="21"/>
      <c r="F494" s="21">
        <f>(0)</f>
      </c>
      <c r="G494" s="21">
        <f>(C494 * E494 + C494 * E494 * F494)</f>
      </c>
    </row>
    <row r="495">
      <c r="A495" s="4"/>
      <c r="B495" s="16" t="s">
        <v>525</v>
      </c>
      <c r="C495" s="21">
        <f>(0.0123888)*(1)*(1)*(1)*(1 + (0))</f>
      </c>
      <c r="D495" s="21" t="s">
        <v>495</v>
      </c>
      <c r="E495" s="21"/>
      <c r="F495" s="21">
        <f>(0)</f>
      </c>
      <c r="G495" s="21">
        <f>(C495 * E495 + C495 * E495 * F495)</f>
      </c>
    </row>
    <row r="496">
      <c r="A496" s="4"/>
      <c r="B496" s="16" t="s">
        <v>526</v>
      </c>
      <c r="C496" s="21">
        <f>(1.152333)*(1)*(1)*(1)*(1 + (0))</f>
      </c>
      <c r="D496" s="21" t="s">
        <v>495</v>
      </c>
      <c r="E496" s="21"/>
      <c r="F496" s="21">
        <f>(0)</f>
      </c>
      <c r="G496" s="21">
        <f>(C496 * E496 + C496 * E496 * F496)</f>
      </c>
    </row>
    <row r="497">
      <c r="A497" s="4"/>
      <c r="B497" s="16" t="s">
        <v>527</v>
      </c>
      <c r="C497" s="21">
        <f>(0.15432872)*(1)*(1)*(1)*(1 + (0))</f>
      </c>
      <c r="D497" s="21" t="s">
        <v>495</v>
      </c>
      <c r="E497" s="21"/>
      <c r="F497" s="21">
        <f>(0)</f>
      </c>
      <c r="G497" s="21">
        <f>(C497 * E497 + C497 * E497 * F497)</f>
      </c>
    </row>
    <row r="498">
      <c r="A498" s="5"/>
      <c r="B498" s="13" t="s">
        <v>409</v>
      </c>
      <c r="C498" s="22"/>
      <c r="D498" s="22"/>
      <c r="E498" s="22"/>
      <c r="F498" s="22"/>
      <c r="G498" s="22"/>
    </row>
    <row r="499">
      <c r="A499" s="6"/>
      <c r="B499" s="15" t="s">
        <v>297</v>
      </c>
      <c r="C499" s="23"/>
      <c r="D499" s="23"/>
      <c r="E499" s="23"/>
      <c r="F499" s="23"/>
      <c r="G499" s="23"/>
    </row>
    <row r="500">
      <c r="A500" s="4"/>
      <c r="B500" s="16" t="s">
        <v>528</v>
      </c>
      <c r="C500" s="21">
        <f>(0.498901176)*(1)*(1)*(1)*(1 + (0))</f>
      </c>
      <c r="D500" s="21" t="s">
        <v>495</v>
      </c>
      <c r="E500" s="21"/>
      <c r="F500" s="21">
        <f>(0)</f>
      </c>
      <c r="G500" s="21">
        <f>(C500 * E500 + C500 * E500 * F500)</f>
      </c>
    </row>
    <row r="501">
      <c r="A501" s="4"/>
      <c r="B501" s="16" t="s">
        <v>529</v>
      </c>
      <c r="C501" s="21">
        <f>(1.75894994)*(1)*(1)*(1)*(1 + (0))</f>
      </c>
      <c r="D501" s="21" t="s">
        <v>495</v>
      </c>
      <c r="E501" s="21"/>
      <c r="F501" s="21">
        <f>(0)</f>
      </c>
      <c r="G501" s="21">
        <f>(C501 * E501 + C501 * E501 * F501)</f>
      </c>
    </row>
    <row r="502">
      <c r="A502" s="5"/>
      <c r="B502" s="13" t="s">
        <v>406</v>
      </c>
      <c r="C502" s="22"/>
      <c r="D502" s="22"/>
      <c r="E502" s="22"/>
      <c r="F502" s="22"/>
      <c r="G502" s="22"/>
    </row>
    <row r="503">
      <c r="A503" s="6"/>
      <c r="B503" s="15" t="s">
        <v>297</v>
      </c>
      <c r="C503" s="23"/>
      <c r="D503" s="23"/>
      <c r="E503" s="23"/>
      <c r="F503" s="23"/>
      <c r="G503" s="23"/>
    </row>
    <row r="504">
      <c r="A504" s="4"/>
      <c r="B504" s="16" t="s">
        <v>530</v>
      </c>
      <c r="C504" s="21">
        <f>(0.571231880812)*(1)*(1)*(1)*(1 + (0))</f>
      </c>
      <c r="D504" s="21" t="s">
        <v>495</v>
      </c>
      <c r="E504" s="21"/>
      <c r="F504" s="21">
        <f>(0)</f>
      </c>
      <c r="G504" s="21">
        <f>(C504 * E504 + C504 * E504 * F504)</f>
      </c>
    </row>
    <row r="505">
      <c r="A505" s="6"/>
      <c r="B505" s="15" t="s">
        <v>318</v>
      </c>
      <c r="C505" s="23"/>
      <c r="D505" s="23"/>
      <c r="E505" s="23"/>
      <c r="F505" s="23"/>
      <c r="G505" s="23"/>
    </row>
    <row r="506">
      <c r="A506" s="4"/>
      <c r="B506" s="16" t="s">
        <v>530</v>
      </c>
      <c r="C506" s="21">
        <f>(26.134494669512)*(1)*(1)*(1)*(1 + (0))</f>
      </c>
      <c r="D506" s="21" t="s">
        <v>495</v>
      </c>
      <c r="E506" s="21"/>
      <c r="F506" s="21">
        <f>(0)</f>
      </c>
      <c r="G506" s="21">
        <f>(C506 * E506 + C506 * E506 * F506)</f>
      </c>
    </row>
    <row r="507">
      <c r="A507" s="4"/>
      <c r="B507" s="16" t="s">
        <v>531</v>
      </c>
      <c r="C507" s="21">
        <f>(0.6400576)*(1)*(1)*(1)*(1 + (0))</f>
      </c>
      <c r="D507" s="21" t="s">
        <v>495</v>
      </c>
      <c r="E507" s="21"/>
      <c r="F507" s="21">
        <f>(0)</f>
      </c>
      <c r="G507" s="21">
        <f>(C507 * E507 + C507 * E507 * F507)</f>
      </c>
    </row>
    <row r="508">
      <c r="A508" s="4"/>
      <c r="B508" s="16" t="s">
        <v>532</v>
      </c>
      <c r="C508" s="21">
        <f>(0.2020864)*(1)*(1)*(1)*(1 + (0))</f>
      </c>
      <c r="D508" s="21" t="s">
        <v>495</v>
      </c>
      <c r="E508" s="21"/>
      <c r="F508" s="21">
        <f>(0)</f>
      </c>
      <c r="G508" s="21">
        <f>(C508 * E508 + C508 * E508 * F508)</f>
      </c>
    </row>
    <row r="509">
      <c r="A509" s="5"/>
      <c r="B509" s="13" t="s">
        <v>417</v>
      </c>
      <c r="C509" s="22"/>
      <c r="D509" s="22"/>
      <c r="E509" s="22"/>
      <c r="F509" s="22"/>
      <c r="G509" s="22"/>
    </row>
    <row r="510">
      <c r="A510" s="6"/>
      <c r="B510" s="15" t="s">
        <v>325</v>
      </c>
      <c r="C510" s="23"/>
      <c r="D510" s="23"/>
      <c r="E510" s="23"/>
      <c r="F510" s="23"/>
      <c r="G510" s="23"/>
    </row>
    <row r="511">
      <c r="A511" s="4"/>
      <c r="B511" s="16" t="s">
        <v>533</v>
      </c>
      <c r="C511" s="21">
        <f>(0.0071192)*(1)*(1)*(1)*(1 + (0))</f>
      </c>
      <c r="D511" s="21" t="s">
        <v>495</v>
      </c>
      <c r="E511" s="21"/>
      <c r="F511" s="21">
        <f>(0)</f>
      </c>
      <c r="G511" s="21">
        <f>(C511 * E511 + C511 * E511 * F511)</f>
      </c>
    </row>
    <row r="512">
      <c r="A512" s="5"/>
      <c r="B512" s="13" t="s">
        <v>534</v>
      </c>
      <c r="C512" s="22"/>
      <c r="D512" s="22"/>
      <c r="E512" s="22"/>
      <c r="F512" s="22"/>
      <c r="G512" s="22"/>
    </row>
    <row r="513">
      <c r="A513" s="6"/>
      <c r="B513" s="15" t="s">
        <v>297</v>
      </c>
      <c r="C513" s="23"/>
      <c r="D513" s="23"/>
      <c r="E513" s="23"/>
      <c r="F513" s="23"/>
      <c r="G513" s="23"/>
    </row>
    <row r="514">
      <c r="A514" s="4"/>
      <c r="B514" s="16" t="s">
        <v>535</v>
      </c>
      <c r="C514" s="21">
        <f>(0.18745818)*(1)*(1)*(1)*(1 + (0))</f>
      </c>
      <c r="D514" s="21" t="s">
        <v>495</v>
      </c>
      <c r="E514" s="21"/>
      <c r="F514" s="21">
        <f>(0)</f>
      </c>
      <c r="G514" s="21">
        <f>(C514 * E514 + C514 * E514 * F514)</f>
      </c>
    </row>
    <row r="515">
      <c r="A515" s="4"/>
      <c r="B515" s="16" t="s">
        <v>536</v>
      </c>
      <c r="C515" s="21">
        <f>(0.27962935)*(1)*(1)*(1)*(1 + (0))</f>
      </c>
      <c r="D515" s="21" t="s">
        <v>495</v>
      </c>
      <c r="E515" s="21"/>
      <c r="F515" s="21">
        <f>(0)</f>
      </c>
      <c r="G515" s="21">
        <f>(C515 * E515 + C515 * E515 * F515)</f>
      </c>
    </row>
    <row r="516">
      <c r="A516" s="4"/>
      <c r="B516" s="16" t="s">
        <v>537</v>
      </c>
      <c r="C516" s="21">
        <f>(0.4853121)*(1)*(1)*(1)*(1 + (0))</f>
      </c>
      <c r="D516" s="21" t="s">
        <v>495</v>
      </c>
      <c r="E516" s="21"/>
      <c r="F516" s="21">
        <f>(0)</f>
      </c>
      <c r="G516" s="21">
        <f>(C516 * E516 + C516 * E516 * F516)</f>
      </c>
    </row>
    <row r="517">
      <c r="A517" s="6"/>
      <c r="B517" s="15" t="s">
        <v>318</v>
      </c>
      <c r="C517" s="23"/>
      <c r="D517" s="23"/>
      <c r="E517" s="23"/>
      <c r="F517" s="23"/>
      <c r="G517" s="23"/>
    </row>
    <row r="518">
      <c r="A518" s="4"/>
      <c r="B518" s="16" t="s">
        <v>538</v>
      </c>
      <c r="C518" s="21">
        <f>(0.04690049)*(1)*(1)*(1)*(1 + (0))</f>
      </c>
      <c r="D518" s="21" t="s">
        <v>495</v>
      </c>
      <c r="E518" s="21"/>
      <c r="F518" s="21">
        <f>(0)</f>
      </c>
      <c r="G518" s="21">
        <f>(C518 * E518 + C518 * E518 * F518)</f>
      </c>
    </row>
    <row r="519">
      <c r="A519" s="4"/>
      <c r="B519" s="16" t="s">
        <v>539</v>
      </c>
      <c r="C519" s="21">
        <f>(0.36540544)*(1)*(1)*(1)*(1 + (0))</f>
      </c>
      <c r="D519" s="21" t="s">
        <v>495</v>
      </c>
      <c r="E519" s="21"/>
      <c r="F519" s="21">
        <f>(0)</f>
      </c>
      <c r="G519" s="21">
        <f>(C519 * E519 + C519 * E519 * F519)</f>
      </c>
    </row>
    <row r="520">
      <c r="A520" s="5"/>
      <c r="B520" s="13" t="s">
        <v>426</v>
      </c>
      <c r="C520" s="22"/>
      <c r="D520" s="22"/>
      <c r="E520" s="22"/>
      <c r="F520" s="22"/>
      <c r="G520" s="22"/>
    </row>
    <row r="521">
      <c r="A521" s="4"/>
      <c r="B521" s="14" t="s">
        <v>540</v>
      </c>
      <c r="C521" s="21">
        <f>(0.85791956296342)*(1)*(1)*(1)*(1 + (0))</f>
      </c>
      <c r="D521" s="21" t="s">
        <v>495</v>
      </c>
      <c r="E521" s="21"/>
      <c r="F521" s="21">
        <f>(0)</f>
      </c>
      <c r="G521" s="21">
        <f>(C521 * E521 + C521 * E521 * F521)</f>
      </c>
    </row>
    <row r="522">
      <c r="A522" s="4"/>
      <c r="B522" s="14" t="s">
        <v>541</v>
      </c>
      <c r="C522" s="21">
        <f>(0.484732076790454)*(1)*(1)*(1)*(1 + (0))</f>
      </c>
      <c r="D522" s="21" t="s">
        <v>495</v>
      </c>
      <c r="E522" s="21"/>
      <c r="F522" s="21">
        <f>(0)</f>
      </c>
      <c r="G522" s="21">
        <f>(C522 * E522 + C522 * E522 * F522)</f>
      </c>
    </row>
    <row r="523">
      <c r="A523" s="3"/>
      <c r="B523" s="11" t="s">
        <v>542</v>
      </c>
      <c r="C523" s="20"/>
      <c r="D523" s="20"/>
      <c r="E523" s="20"/>
      <c r="F523" s="20"/>
      <c r="G523" s="20"/>
    </row>
    <row r="524">
      <c r="A524" s="5"/>
      <c r="B524" s="13" t="s">
        <v>426</v>
      </c>
      <c r="C524" s="22"/>
      <c r="D524" s="22"/>
      <c r="E524" s="22"/>
      <c r="F524" s="22"/>
      <c r="G524" s="22"/>
    </row>
    <row r="525">
      <c r="A525" s="4"/>
      <c r="B525" s="14" t="s">
        <v>543</v>
      </c>
      <c r="C525" s="21">
        <f>(0.304212902852859)*(1)*(1)*(1)*(1 + (0))</f>
      </c>
      <c r="D525" s="21" t="s">
        <v>495</v>
      </c>
      <c r="E525" s="21"/>
      <c r="F525" s="21">
        <f>(0)</f>
      </c>
      <c r="G525" s="21">
        <f>(C525 * E525 + C525 * E525 * F525)</f>
      </c>
    </row>
    <row r="526">
      <c r="A526" s="4"/>
      <c r="B526" s="14" t="s">
        <v>544</v>
      </c>
      <c r="C526" s="21">
        <f>(0.868208819808818)*(1)*(1)*(1)*(1 + (0))</f>
      </c>
      <c r="D526" s="21" t="s">
        <v>495</v>
      </c>
      <c r="E526" s="21"/>
      <c r="F526" s="21">
        <f>(0)</f>
      </c>
      <c r="G526" s="21">
        <f>(C526 * E526 + C526 * E526 * F526)</f>
      </c>
    </row>
    <row r="527">
      <c r="A527" s="4"/>
      <c r="B527" s="14" t="s">
        <v>545</v>
      </c>
      <c r="C527" s="21">
        <f>(0.396527897061802)*(1)*(1)*(1)*(1 + (0))</f>
      </c>
      <c r="D527" s="21" t="s">
        <v>495</v>
      </c>
      <c r="E527" s="21"/>
      <c r="F527" s="21">
        <f>(0)</f>
      </c>
      <c r="G527" s="21">
        <f>(C527 * E527 + C527 * E527 * F527)</f>
      </c>
    </row>
    <row r="528">
      <c r="A528" s="4"/>
      <c r="B528" s="14" t="s">
        <v>546</v>
      </c>
      <c r="C528" s="21">
        <f>(0.346011532174492)*(1)*(1)*(1)*(1 + (0))</f>
      </c>
      <c r="D528" s="21" t="s">
        <v>495</v>
      </c>
      <c r="E528" s="21"/>
      <c r="F528" s="21">
        <f>(0)</f>
      </c>
      <c r="G528" s="21">
        <f>(C528 * E528 + C528 * E528 * F528)</f>
      </c>
    </row>
    <row r="529">
      <c r="A529" s="3"/>
      <c r="B529" s="11" t="s">
        <v>547</v>
      </c>
      <c r="C529" s="20"/>
      <c r="D529" s="20"/>
      <c r="E529" s="20"/>
      <c r="F529" s="20"/>
      <c r="G529" s="20"/>
    </row>
    <row r="530">
      <c r="A530" s="5"/>
      <c r="B530" s="13" t="s">
        <v>460</v>
      </c>
      <c r="C530" s="22"/>
      <c r="D530" s="22"/>
      <c r="E530" s="22"/>
      <c r="F530" s="22"/>
      <c r="G530" s="22"/>
    </row>
    <row r="531">
      <c r="A531" s="6"/>
      <c r="B531" s="15" t="s">
        <v>297</v>
      </c>
      <c r="C531" s="23"/>
      <c r="D531" s="23"/>
      <c r="E531" s="23"/>
      <c r="F531" s="23"/>
      <c r="G531" s="23"/>
    </row>
    <row r="532">
      <c r="A532" s="4"/>
      <c r="B532" s="16" t="s">
        <v>548</v>
      </c>
      <c r="C532" s="21">
        <f>(311)*(1)*(1)*(1)*(1 + (0))</f>
      </c>
      <c r="D532" s="21" t="s">
        <v>9</v>
      </c>
      <c r="E532" s="21"/>
      <c r="F532" s="21">
        <f>(0)</f>
      </c>
      <c r="G532" s="21">
        <f>(C532 * E532 + C532 * E532 * F532)</f>
      </c>
    </row>
    <row r="533">
      <c r="A533" s="4"/>
      <c r="B533" s="16" t="s">
        <v>549</v>
      </c>
      <c r="C533" s="21">
        <f>(972)*(1)*(1)*(1)*(1 + (0))</f>
      </c>
      <c r="D533" s="21" t="s">
        <v>9</v>
      </c>
      <c r="E533" s="21"/>
      <c r="F533" s="21">
        <f>(0)</f>
      </c>
      <c r="G533" s="21">
        <f>(C533 * E533 + C533 * E533 * F533)</f>
      </c>
    </row>
    <row r="534">
      <c r="A534" s="4"/>
      <c r="B534" s="16" t="s">
        <v>550</v>
      </c>
      <c r="C534" s="21">
        <f>(348)*(1)*(1)*(1)*(1 + (0))</f>
      </c>
      <c r="D534" s="21" t="s">
        <v>9</v>
      </c>
      <c r="E534" s="21"/>
      <c r="F534" s="21">
        <f>(0)</f>
      </c>
      <c r="G534" s="21">
        <f>(C534 * E534 + C534 * E534 * F534)</f>
      </c>
    </row>
    <row r="535">
      <c r="A535" s="4"/>
      <c r="B535" s="16" t="s">
        <v>551</v>
      </c>
      <c r="C535" s="21">
        <f>(498)*(1)*(1)*(1)*(1 + (0))</f>
      </c>
      <c r="D535" s="21" t="s">
        <v>9</v>
      </c>
      <c r="E535" s="21"/>
      <c r="F535" s="21">
        <f>(0)</f>
      </c>
      <c r="G535" s="21">
        <f>(C535 * E535 + C535 * E535 * F535)</f>
      </c>
    </row>
    <row r="536">
      <c r="A536" s="4"/>
      <c r="B536" s="16" t="s">
        <v>552</v>
      </c>
      <c r="C536" s="21">
        <f>(81)*(1)*(1)*(1)*(1 + (0))</f>
      </c>
      <c r="D536" s="21" t="s">
        <v>9</v>
      </c>
      <c r="E536" s="21"/>
      <c r="F536" s="21">
        <f>(0)</f>
      </c>
      <c r="G536" s="21">
        <f>(C536 * E536 + C536 * E536 * F536)</f>
      </c>
    </row>
    <row r="537">
      <c r="A537" s="4"/>
      <c r="B537" s="16" t="s">
        <v>553</v>
      </c>
      <c r="C537" s="21">
        <f>(19)*(1)*(1)*(1)*(1 + (0))</f>
      </c>
      <c r="D537" s="21" t="s">
        <v>167</v>
      </c>
      <c r="E537" s="21"/>
      <c r="F537" s="21">
        <f>(0)</f>
      </c>
      <c r="G537" s="21">
        <f>(C537 * E537 + C537 * E537 * F537)</f>
      </c>
    </row>
    <row r="538">
      <c r="A538" s="5"/>
      <c r="B538" s="13" t="s">
        <v>406</v>
      </c>
      <c r="C538" s="22"/>
      <c r="D538" s="22"/>
      <c r="E538" s="22"/>
      <c r="F538" s="22"/>
      <c r="G538" s="22"/>
    </row>
    <row r="539">
      <c r="A539" s="6"/>
      <c r="B539" s="15" t="s">
        <v>318</v>
      </c>
      <c r="C539" s="23"/>
      <c r="D539" s="23"/>
      <c r="E539" s="23"/>
      <c r="F539" s="23"/>
      <c r="G539" s="23"/>
    </row>
    <row r="540">
      <c r="A540" s="4"/>
      <c r="B540" s="16" t="s">
        <v>554</v>
      </c>
      <c r="C540" s="21">
        <f>(15)*(1)*(1)*(1)*(1 + (0))</f>
      </c>
      <c r="D540" s="21" t="s">
        <v>9</v>
      </c>
      <c r="E540" s="21"/>
      <c r="F540" s="21">
        <f>(0)</f>
      </c>
      <c r="G540" s="21">
        <f>(C540 * E540 + C540 * E540 * F540)</f>
      </c>
    </row>
    <row r="541">
      <c r="A541" s="5"/>
      <c r="B541" s="13" t="s">
        <v>417</v>
      </c>
      <c r="C541" s="22"/>
      <c r="D541" s="22"/>
      <c r="E541" s="22"/>
      <c r="F541" s="22"/>
      <c r="G541" s="22"/>
    </row>
    <row r="542">
      <c r="A542" s="6"/>
      <c r="B542" s="15" t="s">
        <v>325</v>
      </c>
      <c r="C542" s="23"/>
      <c r="D542" s="23"/>
      <c r="E542" s="23"/>
      <c r="F542" s="23"/>
      <c r="G542" s="23"/>
    </row>
    <row r="543">
      <c r="A543" s="4"/>
      <c r="B543" s="16" t="s">
        <v>555</v>
      </c>
      <c r="C543" s="21">
        <f>(10)*(1)*(1)*(1)*(1 + (0))</f>
      </c>
      <c r="D543" s="21" t="s">
        <v>9</v>
      </c>
      <c r="E543" s="21"/>
      <c r="F543" s="21">
        <f>(0)</f>
      </c>
      <c r="G543" s="21">
        <f>(C543 * E543 + C543 * E543 * F543)</f>
      </c>
    </row>
    <row r="544">
      <c r="A544" s="2"/>
      <c r="B544" s="10" t="s">
        <v>556</v>
      </c>
      <c r="C544" s="19"/>
      <c r="D544" s="19"/>
      <c r="E544" s="19"/>
      <c r="F544" s="19"/>
      <c r="G544" s="19"/>
    </row>
    <row r="545">
      <c r="A545" s="3"/>
      <c r="B545" s="11" t="s">
        <v>14</v>
      </c>
      <c r="C545" s="20"/>
      <c r="D545" s="20"/>
      <c r="E545" s="20"/>
      <c r="F545" s="20"/>
      <c r="G545" s="20"/>
    </row>
    <row r="546">
      <c r="A546" s="4" t="s">
        <v>557</v>
      </c>
      <c r="B546" s="12" t="s">
        <v>16</v>
      </c>
      <c r="C546" s="21"/>
      <c r="D546" s="21" t="s">
        <v>17</v>
      </c>
      <c r="E546" s="21"/>
      <c r="F546" s="21">
        <f>(0)</f>
      </c>
      <c r="G546" s="21">
        <f>(C546 * E546 + C546 * E546 * F546)</f>
      </c>
    </row>
    <row r="547">
      <c r="A547" s="4" t="s">
        <v>558</v>
      </c>
      <c r="B547" s="12" t="s">
        <v>19</v>
      </c>
      <c r="C547" s="21"/>
      <c r="D547" s="21" t="s">
        <v>17</v>
      </c>
      <c r="E547" s="21"/>
      <c r="F547" s="21">
        <f>(0)</f>
      </c>
      <c r="G547" s="21">
        <f>(C547 * E547 + C547 * E547 * F547)</f>
      </c>
    </row>
    <row r="548">
      <c r="A548" s="3"/>
      <c r="B548" s="11" t="s">
        <v>98</v>
      </c>
      <c r="C548" s="20"/>
      <c r="D548" s="20"/>
      <c r="E548" s="20"/>
      <c r="F548" s="20"/>
      <c r="G548" s="20"/>
    </row>
    <row r="549">
      <c r="A549" s="4"/>
      <c r="B549" s="12" t="s">
        <v>559</v>
      </c>
      <c r="C549" s="21"/>
      <c r="D549" s="21" t="s">
        <v>17</v>
      </c>
      <c r="E549" s="21"/>
      <c r="F549" s="21">
        <f>(0)</f>
      </c>
      <c r="G549" s="21">
        <f>(C549 * E549 + C549 * E549 * F549)</f>
      </c>
    </row>
    <row r="550">
      <c r="A550" s="4"/>
      <c r="B550" s="12" t="s">
        <v>560</v>
      </c>
      <c r="C550" s="21"/>
      <c r="D550" s="21" t="s">
        <v>17</v>
      </c>
      <c r="E550" s="21"/>
      <c r="F550" s="21">
        <f>(0)</f>
      </c>
      <c r="G550" s="21">
        <f>(C550 * E550 + C550 * E550 * F550)</f>
      </c>
    </row>
    <row r="551">
      <c r="A551" s="4"/>
      <c r="B551" s="12" t="s">
        <v>561</v>
      </c>
      <c r="C551" s="21"/>
      <c r="D551" s="21" t="s">
        <v>17</v>
      </c>
      <c r="E551" s="21"/>
      <c r="F551" s="21">
        <f>(0)</f>
      </c>
      <c r="G551" s="21">
        <f>(C551 * E551 + C551 * E551 * F551)</f>
      </c>
    </row>
    <row r="552">
      <c r="A552" s="3"/>
      <c r="B552" s="11" t="s">
        <v>24</v>
      </c>
      <c r="C552" s="20"/>
      <c r="D552" s="20"/>
      <c r="E552" s="20"/>
      <c r="F552" s="20"/>
      <c r="G552" s="20"/>
    </row>
    <row r="553">
      <c r="A553" s="5"/>
      <c r="B553" s="13" t="s">
        <v>25</v>
      </c>
      <c r="C553" s="22"/>
      <c r="D553" s="22"/>
      <c r="E553" s="22"/>
      <c r="F553" s="22"/>
      <c r="G553" s="22"/>
    </row>
    <row r="554">
      <c r="A554" s="4" t="s">
        <v>562</v>
      </c>
      <c r="B554" s="14" t="s">
        <v>563</v>
      </c>
      <c r="C554" s="21"/>
      <c r="D554" s="21" t="s">
        <v>17</v>
      </c>
      <c r="E554" s="21"/>
      <c r="F554" s="21">
        <f>(0)</f>
      </c>
      <c r="G554" s="21">
        <f>(C554 * E554 + C554 * E554 * F554)</f>
      </c>
    </row>
    <row r="555">
      <c r="A555" s="4" t="s">
        <v>564</v>
      </c>
      <c r="B555" s="14" t="s">
        <v>468</v>
      </c>
      <c r="C555" s="21"/>
      <c r="D555" s="21" t="s">
        <v>17</v>
      </c>
      <c r="E555" s="21"/>
      <c r="F555" s="21">
        <f>(0)</f>
      </c>
      <c r="G555" s="21">
        <f>(C555 * E555 + C555 * E555 * F555)</f>
      </c>
    </row>
    <row r="556">
      <c r="A556" s="4" t="s">
        <v>565</v>
      </c>
      <c r="B556" s="14" t="s">
        <v>566</v>
      </c>
      <c r="C556" s="21"/>
      <c r="D556" s="21" t="s">
        <v>17</v>
      </c>
      <c r="E556" s="21"/>
      <c r="F556" s="21">
        <f>(0)</f>
      </c>
      <c r="G556" s="21">
        <f>(C556 * E556 + C556 * E556 * F556)</f>
      </c>
    </row>
    <row r="557">
      <c r="A557" s="4" t="s">
        <v>567</v>
      </c>
      <c r="B557" s="14" t="s">
        <v>568</v>
      </c>
      <c r="C557" s="21"/>
      <c r="D557" s="21" t="s">
        <v>17</v>
      </c>
      <c r="E557" s="21"/>
      <c r="F557" s="21">
        <f>(0)</f>
      </c>
      <c r="G557" s="21">
        <f>(C557 * E557 + C557 * E557 * F557)</f>
      </c>
    </row>
    <row r="558">
      <c r="A558" s="4" t="s">
        <v>569</v>
      </c>
      <c r="B558" s="14" t="s">
        <v>570</v>
      </c>
      <c r="C558" s="21"/>
      <c r="D558" s="21" t="s">
        <v>17</v>
      </c>
      <c r="E558" s="21"/>
      <c r="F558" s="21">
        <f>(0)</f>
      </c>
      <c r="G558" s="21">
        <f>(C558 * E558 + C558 * E558 * F558)</f>
      </c>
    </row>
    <row r="559">
      <c r="A559" s="4" t="s">
        <v>571</v>
      </c>
      <c r="B559" s="14" t="s">
        <v>572</v>
      </c>
      <c r="C559" s="21"/>
      <c r="D559" s="21" t="s">
        <v>17</v>
      </c>
      <c r="E559" s="21"/>
      <c r="F559" s="21">
        <f>(0)</f>
      </c>
      <c r="G559" s="21">
        <f>(C559 * E559 + C559 * E559 * F559)</f>
      </c>
    </row>
    <row r="560">
      <c r="A560" s="4" t="s">
        <v>573</v>
      </c>
      <c r="B560" s="14" t="s">
        <v>574</v>
      </c>
      <c r="C560" s="21"/>
      <c r="D560" s="21" t="s">
        <v>17</v>
      </c>
      <c r="E560" s="21"/>
      <c r="F560" s="21">
        <f>(0)</f>
      </c>
      <c r="G560" s="21">
        <f>(C560 * E560 + C560 * E560 * F560)</f>
      </c>
    </row>
    <row r="561">
      <c r="A561" s="4" t="s">
        <v>575</v>
      </c>
      <c r="B561" s="14" t="s">
        <v>576</v>
      </c>
      <c r="C561" s="21"/>
      <c r="D561" s="21" t="s">
        <v>17</v>
      </c>
      <c r="E561" s="21"/>
      <c r="F561" s="21">
        <f>(0)</f>
      </c>
      <c r="G561" s="21">
        <f>(C561 * E561 + C561 * E561 * F561)</f>
      </c>
    </row>
    <row r="562">
      <c r="A562" s="4" t="s">
        <v>577</v>
      </c>
      <c r="B562" s="14" t="s">
        <v>194</v>
      </c>
      <c r="C562" s="21"/>
      <c r="D562" s="21" t="s">
        <v>17</v>
      </c>
      <c r="E562" s="21"/>
      <c r="F562" s="21">
        <f>(0)</f>
      </c>
      <c r="G562" s="21">
        <f>(C562 * E562 + C562 * E562 * F562)</f>
      </c>
    </row>
    <row r="563">
      <c r="A563" s="3"/>
      <c r="B563" s="11" t="s">
        <v>42</v>
      </c>
      <c r="C563" s="20"/>
      <c r="D563" s="20"/>
      <c r="E563" s="20"/>
      <c r="F563" s="20"/>
      <c r="G563" s="20"/>
    </row>
    <row r="564">
      <c r="A564" s="4" t="s">
        <v>578</v>
      </c>
      <c r="B564" s="12" t="s">
        <v>59</v>
      </c>
      <c r="C564" s="21">
        <f>(1)*(1)*(1)*(1)*(1 + (0))</f>
      </c>
      <c r="D564" s="21" t="s">
        <v>45</v>
      </c>
      <c r="E564" s="21"/>
      <c r="F564" s="21">
        <f>(0)</f>
      </c>
      <c r="G564" s="21">
        <f>(C564 * E564 + C564 * E564 * F564)</f>
      </c>
    </row>
    <row r="565">
      <c r="A565" s="4" t="s">
        <v>579</v>
      </c>
      <c r="B565" s="12" t="s">
        <v>61</v>
      </c>
      <c r="C565" s="21">
        <f>(1)*(1)*(1)*(1)*(1 + (0))</f>
      </c>
      <c r="D565" s="21" t="s">
        <v>45</v>
      </c>
      <c r="E565" s="21"/>
      <c r="F565" s="21">
        <f>(0)</f>
      </c>
      <c r="G565" s="21">
        <f>(C565 * E565 + C565 * E565 * F565)</f>
      </c>
    </row>
    <row r="566">
      <c r="A566" s="4" t="s">
        <v>580</v>
      </c>
      <c r="B566" s="12" t="s">
        <v>581</v>
      </c>
      <c r="C566" s="21">
        <f>(1)*(1)*(1)*(1)*(1 + (0))</f>
      </c>
      <c r="D566" s="21" t="s">
        <v>45</v>
      </c>
      <c r="E566" s="21"/>
      <c r="F566" s="21">
        <f>(0)</f>
      </c>
      <c r="G566" s="21">
        <f>(C566 * E566 + C566 * E566 * F566)</f>
      </c>
    </row>
    <row r="567">
      <c r="A567" s="4" t="s">
        <v>582</v>
      </c>
      <c r="B567" s="12" t="s">
        <v>583</v>
      </c>
      <c r="C567" s="21">
        <f>(1)*(1)*(1)*(1)*(1 + (0))</f>
      </c>
      <c r="D567" s="21" t="s">
        <v>45</v>
      </c>
      <c r="E567" s="21"/>
      <c r="F567" s="21">
        <f>(0)</f>
      </c>
      <c r="G567" s="21">
        <f>(C567 * E567 + C567 * E567 * F567)</f>
      </c>
    </row>
    <row r="568">
      <c r="A568" s="4" t="s">
        <v>584</v>
      </c>
      <c r="B568" s="12" t="s">
        <v>585</v>
      </c>
      <c r="C568" s="21">
        <f>(1)*(1)*(1)*(1)*(1 + (0))</f>
      </c>
      <c r="D568" s="21" t="s">
        <v>45</v>
      </c>
      <c r="E568" s="21"/>
      <c r="F568" s="21">
        <f>(0)</f>
      </c>
      <c r="G568" s="21">
        <f>(C568 * E568 + C568 * E568 * F568)</f>
      </c>
    </row>
    <row r="569">
      <c r="A569" s="4" t="s">
        <v>586</v>
      </c>
      <c r="B569" s="12" t="s">
        <v>587</v>
      </c>
      <c r="C569" s="21">
        <f>(1)*(1)*(1)*(1)*(1 + (0))</f>
      </c>
      <c r="D569" s="21" t="s">
        <v>45</v>
      </c>
      <c r="E569" s="21"/>
      <c r="F569" s="21">
        <f>(0)</f>
      </c>
      <c r="G569" s="21">
        <f>(C569 * E569 + C569 * E569 * F569)</f>
      </c>
    </row>
    <row r="570">
      <c r="A570" s="4" t="s">
        <v>588</v>
      </c>
      <c r="B570" s="12" t="s">
        <v>589</v>
      </c>
      <c r="C570" s="21">
        <f>(1)*(1)*(1)*(1)*(1 + (0))</f>
      </c>
      <c r="D570" s="21" t="s">
        <v>45</v>
      </c>
      <c r="E570" s="21"/>
      <c r="F570" s="21">
        <f>(0)</f>
      </c>
      <c r="G570" s="21">
        <f>(C570 * E570 + C570 * E570 * F570)</f>
      </c>
    </row>
    <row r="571">
      <c r="A571" s="4" t="s">
        <v>590</v>
      </c>
      <c r="B571" s="12" t="s">
        <v>591</v>
      </c>
      <c r="C571" s="21">
        <f>(1)*(1)*(1)*(1)*(1 + (0))</f>
      </c>
      <c r="D571" s="21" t="s">
        <v>45</v>
      </c>
      <c r="E571" s="21"/>
      <c r="F571" s="21">
        <f>(0)</f>
      </c>
      <c r="G571" s="21">
        <f>(C571 * E571 + C571 * E571 * F571)</f>
      </c>
    </row>
    <row r="572">
      <c r="A572" s="4" t="s">
        <v>592</v>
      </c>
      <c r="B572" s="12" t="s">
        <v>593</v>
      </c>
      <c r="C572" s="21">
        <f>(1)*(1)*(1)*(1)*(1 + (0))</f>
      </c>
      <c r="D572" s="21" t="s">
        <v>45</v>
      </c>
      <c r="E572" s="21"/>
      <c r="F572" s="21">
        <f>(0)</f>
      </c>
      <c r="G572" s="21">
        <f>(C572 * E572 + C572 * E572 * F572)</f>
      </c>
    </row>
    <row r="573">
      <c r="A573" s="4" t="s">
        <v>594</v>
      </c>
      <c r="B573" s="12" t="s">
        <v>595</v>
      </c>
      <c r="C573" s="21">
        <f>(1)*(1)*(1)*(1)*(1 + (0))</f>
      </c>
      <c r="D573" s="21" t="s">
        <v>45</v>
      </c>
      <c r="E573" s="21"/>
      <c r="F573" s="21">
        <f>(0)</f>
      </c>
      <c r="G573" s="21">
        <f>(C573 * E573 + C573 * E573 * F573)</f>
      </c>
    </row>
    <row r="574">
      <c r="A574" s="4" t="s">
        <v>596</v>
      </c>
      <c r="B574" s="12" t="s">
        <v>597</v>
      </c>
      <c r="C574" s="21">
        <f>(1)*(1)*(1)*(1)*(1 + (0))</f>
      </c>
      <c r="D574" s="21" t="s">
        <v>45</v>
      </c>
      <c r="E574" s="21"/>
      <c r="F574" s="21">
        <f>(0)</f>
      </c>
      <c r="G574" s="21">
        <f>(C574 * E574 + C574 * E574 * F574)</f>
      </c>
    </row>
    <row r="575">
      <c r="A575" s="4" t="s">
        <v>598</v>
      </c>
      <c r="B575" s="12" t="s">
        <v>599</v>
      </c>
      <c r="C575" s="21">
        <f>(1)*(1)*(1)*(1)*(1 + (0))</f>
      </c>
      <c r="D575" s="21" t="s">
        <v>45</v>
      </c>
      <c r="E575" s="21"/>
      <c r="F575" s="21">
        <f>(0)</f>
      </c>
      <c r="G575" s="21">
        <f>(C575 * E575 + C575 * E575 * F575)</f>
      </c>
    </row>
    <row r="576">
      <c r="A576" s="4" t="s">
        <v>600</v>
      </c>
      <c r="B576" s="12" t="s">
        <v>601</v>
      </c>
      <c r="C576" s="21">
        <f>(1)*(1)*(1)*(1)*(1 + (0))</f>
      </c>
      <c r="D576" s="21" t="s">
        <v>45</v>
      </c>
      <c r="E576" s="21"/>
      <c r="F576" s="21">
        <f>(0)</f>
      </c>
      <c r="G576" s="21">
        <f>(C576 * E576 + C576 * E576 * F576)</f>
      </c>
    </row>
    <row r="577">
      <c r="A577" s="4" t="s">
        <v>602</v>
      </c>
      <c r="B577" s="12" t="s">
        <v>603</v>
      </c>
      <c r="C577" s="21">
        <f>(1)*(1)*(1)*(1)*(1 + (0))</f>
      </c>
      <c r="D577" s="21" t="s">
        <v>45</v>
      </c>
      <c r="E577" s="21"/>
      <c r="F577" s="21">
        <f>(0)</f>
      </c>
      <c r="G577" s="21">
        <f>(C577 * E577 + C577 * E577 * F577)</f>
      </c>
    </row>
    <row r="578">
      <c r="A578" s="4" t="s">
        <v>604</v>
      </c>
      <c r="B578" s="12" t="s">
        <v>605</v>
      </c>
      <c r="C578" s="21">
        <f>(1)*(1)*(1)*(1)*(1 + (0))</f>
      </c>
      <c r="D578" s="21" t="s">
        <v>45</v>
      </c>
      <c r="E578" s="21"/>
      <c r="F578" s="21">
        <f>(0)</f>
      </c>
      <c r="G578" s="21">
        <f>(C578 * E578 + C578 * E578 * F578)</f>
      </c>
    </row>
    <row r="579">
      <c r="A579" s="3"/>
      <c r="B579" s="11" t="s">
        <v>606</v>
      </c>
      <c r="C579" s="20"/>
      <c r="D579" s="20"/>
      <c r="E579" s="20"/>
      <c r="F579" s="20"/>
      <c r="G579" s="20"/>
    </row>
    <row r="580">
      <c r="A580" s="5"/>
      <c r="B580" s="13" t="s">
        <v>607</v>
      </c>
      <c r="C580" s="22"/>
      <c r="D580" s="22"/>
      <c r="E580" s="22"/>
      <c r="F580" s="22"/>
      <c r="G580" s="22"/>
    </row>
    <row r="581">
      <c r="A581" s="4"/>
      <c r="B581" s="14" t="s">
        <v>297</v>
      </c>
      <c r="C581" s="21">
        <f>(1230)*(1)*(1)*(1)*(1 + (0))</f>
      </c>
      <c r="D581" s="21" t="s">
        <v>9</v>
      </c>
      <c r="E581" s="21"/>
      <c r="F581" s="21">
        <f>(0)</f>
      </c>
      <c r="G581" s="21">
        <f>(C581 * E581 + C581 * E581 * F581)</f>
      </c>
    </row>
    <row r="582">
      <c r="A582" s="4"/>
      <c r="B582" s="14" t="s">
        <v>608</v>
      </c>
      <c r="C582" s="21">
        <f>(22)*(1)*(1)*(1)*(1 + (0))</f>
      </c>
      <c r="D582" s="21" t="s">
        <v>167</v>
      </c>
      <c r="E582" s="21"/>
      <c r="F582" s="21">
        <f>(0)</f>
      </c>
      <c r="G582" s="21">
        <f>(C582 * E582 + C582 * E582 * F582)</f>
      </c>
    </row>
    <row r="583">
      <c r="A583" s="4"/>
      <c r="B583" s="14" t="s">
        <v>609</v>
      </c>
      <c r="C583" s="21">
        <f>(33)*(1)*(1)*(1)*(1 + (0))</f>
      </c>
      <c r="D583" s="21" t="s">
        <v>167</v>
      </c>
      <c r="E583" s="21"/>
      <c r="F583" s="21">
        <f>(0)</f>
      </c>
      <c r="G583" s="21">
        <f>(C583 * E583 + C583 * E583 * F583)</f>
      </c>
    </row>
    <row r="584">
      <c r="A584" s="2"/>
      <c r="B584" s="10" t="s">
        <v>610</v>
      </c>
      <c r="C584" s="19"/>
      <c r="D584" s="19"/>
      <c r="E584" s="19"/>
      <c r="F584" s="19"/>
      <c r="G584" s="19"/>
    </row>
    <row r="585">
      <c r="A585" s="3"/>
      <c r="B585" s="11" t="s">
        <v>14</v>
      </c>
      <c r="C585" s="20"/>
      <c r="D585" s="20"/>
      <c r="E585" s="20"/>
      <c r="F585" s="20"/>
      <c r="G585" s="20"/>
    </row>
    <row r="586">
      <c r="A586" s="4" t="s">
        <v>611</v>
      </c>
      <c r="B586" s="12" t="s">
        <v>16</v>
      </c>
      <c r="C586" s="21"/>
      <c r="D586" s="21" t="s">
        <v>17</v>
      </c>
      <c r="E586" s="21"/>
      <c r="F586" s="21">
        <f>(0)</f>
      </c>
      <c r="G586" s="21">
        <f>(C586 * E586 + C586 * E586 * F586)</f>
      </c>
    </row>
    <row r="587">
      <c r="A587" s="4" t="s">
        <v>612</v>
      </c>
      <c r="B587" s="12" t="s">
        <v>19</v>
      </c>
      <c r="C587" s="21"/>
      <c r="D587" s="21" t="s">
        <v>17</v>
      </c>
      <c r="E587" s="21"/>
      <c r="F587" s="21">
        <f>(0)</f>
      </c>
      <c r="G587" s="21">
        <f>(C587 * E587 + C587 * E587 * F587)</f>
      </c>
    </row>
    <row r="588">
      <c r="A588" s="3"/>
      <c r="B588" s="11" t="s">
        <v>98</v>
      </c>
      <c r="C588" s="20"/>
      <c r="D588" s="20"/>
      <c r="E588" s="20"/>
      <c r="F588" s="20"/>
      <c r="G588" s="20"/>
    </row>
    <row r="589">
      <c r="A589" s="4"/>
      <c r="B589" s="12" t="s">
        <v>613</v>
      </c>
      <c r="C589" s="21"/>
      <c r="D589" s="21" t="s">
        <v>17</v>
      </c>
      <c r="E589" s="21"/>
      <c r="F589" s="21">
        <f>(0)</f>
      </c>
      <c r="G589" s="21">
        <f>(C589 * E589 + C589 * E589 * F589)</f>
      </c>
    </row>
    <row r="590">
      <c r="A590" s="4"/>
      <c r="B590" s="12" t="s">
        <v>614</v>
      </c>
      <c r="C590" s="21"/>
      <c r="D590" s="21" t="s">
        <v>17</v>
      </c>
      <c r="E590" s="21"/>
      <c r="F590" s="21">
        <f>(0)</f>
      </c>
      <c r="G590" s="21">
        <f>(C590 * E590 + C590 * E590 * F590)</f>
      </c>
    </row>
    <row r="591">
      <c r="A591" s="4"/>
      <c r="B591" s="12" t="s">
        <v>615</v>
      </c>
      <c r="C591" s="21"/>
      <c r="D591" s="21" t="s">
        <v>17</v>
      </c>
      <c r="E591" s="21"/>
      <c r="F591" s="21">
        <f>(0)</f>
      </c>
      <c r="G591" s="21">
        <f>(C591 * E591 + C591 * E591 * F591)</f>
      </c>
    </row>
    <row r="592">
      <c r="A592" s="3"/>
      <c r="B592" s="11" t="s">
        <v>24</v>
      </c>
      <c r="C592" s="20"/>
      <c r="D592" s="20"/>
      <c r="E592" s="20"/>
      <c r="F592" s="20"/>
      <c r="G592" s="20"/>
    </row>
    <row r="593">
      <c r="A593" s="5"/>
      <c r="B593" s="13" t="s">
        <v>25</v>
      </c>
      <c r="C593" s="22"/>
      <c r="D593" s="22"/>
      <c r="E593" s="22"/>
      <c r="F593" s="22"/>
      <c r="G593" s="22"/>
    </row>
    <row r="594">
      <c r="A594" s="4" t="s">
        <v>616</v>
      </c>
      <c r="B594" s="14" t="s">
        <v>617</v>
      </c>
      <c r="C594" s="21"/>
      <c r="D594" s="21" t="s">
        <v>17</v>
      </c>
      <c r="E594" s="21"/>
      <c r="F594" s="21">
        <f>(0)</f>
      </c>
      <c r="G594" s="21">
        <f>(C594 * E594 + C594 * E594 * F594)</f>
      </c>
    </row>
    <row r="595">
      <c r="A595" s="4" t="s">
        <v>618</v>
      </c>
      <c r="B595" s="14" t="s">
        <v>619</v>
      </c>
      <c r="C595" s="21"/>
      <c r="D595" s="21" t="s">
        <v>17</v>
      </c>
      <c r="E595" s="21"/>
      <c r="F595" s="21">
        <f>(0)</f>
      </c>
      <c r="G595" s="21">
        <f>(C595 * E595 + C595 * E595 * F595)</f>
      </c>
    </row>
    <row r="596">
      <c r="A596" s="4" t="s">
        <v>620</v>
      </c>
      <c r="B596" s="14" t="s">
        <v>621</v>
      </c>
      <c r="C596" s="21"/>
      <c r="D596" s="21" t="s">
        <v>17</v>
      </c>
      <c r="E596" s="21"/>
      <c r="F596" s="21">
        <f>(0)</f>
      </c>
      <c r="G596" s="21">
        <f>(C596 * E596 + C596 * E596 * F596)</f>
      </c>
    </row>
    <row r="597">
      <c r="A597" s="4" t="s">
        <v>622</v>
      </c>
      <c r="B597" s="14" t="s">
        <v>623</v>
      </c>
      <c r="C597" s="21"/>
      <c r="D597" s="21" t="s">
        <v>17</v>
      </c>
      <c r="E597" s="21"/>
      <c r="F597" s="21">
        <f>(0)</f>
      </c>
      <c r="G597" s="21">
        <f>(C597 * E597 + C597 * E597 * F597)</f>
      </c>
    </row>
    <row r="598">
      <c r="A598" s="4" t="s">
        <v>624</v>
      </c>
      <c r="B598" s="14" t="s">
        <v>625</v>
      </c>
      <c r="C598" s="21"/>
      <c r="D598" s="21" t="s">
        <v>17</v>
      </c>
      <c r="E598" s="21"/>
      <c r="F598" s="21">
        <f>(0)</f>
      </c>
      <c r="G598" s="21">
        <f>(C598 * E598 + C598 * E598 * F598)</f>
      </c>
    </row>
    <row r="599">
      <c r="A599" s="4" t="s">
        <v>626</v>
      </c>
      <c r="B599" s="14" t="s">
        <v>627</v>
      </c>
      <c r="C599" s="21"/>
      <c r="D599" s="21" t="s">
        <v>17</v>
      </c>
      <c r="E599" s="21"/>
      <c r="F599" s="21">
        <f>(0)</f>
      </c>
      <c r="G599" s="21">
        <f>(C599 * E599 + C599 * E599 * F599)</f>
      </c>
    </row>
    <row r="600">
      <c r="A600" s="4" t="s">
        <v>628</v>
      </c>
      <c r="B600" s="14" t="s">
        <v>194</v>
      </c>
      <c r="C600" s="21"/>
      <c r="D600" s="21" t="s">
        <v>17</v>
      </c>
      <c r="E600" s="21"/>
      <c r="F600" s="21">
        <f>(0)</f>
      </c>
      <c r="G600" s="21">
        <f>(C600 * E600 + C600 * E600 * F600)</f>
      </c>
    </row>
    <row r="601">
      <c r="A601" s="3"/>
      <c r="B601" s="11" t="s">
        <v>42</v>
      </c>
      <c r="C601" s="20"/>
      <c r="D601" s="20"/>
      <c r="E601" s="20"/>
      <c r="F601" s="20"/>
      <c r="G601" s="20"/>
    </row>
    <row r="602">
      <c r="A602" s="4" t="s">
        <v>629</v>
      </c>
      <c r="B602" s="12" t="s">
        <v>59</v>
      </c>
      <c r="C602" s="21">
        <f>(1)*(1)*(1)*(1)*(1 + (0))</f>
      </c>
      <c r="D602" s="21" t="s">
        <v>45</v>
      </c>
      <c r="E602" s="21"/>
      <c r="F602" s="21">
        <f>(0)</f>
      </c>
      <c r="G602" s="21">
        <f>(C602 * E602 + C602 * E602 * F602)</f>
      </c>
    </row>
    <row r="603">
      <c r="A603" s="4" t="s">
        <v>630</v>
      </c>
      <c r="B603" s="12" t="s">
        <v>61</v>
      </c>
      <c r="C603" s="21">
        <f>(1)*(1)*(1)*(1)*(1 + (0))</f>
      </c>
      <c r="D603" s="21" t="s">
        <v>45</v>
      </c>
      <c r="E603" s="21"/>
      <c r="F603" s="21">
        <f>(0)</f>
      </c>
      <c r="G603" s="21">
        <f>(C603 * E603 + C603 * E603 * F603)</f>
      </c>
    </row>
    <row r="604">
      <c r="A604" s="4" t="s">
        <v>631</v>
      </c>
      <c r="B604" s="12" t="s">
        <v>632</v>
      </c>
      <c r="C604" s="21">
        <f>(1)*(1)*(1)*(1)*(1 + (0))</f>
      </c>
      <c r="D604" s="21" t="s">
        <v>45</v>
      </c>
      <c r="E604" s="21"/>
      <c r="F604" s="21">
        <f>(0)</f>
      </c>
      <c r="G604" s="21">
        <f>(C604 * E604 + C604 * E604 * F604)</f>
      </c>
    </row>
    <row r="605">
      <c r="A605" s="4" t="s">
        <v>633</v>
      </c>
      <c r="B605" s="12" t="s">
        <v>634</v>
      </c>
      <c r="C605" s="21">
        <f>(1)*(1)*(1)*(1)*(1 + (0))</f>
      </c>
      <c r="D605" s="21" t="s">
        <v>45</v>
      </c>
      <c r="E605" s="21"/>
      <c r="F605" s="21">
        <f>(0)</f>
      </c>
      <c r="G605" s="21">
        <f>(C605 * E605 + C605 * E605 * F605)</f>
      </c>
    </row>
    <row r="606">
      <c r="A606" s="4" t="s">
        <v>635</v>
      </c>
      <c r="B606" s="12" t="s">
        <v>636</v>
      </c>
      <c r="C606" s="21">
        <f>(1)*(1)*(1)*(1)*(1 + (0))</f>
      </c>
      <c r="D606" s="21" t="s">
        <v>45</v>
      </c>
      <c r="E606" s="21"/>
      <c r="F606" s="21">
        <f>(0)</f>
      </c>
      <c r="G606" s="21">
        <f>(C606 * E606 + C606 * E606 * F606)</f>
      </c>
    </row>
    <row r="607">
      <c r="A607" s="4" t="s">
        <v>637</v>
      </c>
      <c r="B607" s="12" t="s">
        <v>638</v>
      </c>
      <c r="C607" s="21">
        <f>(1)*(1)*(1)*(1)*(1 + (0))</f>
      </c>
      <c r="D607" s="21" t="s">
        <v>45</v>
      </c>
      <c r="E607" s="21"/>
      <c r="F607" s="21">
        <f>(0)</f>
      </c>
      <c r="G607" s="21">
        <f>(C607 * E607 + C607 * E607 * F607)</f>
      </c>
    </row>
    <row r="608">
      <c r="A608" s="4" t="s">
        <v>639</v>
      </c>
      <c r="B608" s="12" t="s">
        <v>640</v>
      </c>
      <c r="C608" s="21">
        <f>(1)*(1)*(1)*(1)*(1 + (0))</f>
      </c>
      <c r="D608" s="21" t="s">
        <v>45</v>
      </c>
      <c r="E608" s="21"/>
      <c r="F608" s="21">
        <f>(0)</f>
      </c>
      <c r="G608" s="21">
        <f>(C608 * E608 + C608 * E608 * F608)</f>
      </c>
    </row>
    <row r="609">
      <c r="A609" s="4" t="s">
        <v>641</v>
      </c>
      <c r="B609" s="12" t="s">
        <v>642</v>
      </c>
      <c r="C609" s="21">
        <f>(1)*(1)*(1)*(1)*(1 + (0))</f>
      </c>
      <c r="D609" s="21" t="s">
        <v>45</v>
      </c>
      <c r="E609" s="21"/>
      <c r="F609" s="21">
        <f>(0)</f>
      </c>
      <c r="G609" s="21">
        <f>(C609 * E609 + C609 * E609 * F609)</f>
      </c>
    </row>
    <row r="610">
      <c r="A610" s="4" t="s">
        <v>643</v>
      </c>
      <c r="B610" s="12" t="s">
        <v>644</v>
      </c>
      <c r="C610" s="21">
        <f>(1)*(1)*(1)*(1)*(1 + (0))</f>
      </c>
      <c r="D610" s="21" t="s">
        <v>45</v>
      </c>
      <c r="E610" s="21"/>
      <c r="F610" s="21">
        <f>(0)</f>
      </c>
      <c r="G610" s="21">
        <f>(C610 * E610 + C610 * E610 * F610)</f>
      </c>
    </row>
    <row r="611">
      <c r="A611" s="4" t="s">
        <v>645</v>
      </c>
      <c r="B611" s="12" t="s">
        <v>486</v>
      </c>
      <c r="C611" s="21">
        <f>(1)*(1)*(1)*(1)*(1 + (0))</f>
      </c>
      <c r="D611" s="21" t="s">
        <v>45</v>
      </c>
      <c r="E611" s="21"/>
      <c r="F611" s="21">
        <f>(0)</f>
      </c>
      <c r="G611" s="21">
        <f>(C611 * E611 + C611 * E611 * F611)</f>
      </c>
    </row>
    <row r="612">
      <c r="A612" s="4" t="s">
        <v>646</v>
      </c>
      <c r="B612" s="12" t="s">
        <v>647</v>
      </c>
      <c r="C612" s="21">
        <f>(1)*(1)*(1)*(1)*(1 + (0))</f>
      </c>
      <c r="D612" s="21" t="s">
        <v>45</v>
      </c>
      <c r="E612" s="21"/>
      <c r="F612" s="21">
        <f>(0)</f>
      </c>
      <c r="G612" s="21">
        <f>(C612 * E612 + C612 * E612 * F612)</f>
      </c>
    </row>
    <row r="613">
      <c r="A613" s="3"/>
      <c r="B613" s="11" t="s">
        <v>648</v>
      </c>
      <c r="C613" s="20"/>
      <c r="D613" s="20"/>
      <c r="E613" s="20"/>
      <c r="F613" s="20"/>
      <c r="G613" s="20"/>
    </row>
    <row r="614">
      <c r="A614" s="5"/>
      <c r="B614" s="13" t="s">
        <v>649</v>
      </c>
      <c r="C614" s="22"/>
      <c r="D614" s="22"/>
      <c r="E614" s="22"/>
      <c r="F614" s="22"/>
      <c r="G614" s="22"/>
    </row>
    <row r="615">
      <c r="A615" s="6"/>
      <c r="B615" s="15" t="s">
        <v>650</v>
      </c>
      <c r="C615" s="23"/>
      <c r="D615" s="23"/>
      <c r="E615" s="23"/>
      <c r="F615" s="23"/>
      <c r="G615" s="23"/>
    </row>
    <row r="616">
      <c r="A616" s="4"/>
      <c r="B616" s="16" t="s">
        <v>651</v>
      </c>
      <c r="C616" s="21">
        <f>(0.4192)*(1)*(1)*(1)*(1 + (0))</f>
      </c>
      <c r="D616" s="21" t="s">
        <v>495</v>
      </c>
      <c r="E616" s="21"/>
      <c r="F616" s="21">
        <f>(0)</f>
      </c>
      <c r="G616" s="21">
        <f>(C616 * E616 + C616 * E616 * F616)</f>
      </c>
    </row>
    <row r="617">
      <c r="A617" s="4"/>
      <c r="B617" s="16" t="s">
        <v>652</v>
      </c>
      <c r="C617" s="21">
        <f>(0.08515)*(1)*(1)*(1)*(1 + (0))</f>
      </c>
      <c r="D617" s="21" t="s">
        <v>495</v>
      </c>
      <c r="E617" s="21"/>
      <c r="F617" s="21">
        <f>(0)</f>
      </c>
      <c r="G617" s="21">
        <f>(C617 * E617 + C617 * E617 * F617)</f>
      </c>
    </row>
    <row r="618">
      <c r="A618" s="4"/>
      <c r="B618" s="16" t="s">
        <v>653</v>
      </c>
      <c r="C618" s="21">
        <f>(0.0756525)*(1)*(1)*(1)*(1 + (0))</f>
      </c>
      <c r="D618" s="21" t="s">
        <v>495</v>
      </c>
      <c r="E618" s="21"/>
      <c r="F618" s="21">
        <f>(0)</f>
      </c>
      <c r="G618" s="21">
        <f>(C618 * E618 + C618 * E618 * F618)</f>
      </c>
    </row>
    <row r="619">
      <c r="A619" s="4"/>
      <c r="B619" s="16" t="s">
        <v>654</v>
      </c>
      <c r="C619" s="21">
        <f>(5)*(1)*(1)*(1)*(1 + (0))</f>
      </c>
      <c r="D619" s="21" t="s">
        <v>170</v>
      </c>
      <c r="E619" s="21"/>
      <c r="F619" s="21">
        <f>(0)</f>
      </c>
      <c r="G619" s="21">
        <f>(C619 * E619 + C619 * E619 * F619)</f>
      </c>
    </row>
    <row r="620">
      <c r="A620" s="4"/>
      <c r="B620" s="16" t="s">
        <v>655</v>
      </c>
      <c r="C620" s="21">
        <f>(1)*(1)*(1)*(1)*(1 + (0))</f>
      </c>
      <c r="D620" s="21" t="s">
        <v>170</v>
      </c>
      <c r="E620" s="21"/>
      <c r="F620" s="21">
        <f>(0)</f>
      </c>
      <c r="G620" s="21">
        <f>(C620 * E620 + C620 * E620 * F620)</f>
      </c>
    </row>
    <row r="621">
      <c r="A621" s="6"/>
      <c r="B621" s="15" t="s">
        <v>656</v>
      </c>
      <c r="C621" s="23"/>
      <c r="D621" s="23"/>
      <c r="E621" s="23"/>
      <c r="F621" s="23"/>
      <c r="G621" s="23"/>
    </row>
    <row r="622">
      <c r="A622" s="4"/>
      <c r="B622" s="16" t="s">
        <v>657</v>
      </c>
      <c r="C622" s="21">
        <f>(1.20828403813714)*(1)*(1)*(1)*(1 + (0))</f>
      </c>
      <c r="D622" s="21" t="s">
        <v>495</v>
      </c>
      <c r="E622" s="21"/>
      <c r="F622" s="21">
        <f>(0)</f>
      </c>
      <c r="G622" s="21">
        <f>(C622 * E622 + C622 * E622 * F622)</f>
      </c>
    </row>
    <row r="623">
      <c r="A623" s="4"/>
      <c r="B623" s="16" t="s">
        <v>658</v>
      </c>
      <c r="C623" s="21">
        <f>(0.40691303522507)*(1)*(1)*(1)*(1 + (0))</f>
      </c>
      <c r="D623" s="21" t="s">
        <v>495</v>
      </c>
      <c r="E623" s="21"/>
      <c r="F623" s="21">
        <f>(0)</f>
      </c>
      <c r="G623" s="21">
        <f>(C623 * E623 + C623 * E623 * F623)</f>
      </c>
    </row>
    <row r="624">
      <c r="A624" s="4"/>
      <c r="B624" s="16" t="s">
        <v>659</v>
      </c>
      <c r="C624" s="21">
        <f>(1.39526361177808)*(1)*(1)*(1)*(1 + (0))</f>
      </c>
      <c r="D624" s="21" t="s">
        <v>495</v>
      </c>
      <c r="E624" s="21"/>
      <c r="F624" s="21">
        <f>(0)</f>
      </c>
      <c r="G624" s="21">
        <f>(C624 * E624 + C624 * E624 * F624)</f>
      </c>
    </row>
    <row r="625">
      <c r="A625" s="4"/>
      <c r="B625" s="16" t="s">
        <v>660</v>
      </c>
      <c r="C625" s="21">
        <f>(0.52457711732179)*(1)*(1)*(1)*(1 + (0))</f>
      </c>
      <c r="D625" s="21" t="s">
        <v>495</v>
      </c>
      <c r="E625" s="21"/>
      <c r="F625" s="21">
        <f>(0)</f>
      </c>
      <c r="G625" s="21">
        <f>(C625 * E625 + C625 * E625 * F625)</f>
      </c>
    </row>
    <row r="626">
      <c r="A626" s="4"/>
      <c r="B626" s="16" t="s">
        <v>661</v>
      </c>
      <c r="C626" s="21">
        <f>(0.457126772183658)*(1)*(1)*(1)*(1 + (0))</f>
      </c>
      <c r="D626" s="21" t="s">
        <v>495</v>
      </c>
      <c r="E626" s="21"/>
      <c r="F626" s="21">
        <f>(0)</f>
      </c>
      <c r="G626" s="21">
        <f>(C626 * E626 + C626 * E626 * F626)</f>
      </c>
    </row>
    <row r="627">
      <c r="A627" s="4"/>
      <c r="B627" s="16" t="s">
        <v>662</v>
      </c>
      <c r="C627" s="21">
        <f>(0.521825712692875)*(1)*(1)*(1)*(1 + (0))</f>
      </c>
      <c r="D627" s="21" t="s">
        <v>495</v>
      </c>
      <c r="E627" s="21"/>
      <c r="F627" s="21">
        <f>(0)</f>
      </c>
      <c r="G627" s="21">
        <f>(C627 * E627 + C627 * E627 * F627)</f>
      </c>
    </row>
    <row r="628">
      <c r="A628" s="4"/>
      <c r="B628" s="16" t="s">
        <v>663</v>
      </c>
      <c r="C628" s="21">
        <f>(0.149054117859849)*(1)*(1)*(1)*(1 + (0))</f>
      </c>
      <c r="D628" s="21" t="s">
        <v>495</v>
      </c>
      <c r="E628" s="21"/>
      <c r="F628" s="21">
        <f>(0)</f>
      </c>
      <c r="G628" s="21">
        <f>(C628 * E628 + C628 * E628 * F628)</f>
      </c>
    </row>
    <row r="629">
      <c r="A629" s="4"/>
      <c r="B629" s="16" t="s">
        <v>664</v>
      </c>
      <c r="C629" s="21">
        <f>(0.319619169530987)*(1)*(1)*(1)*(1 + (0))</f>
      </c>
      <c r="D629" s="21" t="s">
        <v>495</v>
      </c>
      <c r="E629" s="21"/>
      <c r="F629" s="21">
        <f>(0)</f>
      </c>
      <c r="G629" s="21">
        <f>(C629 * E629 + C629 * E629 * F629)</f>
      </c>
    </row>
    <row r="630">
      <c r="A630" s="4"/>
      <c r="B630" s="16" t="s">
        <v>665</v>
      </c>
      <c r="C630" s="21">
        <f>(0.629970077989699)*(1)*(1)*(1)*(1 + (0))</f>
      </c>
      <c r="D630" s="21" t="s">
        <v>495</v>
      </c>
      <c r="E630" s="21"/>
      <c r="F630" s="21">
        <f>(0)</f>
      </c>
      <c r="G630" s="21">
        <f>(C630 * E630 + C630 * E630 * F630)</f>
      </c>
    </row>
    <row r="631">
      <c r="A631" s="4"/>
      <c r="B631" s="16" t="s">
        <v>666</v>
      </c>
      <c r="C631" s="21">
        <f>(0.203957456278054)*(1)*(1)*(1)*(1 + (0))</f>
      </c>
      <c r="D631" s="21" t="s">
        <v>495</v>
      </c>
      <c r="E631" s="21"/>
      <c r="F631" s="21">
        <f>(0)</f>
      </c>
      <c r="G631" s="21">
        <f>(C631 * E631 + C631 * E631 * F631)</f>
      </c>
    </row>
    <row r="632">
      <c r="A632" s="4"/>
      <c r="B632" s="16" t="s">
        <v>667</v>
      </c>
      <c r="C632" s="21">
        <f>(0.650740505491893)*(1)*(1)*(1)*(1 + (0))</f>
      </c>
      <c r="D632" s="21" t="s">
        <v>495</v>
      </c>
      <c r="E632" s="21"/>
      <c r="F632" s="21">
        <f>(0)</f>
      </c>
      <c r="G632" s="21">
        <f>(C632 * E632 + C632 * E632 * F632)</f>
      </c>
    </row>
    <row r="633">
      <c r="A633" s="4"/>
      <c r="B633" s="16" t="s">
        <v>668</v>
      </c>
      <c r="C633" s="21">
        <f>(0.468933956767558)*(1)*(1)*(1)*(1 + (0))</f>
      </c>
      <c r="D633" s="21" t="s">
        <v>495</v>
      </c>
      <c r="E633" s="21"/>
      <c r="F633" s="21">
        <f>(0)</f>
      </c>
      <c r="G633" s="21">
        <f>(C633 * E633 + C633 * E633 * F633)</f>
      </c>
    </row>
    <row r="634">
      <c r="A634" s="4"/>
      <c r="B634" s="16" t="s">
        <v>653</v>
      </c>
      <c r="C634" s="21">
        <f>(1.0404398356885)*(1)*(1)*(1)*(1 + (0))</f>
      </c>
      <c r="D634" s="21" t="s">
        <v>495</v>
      </c>
      <c r="E634" s="21"/>
      <c r="F634" s="21">
        <f>(0)</f>
      </c>
      <c r="G634" s="21">
        <f>(C634 * E634 + C634 * E634 * F634)</f>
      </c>
    </row>
    <row r="635">
      <c r="A635" s="4"/>
      <c r="B635" s="16" t="s">
        <v>669</v>
      </c>
      <c r="C635" s="21">
        <f>(1)*(1)*(1)*(1)*(1 + (0))</f>
      </c>
      <c r="D635" s="21" t="s">
        <v>170</v>
      </c>
      <c r="E635" s="21"/>
      <c r="F635" s="21">
        <f>(0)</f>
      </c>
      <c r="G635" s="21">
        <f>(C635 * E635 + C635 * E635 * F635)</f>
      </c>
    </row>
    <row r="636">
      <c r="A636" s="4"/>
      <c r="B636" s="16" t="s">
        <v>670</v>
      </c>
      <c r="C636" s="21">
        <f>(1)*(1)*(1)*(1)*(1 + (0))</f>
      </c>
      <c r="D636" s="21" t="s">
        <v>170</v>
      </c>
      <c r="E636" s="21"/>
      <c r="F636" s="21">
        <f>(0)</f>
      </c>
      <c r="G636" s="21">
        <f>(C636 * E636 + C636 * E636 * F636)</f>
      </c>
    </row>
    <row r="637">
      <c r="A637" s="4"/>
      <c r="B637" s="16" t="s">
        <v>671</v>
      </c>
      <c r="C637" s="21">
        <f>(1)*(1)*(1)*(1)*(1 + (0))</f>
      </c>
      <c r="D637" s="21" t="s">
        <v>170</v>
      </c>
      <c r="E637" s="21"/>
      <c r="F637" s="21">
        <f>(0)</f>
      </c>
      <c r="G637" s="21">
        <f>(C637 * E637 + C637 * E637 * F637)</f>
      </c>
    </row>
    <row r="638">
      <c r="A638" s="4"/>
      <c r="B638" s="16" t="s">
        <v>672</v>
      </c>
      <c r="C638" s="21">
        <f>(3)*(1)*(1)*(1)*(1 + (0))</f>
      </c>
      <c r="D638" s="21" t="s">
        <v>170</v>
      </c>
      <c r="E638" s="21"/>
      <c r="F638" s="21">
        <f>(0)</f>
      </c>
      <c r="G638" s="21">
        <f>(C638 * E638 + C638 * E638 * F638)</f>
      </c>
    </row>
    <row r="639">
      <c r="A639" s="4"/>
      <c r="B639" s="16" t="s">
        <v>673</v>
      </c>
      <c r="C639" s="21">
        <f>(4)*(1)*(1)*(1)*(1 + (0))</f>
      </c>
      <c r="D639" s="21" t="s">
        <v>170</v>
      </c>
      <c r="E639" s="21"/>
      <c r="F639" s="21">
        <f>(0)</f>
      </c>
      <c r="G639" s="21">
        <f>(C639 * E639 + C639 * E639 * F639)</f>
      </c>
    </row>
    <row r="640">
      <c r="A640" s="4"/>
      <c r="B640" s="16" t="s">
        <v>674</v>
      </c>
      <c r="C640" s="21">
        <f>(1)*(1)*(1)*(1)*(1 + (0))</f>
      </c>
      <c r="D640" s="21" t="s">
        <v>170</v>
      </c>
      <c r="E640" s="21"/>
      <c r="F640" s="21">
        <f>(0)</f>
      </c>
      <c r="G640" s="21">
        <f>(C640 * E640 + C640 * E640 * F640)</f>
      </c>
    </row>
    <row r="641">
      <c r="A641" s="4"/>
      <c r="B641" s="16" t="s">
        <v>675</v>
      </c>
      <c r="C641" s="21">
        <f>(1)*(1)*(1)*(1)*(1 + (0))</f>
      </c>
      <c r="D641" s="21" t="s">
        <v>170</v>
      </c>
      <c r="E641" s="21"/>
      <c r="F641" s="21">
        <f>(0)</f>
      </c>
      <c r="G641" s="21">
        <f>(C641 * E641 + C641 * E641 * F641)</f>
      </c>
    </row>
    <row r="642">
      <c r="A642" s="4"/>
      <c r="B642" s="16" t="s">
        <v>676</v>
      </c>
      <c r="C642" s="21">
        <f>(3)*(1)*(1)*(1)*(1 + (0))</f>
      </c>
      <c r="D642" s="21" t="s">
        <v>170</v>
      </c>
      <c r="E642" s="21"/>
      <c r="F642" s="21">
        <f>(0)</f>
      </c>
      <c r="G642" s="21">
        <f>(C642 * E642 + C642 * E642 * F642)</f>
      </c>
    </row>
    <row r="643">
      <c r="A643" s="4"/>
      <c r="B643" s="16" t="s">
        <v>677</v>
      </c>
      <c r="C643" s="21">
        <f>(12)*(1)*(1)*(1)*(1 + (0))</f>
      </c>
      <c r="D643" s="21" t="s">
        <v>170</v>
      </c>
      <c r="E643" s="21"/>
      <c r="F643" s="21">
        <f>(0)</f>
      </c>
      <c r="G643" s="21">
        <f>(C643 * E643 + C643 * E643 * F643)</f>
      </c>
    </row>
    <row r="644">
      <c r="A644" s="4"/>
      <c r="B644" s="16" t="s">
        <v>678</v>
      </c>
      <c r="C644" s="21">
        <f>(23)*(1)*(1)*(1)*(1 + (0))</f>
      </c>
      <c r="D644" s="21" t="s">
        <v>170</v>
      </c>
      <c r="E644" s="21"/>
      <c r="F644" s="21">
        <f>(0)</f>
      </c>
      <c r="G644" s="21">
        <f>(C644 * E644 + C644 * E644 * F644)</f>
      </c>
    </row>
    <row r="645">
      <c r="A645" s="4"/>
      <c r="B645" s="16" t="s">
        <v>679</v>
      </c>
      <c r="C645" s="21">
        <f>(4)*(1)*(1)*(1)*(1 + (0))</f>
      </c>
      <c r="D645" s="21" t="s">
        <v>170</v>
      </c>
      <c r="E645" s="21"/>
      <c r="F645" s="21">
        <f>(0)</f>
      </c>
      <c r="G645" s="21">
        <f>(C645 * E645 + C645 * E645 * F645)</f>
      </c>
    </row>
    <row r="646">
      <c r="A646" s="4"/>
      <c r="B646" s="16" t="s">
        <v>680</v>
      </c>
      <c r="C646" s="21">
        <f>(6)*(1)*(1)*(1)*(1 + (0))</f>
      </c>
      <c r="D646" s="21" t="s">
        <v>170</v>
      </c>
      <c r="E646" s="21"/>
      <c r="F646" s="21">
        <f>(0)</f>
      </c>
      <c r="G646" s="21">
        <f>(C646 * E646 + C646 * E646 * F646)</f>
      </c>
    </row>
    <row r="647">
      <c r="A647" s="4"/>
      <c r="B647" s="16" t="s">
        <v>681</v>
      </c>
      <c r="C647" s="21">
        <f>(3)*(1)*(1)*(1)*(1 + (0))</f>
      </c>
      <c r="D647" s="21" t="s">
        <v>170</v>
      </c>
      <c r="E647" s="21"/>
      <c r="F647" s="21">
        <f>(0)</f>
      </c>
      <c r="G647" s="21">
        <f>(C647 * E647 + C647 * E647 * F647)</f>
      </c>
    </row>
    <row r="648">
      <c r="A648" s="4"/>
      <c r="B648" s="16" t="s">
        <v>682</v>
      </c>
      <c r="C648" s="21">
        <f>(1)*(1)*(1)*(1)*(1 + (0))</f>
      </c>
      <c r="D648" s="21" t="s">
        <v>170</v>
      </c>
      <c r="E648" s="21"/>
      <c r="F648" s="21">
        <f>(0)</f>
      </c>
      <c r="G648" s="21">
        <f>(C648 * E648 + C648 * E648 * F648)</f>
      </c>
    </row>
    <row r="649">
      <c r="A649" s="6"/>
      <c r="B649" s="15" t="s">
        <v>683</v>
      </c>
      <c r="C649" s="23"/>
      <c r="D649" s="23"/>
      <c r="E649" s="23"/>
      <c r="F649" s="23"/>
      <c r="G649" s="23"/>
    </row>
    <row r="650">
      <c r="A650" s="4"/>
      <c r="B650" s="16" t="s">
        <v>684</v>
      </c>
      <c r="C650" s="21">
        <f>(30)*(1)*(1)*(1)*(1 + (0))</f>
      </c>
      <c r="D650" s="21" t="s">
        <v>167</v>
      </c>
      <c r="E650" s="21"/>
      <c r="F650" s="21">
        <f>(0)</f>
      </c>
      <c r="G650" s="21">
        <f>(C650 * E650 + C650 * E650 * F650)</f>
      </c>
    </row>
    <row r="651">
      <c r="A651" s="4"/>
      <c r="B651" s="16" t="s">
        <v>685</v>
      </c>
      <c r="C651" s="21">
        <f>(0.375547909615545)*(1)*(1)*(1)*(1 + (0))</f>
      </c>
      <c r="D651" s="21" t="s">
        <v>495</v>
      </c>
      <c r="E651" s="21"/>
      <c r="F651" s="21">
        <f>(0)</f>
      </c>
      <c r="G651" s="21">
        <f>(C651 * E651 + C651 * E651 * F651)</f>
      </c>
    </row>
    <row r="652">
      <c r="A652" s="4"/>
      <c r="B652" s="16" t="s">
        <v>653</v>
      </c>
      <c r="C652" s="21">
        <f>(0.057)*(1)*(1)*(1)*(1 + (0))</f>
      </c>
      <c r="D652" s="21" t="s">
        <v>495</v>
      </c>
      <c r="E652" s="21"/>
      <c r="F652" s="21">
        <f>(0)</f>
      </c>
      <c r="G652" s="21">
        <f>(C652 * E652 + C652 * E652 * F652)</f>
      </c>
    </row>
    <row r="653">
      <c r="A653" s="6"/>
      <c r="B653" s="15" t="s">
        <v>686</v>
      </c>
      <c r="C653" s="23"/>
      <c r="D653" s="23"/>
      <c r="E653" s="23"/>
      <c r="F653" s="23"/>
      <c r="G653" s="23"/>
    </row>
    <row r="654">
      <c r="A654" s="4"/>
      <c r="B654" s="16" t="s">
        <v>687</v>
      </c>
      <c r="C654" s="21">
        <f>(2.54348696032382)*(1)*(1)*(1)*(1 + (0))</f>
      </c>
      <c r="D654" s="21" t="s">
        <v>495</v>
      </c>
      <c r="E654" s="21"/>
      <c r="F654" s="21">
        <f>(0)</f>
      </c>
      <c r="G654" s="21">
        <f>(C654 * E654 + C654 * E654 * F654)</f>
      </c>
    </row>
    <row r="655">
      <c r="A655" s="4"/>
      <c r="B655" s="16" t="s">
        <v>653</v>
      </c>
      <c r="C655" s="21">
        <f>(0.381523044048572)*(1)*(1)*(1)*(1 + (0))</f>
      </c>
      <c r="D655" s="21" t="s">
        <v>495</v>
      </c>
      <c r="E655" s="21"/>
      <c r="F655" s="21">
        <f>(0)</f>
      </c>
      <c r="G655" s="21">
        <f>(C655 * E655 + C655 * E655 * F655)</f>
      </c>
    </row>
    <row r="656">
      <c r="A656" s="4"/>
      <c r="B656" s="16" t="s">
        <v>688</v>
      </c>
      <c r="C656" s="21">
        <f>(65)*(1)*(1)*(1)*(1 + (0))</f>
      </c>
      <c r="D656" s="21" t="s">
        <v>167</v>
      </c>
      <c r="E656" s="21"/>
      <c r="F656" s="21">
        <f>(0)</f>
      </c>
      <c r="G656" s="21">
        <f>(C656 * E656 + C656 * E656 * F656)</f>
      </c>
    </row>
    <row r="657">
      <c r="A657" s="4"/>
      <c r="B657" s="16" t="s">
        <v>689</v>
      </c>
      <c r="C657" s="21">
        <f>(117)*(1)*(1)*(1)*(1 + (0))</f>
      </c>
      <c r="D657" s="21" t="s">
        <v>167</v>
      </c>
      <c r="E657" s="21"/>
      <c r="F657" s="21">
        <f>(0)</f>
      </c>
      <c r="G657" s="21">
        <f>(C657 * E657 + C657 * E657 * F657)</f>
      </c>
    </row>
    <row r="658">
      <c r="A658" s="4"/>
      <c r="B658" s="16" t="s">
        <v>690</v>
      </c>
      <c r="C658" s="21">
        <f>(14)*(1)*(1)*(1)*(1 + (0))</f>
      </c>
      <c r="D658" s="21" t="s">
        <v>167</v>
      </c>
      <c r="E658" s="21"/>
      <c r="F658" s="21">
        <f>(0)</f>
      </c>
      <c r="G658" s="21">
        <f>(C658 * E658 + C658 * E658 * F658)</f>
      </c>
    </row>
    <row r="659">
      <c r="A659" s="4"/>
      <c r="B659" s="16" t="s">
        <v>691</v>
      </c>
      <c r="C659" s="21">
        <f>(41)*(1)*(1)*(1)*(1 + (0))</f>
      </c>
      <c r="D659" s="21" t="s">
        <v>167</v>
      </c>
      <c r="E659" s="21"/>
      <c r="F659" s="21">
        <f>(0)</f>
      </c>
      <c r="G659" s="21">
        <f>(C659 * E659 + C659 * E659 * F659)</f>
      </c>
    </row>
    <row r="660">
      <c r="A660" s="5"/>
      <c r="B660" s="13" t="s">
        <v>692</v>
      </c>
      <c r="C660" s="22"/>
      <c r="D660" s="22"/>
      <c r="E660" s="22"/>
      <c r="F660" s="22"/>
      <c r="G660" s="22"/>
    </row>
    <row r="661">
      <c r="A661" s="6"/>
      <c r="B661" s="15" t="s">
        <v>650</v>
      </c>
      <c r="C661" s="23"/>
      <c r="D661" s="23"/>
      <c r="E661" s="23"/>
      <c r="F661" s="23"/>
      <c r="G661" s="23"/>
    </row>
    <row r="662">
      <c r="A662" s="4"/>
      <c r="B662" s="16" t="s">
        <v>693</v>
      </c>
      <c r="C662" s="21">
        <f>(0.42735)*(1)*(1)*(1)*(1 + (0))</f>
      </c>
      <c r="D662" s="21" t="s">
        <v>495</v>
      </c>
      <c r="E662" s="21"/>
      <c r="F662" s="21">
        <f>(0)</f>
      </c>
      <c r="G662" s="21">
        <f>(C662 * E662 + C662 * E662 * F662)</f>
      </c>
    </row>
    <row r="663">
      <c r="A663" s="4"/>
      <c r="B663" s="16" t="s">
        <v>653</v>
      </c>
      <c r="C663" s="21">
        <f>(0.0641025)*(1)*(1)*(1)*(1 + (0))</f>
      </c>
      <c r="D663" s="21" t="s">
        <v>495</v>
      </c>
      <c r="E663" s="21"/>
      <c r="F663" s="21">
        <f>(0)</f>
      </c>
      <c r="G663" s="21">
        <f>(C663 * E663 + C663 * E663 * F663)</f>
      </c>
    </row>
    <row r="664">
      <c r="A664" s="4"/>
      <c r="B664" s="16" t="s">
        <v>694</v>
      </c>
      <c r="C664" s="21">
        <f>(3)*(1)*(1)*(1)*(1 + (0))</f>
      </c>
      <c r="D664" s="21" t="s">
        <v>170</v>
      </c>
      <c r="E664" s="21"/>
      <c r="F664" s="21">
        <f>(0)</f>
      </c>
      <c r="G664" s="21">
        <f>(C664 * E664 + C664 * E664 * F664)</f>
      </c>
    </row>
    <row r="665">
      <c r="A665" s="6"/>
      <c r="B665" s="15" t="s">
        <v>695</v>
      </c>
      <c r="C665" s="23"/>
      <c r="D665" s="23"/>
      <c r="E665" s="23"/>
      <c r="F665" s="23"/>
      <c r="G665" s="23"/>
    </row>
    <row r="666">
      <c r="A666" s="4"/>
      <c r="B666" s="16" t="s">
        <v>696</v>
      </c>
      <c r="C666" s="21">
        <f>(0.69122088674916)*(1)*(1)*(1)*(1 + (0))</f>
      </c>
      <c r="D666" s="21" t="s">
        <v>495</v>
      </c>
      <c r="E666" s="21"/>
      <c r="F666" s="21">
        <f>(0)</f>
      </c>
      <c r="G666" s="21">
        <f>(C666 * E666 + C666 * E666 * F666)</f>
      </c>
    </row>
    <row r="667">
      <c r="A667" s="4"/>
      <c r="B667" s="16" t="s">
        <v>697</v>
      </c>
      <c r="C667" s="21">
        <f>(0.0294322442660568)*(1)*(1)*(1)*(1 + (0))</f>
      </c>
      <c r="D667" s="21" t="s">
        <v>495</v>
      </c>
      <c r="E667" s="21"/>
      <c r="F667" s="21">
        <f>(0)</f>
      </c>
      <c r="G667" s="21">
        <f>(C667 * E667 + C667 * E667 * F667)</f>
      </c>
    </row>
    <row r="668">
      <c r="A668" s="4"/>
      <c r="B668" s="16" t="s">
        <v>698</v>
      </c>
      <c r="C668" s="21">
        <f>(0.0315026067758169)*(1)*(1)*(1)*(1 + (0))</f>
      </c>
      <c r="D668" s="21" t="s">
        <v>495</v>
      </c>
      <c r="E668" s="21"/>
      <c r="F668" s="21">
        <f>(0)</f>
      </c>
      <c r="G668" s="21">
        <f>(C668 * E668 + C668 * E668 * F668)</f>
      </c>
    </row>
    <row r="669">
      <c r="A669" s="4"/>
      <c r="B669" s="16" t="s">
        <v>653</v>
      </c>
      <c r="C669" s="21">
        <f>(0.112823360668655)*(1)*(1)*(1)*(1 + (0))</f>
      </c>
      <c r="D669" s="21" t="s">
        <v>495</v>
      </c>
      <c r="E669" s="21"/>
      <c r="F669" s="21">
        <f>(0)</f>
      </c>
      <c r="G669" s="21">
        <f>(C669 * E669 + C669 * E669 * F669)</f>
      </c>
    </row>
    <row r="670">
      <c r="A670" s="4"/>
      <c r="B670" s="16" t="s">
        <v>699</v>
      </c>
      <c r="C670" s="21">
        <f>(2)*(1)*(1)*(1)*(1 + (0))</f>
      </c>
      <c r="D670" s="21" t="s">
        <v>170</v>
      </c>
      <c r="E670" s="21"/>
      <c r="F670" s="21">
        <f>(0)</f>
      </c>
      <c r="G670" s="21">
        <f>(C670 * E670 + C670 * E670 * F670)</f>
      </c>
    </row>
    <row r="671">
      <c r="A671" s="4"/>
      <c r="B671" s="16" t="s">
        <v>700</v>
      </c>
      <c r="C671" s="21">
        <f>(4)*(1)*(1)*(1)*(1 + (0))</f>
      </c>
      <c r="D671" s="21" t="s">
        <v>170</v>
      </c>
      <c r="E671" s="21"/>
      <c r="F671" s="21">
        <f>(0)</f>
      </c>
      <c r="G671" s="21">
        <f>(C671 * E671 + C671 * E671 * F671)</f>
      </c>
    </row>
    <row r="672">
      <c r="A672" s="6"/>
      <c r="B672" s="15" t="s">
        <v>701</v>
      </c>
      <c r="C672" s="23"/>
      <c r="D672" s="23"/>
      <c r="E672" s="23"/>
      <c r="F672" s="23"/>
      <c r="G672" s="23"/>
    </row>
    <row r="673">
      <c r="A673" s="4"/>
      <c r="B673" s="16" t="s">
        <v>702</v>
      </c>
      <c r="C673" s="21">
        <f>(16)*(1)*(1)*(1)*(1 + (0))</f>
      </c>
      <c r="D673" s="21" t="s">
        <v>9</v>
      </c>
      <c r="E673" s="21"/>
      <c r="F673" s="21">
        <f>(0)</f>
      </c>
      <c r="G673" s="21">
        <f>(C673 * E673 + C673 * E673 * F673)</f>
      </c>
    </row>
    <row r="674">
      <c r="A674" s="5"/>
      <c r="B674" s="13" t="s">
        <v>703</v>
      </c>
      <c r="C674" s="22"/>
      <c r="D674" s="22"/>
      <c r="E674" s="22"/>
      <c r="F674" s="22"/>
      <c r="G674" s="22"/>
    </row>
    <row r="675">
      <c r="A675" s="6"/>
      <c r="B675" s="15" t="s">
        <v>704</v>
      </c>
      <c r="C675" s="23"/>
      <c r="D675" s="23"/>
      <c r="E675" s="23"/>
      <c r="F675" s="23"/>
      <c r="G675" s="23"/>
    </row>
    <row r="676">
      <c r="A676" s="4"/>
      <c r="B676" s="16" t="s">
        <v>705</v>
      </c>
      <c r="C676" s="21">
        <f>(0.111073873619922)*(1)*(1)*(1)*(1 + (0))</f>
      </c>
      <c r="D676" s="21" t="s">
        <v>495</v>
      </c>
      <c r="E676" s="21"/>
      <c r="F676" s="21">
        <f>(0)</f>
      </c>
      <c r="G676" s="21">
        <f>(C676 * E676 + C676 * E676 * F676)</f>
      </c>
    </row>
    <row r="677">
      <c r="A677" s="4"/>
      <c r="B677" s="16" t="s">
        <v>653</v>
      </c>
      <c r="C677" s="21">
        <f>(0.0166610810429883)*(1)*(1)*(1)*(1 + (0))</f>
      </c>
      <c r="D677" s="21" t="s">
        <v>495</v>
      </c>
      <c r="E677" s="21"/>
      <c r="F677" s="21">
        <f>(0)</f>
      </c>
      <c r="G677" s="21">
        <f>(C677 * E677 + C677 * E677 * F677)</f>
      </c>
    </row>
    <row r="678">
      <c r="A678" s="4"/>
      <c r="B678" s="16" t="s">
        <v>706</v>
      </c>
      <c r="C678" s="21">
        <f>(2)*(1)*(1)*(1)*(1 + (0))</f>
      </c>
      <c r="D678" s="21" t="s">
        <v>170</v>
      </c>
      <c r="E678" s="21"/>
      <c r="F678" s="21">
        <f>(0)</f>
      </c>
      <c r="G678" s="21">
        <f>(C678 * E678 + C678 * E678 * F678)</f>
      </c>
    </row>
    <row r="679">
      <c r="A679" s="6"/>
      <c r="B679" s="15" t="s">
        <v>707</v>
      </c>
      <c r="C679" s="23"/>
      <c r="D679" s="23"/>
      <c r="E679" s="23"/>
      <c r="F679" s="23"/>
      <c r="G679" s="23"/>
    </row>
    <row r="680">
      <c r="A680" s="4"/>
      <c r="B680" s="16" t="s">
        <v>708</v>
      </c>
      <c r="C680" s="21">
        <f>(19)*(1)*(1)*(1)*(1 + (0))</f>
      </c>
      <c r="D680" s="21" t="s">
        <v>167</v>
      </c>
      <c r="E680" s="21"/>
      <c r="F680" s="21">
        <f>(0)</f>
      </c>
      <c r="G680" s="21">
        <f>(C680 * E680 + C680 * E680 * F680)</f>
      </c>
    </row>
    <row r="681">
      <c r="A681" s="4"/>
      <c r="B681" s="16" t="s">
        <v>709</v>
      </c>
      <c r="C681" s="21">
        <f>(4)*(1)*(1)*(1)*(1 + (0))</f>
      </c>
      <c r="D681" s="21" t="s">
        <v>167</v>
      </c>
      <c r="E681" s="21"/>
      <c r="F681" s="21">
        <f>(0)</f>
      </c>
      <c r="G681" s="21">
        <f>(C681 * E681 + C681 * E681 * F681)</f>
      </c>
    </row>
    <row r="682">
      <c r="A682" s="5"/>
      <c r="B682" s="13" t="s">
        <v>710</v>
      </c>
      <c r="C682" s="22"/>
      <c r="D682" s="22"/>
      <c r="E682" s="22"/>
      <c r="F682" s="22"/>
      <c r="G682" s="22"/>
    </row>
    <row r="683">
      <c r="A683" s="6"/>
      <c r="B683" s="15" t="s">
        <v>711</v>
      </c>
      <c r="C683" s="23"/>
      <c r="D683" s="23"/>
      <c r="E683" s="23"/>
      <c r="F683" s="23"/>
      <c r="G683" s="23"/>
    </row>
    <row r="684">
      <c r="A684" s="4"/>
      <c r="B684" s="16" t="s">
        <v>651</v>
      </c>
      <c r="C684" s="21">
        <f>(0.393)*(1)*(1)*(1)*(1 + (0))</f>
      </c>
      <c r="D684" s="21" t="s">
        <v>495</v>
      </c>
      <c r="E684" s="21"/>
      <c r="F684" s="21">
        <f>(0)</f>
      </c>
      <c r="G684" s="21">
        <f>(C684 * E684 + C684 * E684 * F684)</f>
      </c>
    </row>
    <row r="685">
      <c r="A685" s="4"/>
      <c r="B685" s="16" t="s">
        <v>653</v>
      </c>
      <c r="C685" s="21">
        <f>(0.05895)*(1)*(1)*(1)*(1 + (0))</f>
      </c>
      <c r="D685" s="21" t="s">
        <v>495</v>
      </c>
      <c r="E685" s="21"/>
      <c r="F685" s="21">
        <f>(0)</f>
      </c>
      <c r="G685" s="21">
        <f>(C685 * E685 + C685 * E685 * F685)</f>
      </c>
    </row>
    <row r="686">
      <c r="A686" s="4"/>
      <c r="B686" s="16" t="s">
        <v>654</v>
      </c>
      <c r="C686" s="21">
        <f>(4)*(1)*(1)*(1)*(1 + (0))</f>
      </c>
      <c r="D686" s="21" t="s">
        <v>170</v>
      </c>
      <c r="E686" s="21"/>
      <c r="F686" s="21">
        <f>(0)</f>
      </c>
      <c r="G686" s="21">
        <f>(C686 * E686 + C686 * E686 * F686)</f>
      </c>
    </row>
    <row r="687">
      <c r="A687" s="6"/>
      <c r="B687" s="15" t="s">
        <v>704</v>
      </c>
      <c r="C687" s="23"/>
      <c r="D687" s="23"/>
      <c r="E687" s="23"/>
      <c r="F687" s="23"/>
      <c r="G687" s="23"/>
    </row>
    <row r="688">
      <c r="A688" s="4"/>
      <c r="B688" s="16" t="s">
        <v>712</v>
      </c>
      <c r="C688" s="21">
        <f>(0.244931153768172)*(1)*(1)*(1)*(1 + (0))</f>
      </c>
      <c r="D688" s="21" t="s">
        <v>495</v>
      </c>
      <c r="E688" s="21"/>
      <c r="F688" s="21">
        <f>(0)</f>
      </c>
      <c r="G688" s="21">
        <f>(C688 * E688 + C688 * E688 * F688)</f>
      </c>
    </row>
    <row r="689">
      <c r="A689" s="4"/>
      <c r="B689" s="16" t="s">
        <v>653</v>
      </c>
      <c r="C689" s="21">
        <f>(0.0367396730652258)*(1)*(1)*(1)*(1 + (0))</f>
      </c>
      <c r="D689" s="21" t="s">
        <v>495</v>
      </c>
      <c r="E689" s="21"/>
      <c r="F689" s="21">
        <f>(0)</f>
      </c>
      <c r="G689" s="21">
        <f>(C689 * E689 + C689 * E689 * F689)</f>
      </c>
    </row>
    <row r="690">
      <c r="A690" s="6"/>
      <c r="B690" s="15" t="s">
        <v>713</v>
      </c>
      <c r="C690" s="23"/>
      <c r="D690" s="23"/>
      <c r="E690" s="23"/>
      <c r="F690" s="23"/>
      <c r="G690" s="23"/>
    </row>
    <row r="691">
      <c r="A691" s="4"/>
      <c r="B691" s="16" t="s">
        <v>714</v>
      </c>
      <c r="C691" s="21">
        <f>(0.0173813131156152)*(1)*(1)*(1)*(1 + (0))</f>
      </c>
      <c r="D691" s="21" t="s">
        <v>495</v>
      </c>
      <c r="E691" s="21"/>
      <c r="F691" s="21">
        <f>(0)</f>
      </c>
      <c r="G691" s="21">
        <f>(C691 * E691 + C691 * E691 * F691)</f>
      </c>
    </row>
    <row r="692">
      <c r="A692" s="4"/>
      <c r="B692" s="16" t="s">
        <v>653</v>
      </c>
      <c r="C692" s="21">
        <f>(0.003)*(1)*(1)*(1)*(1 + (0))</f>
      </c>
      <c r="D692" s="21" t="s">
        <v>495</v>
      </c>
      <c r="E692" s="21"/>
      <c r="F692" s="21">
        <f>(0)</f>
      </c>
      <c r="G692" s="21">
        <f>(C692 * E692 + C692 * E692 * F692)</f>
      </c>
    </row>
    <row r="693">
      <c r="A693" s="6"/>
      <c r="B693" s="15" t="s">
        <v>707</v>
      </c>
      <c r="C693" s="23"/>
      <c r="D693" s="23"/>
      <c r="E693" s="23"/>
      <c r="F693" s="23"/>
      <c r="G693" s="23"/>
    </row>
    <row r="694">
      <c r="A694" s="4"/>
      <c r="B694" s="16" t="s">
        <v>715</v>
      </c>
      <c r="C694" s="21">
        <f>(39)*(1)*(1)*(1)*(1 + (0))</f>
      </c>
      <c r="D694" s="21" t="s">
        <v>167</v>
      </c>
      <c r="E694" s="21"/>
      <c r="F694" s="21">
        <f>(0)</f>
      </c>
      <c r="G694" s="21">
        <f>(C694 * E694 + C694 * E694 * F694)</f>
      </c>
    </row>
    <row r="695">
      <c r="A695" s="4"/>
      <c r="B695" s="16" t="s">
        <v>716</v>
      </c>
      <c r="C695" s="21">
        <f>(8)*(1)*(1)*(1)*(1 + (0))</f>
      </c>
      <c r="D695" s="21" t="s">
        <v>167</v>
      </c>
      <c r="E695" s="21"/>
      <c r="F695" s="21">
        <f>(0)</f>
      </c>
      <c r="G695" s="21">
        <f>(C695 * E695 + C695 * E695 * F695)</f>
      </c>
    </row>
    <row r="696">
      <c r="A696" s="5"/>
      <c r="B696" s="13" t="s">
        <v>717</v>
      </c>
      <c r="C696" s="22"/>
      <c r="D696" s="22"/>
      <c r="E696" s="22"/>
      <c r="F696" s="22"/>
      <c r="G696" s="22"/>
    </row>
    <row r="697">
      <c r="A697" s="6"/>
      <c r="B697" s="15" t="s">
        <v>718</v>
      </c>
      <c r="C697" s="23"/>
      <c r="D697" s="23"/>
      <c r="E697" s="23"/>
      <c r="F697" s="23"/>
      <c r="G697" s="23"/>
    </row>
    <row r="698">
      <c r="A698" s="4"/>
      <c r="B698" s="16" t="s">
        <v>719</v>
      </c>
      <c r="C698" s="21">
        <f>(4.7940028)*(1)*(1)*(1)*(1 + (0))</f>
      </c>
      <c r="D698" s="21" t="s">
        <v>495</v>
      </c>
      <c r="E698" s="21"/>
      <c r="F698" s="21">
        <f>(0)</f>
      </c>
      <c r="G698" s="21">
        <f>(C698 * E698 + C698 * E698 * F698)</f>
      </c>
    </row>
    <row r="699">
      <c r="A699" s="4"/>
      <c r="B699" s="16" t="s">
        <v>652</v>
      </c>
      <c r="C699" s="21">
        <f>(2.996232)*(1)*(1)*(1)*(1 + (0))</f>
      </c>
      <c r="D699" s="21" t="s">
        <v>495</v>
      </c>
      <c r="E699" s="21"/>
      <c r="F699" s="21">
        <f>(0)</f>
      </c>
      <c r="G699" s="21">
        <f>(C699 * E699 + C699 * E699 * F699)</f>
      </c>
    </row>
    <row r="700">
      <c r="A700" s="4"/>
      <c r="B700" s="16" t="s">
        <v>653</v>
      </c>
      <c r="C700" s="21">
        <f>(1.16853522)*(1)*(1)*(1)*(1 + (0))</f>
      </c>
      <c r="D700" s="21" t="s">
        <v>495</v>
      </c>
      <c r="E700" s="21"/>
      <c r="F700" s="21">
        <f>(0)</f>
      </c>
      <c r="G700" s="21">
        <f>(C700 * E700 + C700 * E700 * F700)</f>
      </c>
    </row>
    <row r="701">
      <c r="A701" s="4"/>
      <c r="B701" s="16" t="s">
        <v>720</v>
      </c>
      <c r="C701" s="21">
        <f>(20)*(1)*(1)*(1)*(1 + (0))</f>
      </c>
      <c r="D701" s="21" t="s">
        <v>170</v>
      </c>
      <c r="E701" s="21"/>
      <c r="F701" s="21">
        <f>(0)</f>
      </c>
      <c r="G701" s="21">
        <f>(C701 * E701 + C701 * E701 * F701)</f>
      </c>
    </row>
    <row r="702">
      <c r="A702" s="4"/>
      <c r="B702" s="16" t="s">
        <v>655</v>
      </c>
      <c r="C702" s="21">
        <f>(14)*(1)*(1)*(1)*(1 + (0))</f>
      </c>
      <c r="D702" s="21" t="s">
        <v>170</v>
      </c>
      <c r="E702" s="21"/>
      <c r="F702" s="21">
        <f>(0)</f>
      </c>
      <c r="G702" s="21">
        <f>(C702 * E702 + C702 * E702 * F702)</f>
      </c>
    </row>
    <row r="703">
      <c r="A703" s="6"/>
      <c r="B703" s="15" t="s">
        <v>721</v>
      </c>
      <c r="C703" s="23"/>
      <c r="D703" s="23"/>
      <c r="E703" s="23"/>
      <c r="F703" s="23"/>
      <c r="G703" s="23"/>
    </row>
    <row r="704">
      <c r="A704" s="4"/>
      <c r="B704" s="16" t="s">
        <v>722</v>
      </c>
      <c r="C704" s="21">
        <f>(1.24680566636451)*(1)*(1)*(1)*(1 + (0))</f>
      </c>
      <c r="D704" s="21" t="s">
        <v>495</v>
      </c>
      <c r="E704" s="21"/>
      <c r="F704" s="21">
        <f>(0)</f>
      </c>
      <c r="G704" s="21">
        <f>(C704 * E704 + C704 * E704 * F704)</f>
      </c>
    </row>
    <row r="705">
      <c r="A705" s="4"/>
      <c r="B705" s="16" t="s">
        <v>723</v>
      </c>
      <c r="C705" s="21">
        <f>(3.16420428751496)*(1)*(1)*(1)*(1 + (0))</f>
      </c>
      <c r="D705" s="21" t="s">
        <v>495</v>
      </c>
      <c r="E705" s="21"/>
      <c r="F705" s="21">
        <f>(0)</f>
      </c>
      <c r="G705" s="21">
        <f>(C705 * E705 + C705 * E705 * F705)</f>
      </c>
    </row>
    <row r="706">
      <c r="A706" s="4"/>
      <c r="B706" s="16" t="s">
        <v>724</v>
      </c>
      <c r="C706" s="21">
        <f>(7.15569454710134)*(1)*(1)*(1)*(1 + (0))</f>
      </c>
      <c r="D706" s="21" t="s">
        <v>495</v>
      </c>
      <c r="E706" s="21"/>
      <c r="F706" s="21">
        <f>(0)</f>
      </c>
      <c r="G706" s="21">
        <f>(C706 * E706 + C706 * E706 * F706)</f>
      </c>
    </row>
    <row r="707">
      <c r="A707" s="4"/>
      <c r="B707" s="16" t="s">
        <v>725</v>
      </c>
      <c r="C707" s="21">
        <f>(0.256411319597611)*(1)*(1)*(1)*(1 + (0))</f>
      </c>
      <c r="D707" s="21" t="s">
        <v>495</v>
      </c>
      <c r="E707" s="21"/>
      <c r="F707" s="21">
        <f>(0)</f>
      </c>
      <c r="G707" s="21">
        <f>(C707 * E707 + C707 * E707 * F707)</f>
      </c>
    </row>
    <row r="708">
      <c r="A708" s="4"/>
      <c r="B708" s="16" t="s">
        <v>726</v>
      </c>
      <c r="C708" s="21">
        <f>(1.02922712659021)*(1)*(1)*(1)*(1 + (0))</f>
      </c>
      <c r="D708" s="21" t="s">
        <v>495</v>
      </c>
      <c r="E708" s="21"/>
      <c r="F708" s="21">
        <f>(0)</f>
      </c>
      <c r="G708" s="21">
        <f>(C708 * E708 + C708 * E708 * F708)</f>
      </c>
    </row>
    <row r="709">
      <c r="A709" s="4"/>
      <c r="B709" s="16" t="s">
        <v>727</v>
      </c>
      <c r="C709" s="21">
        <f>(1.77692770347178)*(1)*(1)*(1)*(1 + (0))</f>
      </c>
      <c r="D709" s="21" t="s">
        <v>495</v>
      </c>
      <c r="E709" s="21"/>
      <c r="F709" s="21">
        <f>(0)</f>
      </c>
      <c r="G709" s="21">
        <f>(C709 * E709 + C709 * E709 * F709)</f>
      </c>
    </row>
    <row r="710">
      <c r="A710" s="4"/>
      <c r="B710" s="16" t="s">
        <v>728</v>
      </c>
      <c r="C710" s="21">
        <f>(0.0874169041923262)*(1)*(1)*(1)*(1 + (0))</f>
      </c>
      <c r="D710" s="21" t="s">
        <v>495</v>
      </c>
      <c r="E710" s="21"/>
      <c r="F710" s="21">
        <f>(0)</f>
      </c>
      <c r="G710" s="21">
        <f>(C710 * E710 + C710 * E710 * F710)</f>
      </c>
    </row>
    <row r="711">
      <c r="A711" s="4"/>
      <c r="B711" s="16" t="s">
        <v>729</v>
      </c>
      <c r="C711" s="21">
        <f>(0.633718284264648)*(1)*(1)*(1)*(1 + (0))</f>
      </c>
      <c r="D711" s="21" t="s">
        <v>495</v>
      </c>
      <c r="E711" s="21"/>
      <c r="F711" s="21">
        <f>(0)</f>
      </c>
      <c r="G711" s="21">
        <f>(C711 * E711 + C711 * E711 * F711)</f>
      </c>
    </row>
    <row r="712">
      <c r="A712" s="4"/>
      <c r="B712" s="16" t="s">
        <v>666</v>
      </c>
      <c r="C712" s="21">
        <f>(0.405712741277306)*(1)*(1)*(1)*(1 + (0))</f>
      </c>
      <c r="D712" s="21" t="s">
        <v>495</v>
      </c>
      <c r="E712" s="21"/>
      <c r="F712" s="21">
        <f>(0)</f>
      </c>
      <c r="G712" s="21">
        <f>(C712 * E712 + C712 * E712 * F712)</f>
      </c>
    </row>
    <row r="713">
      <c r="A713" s="4"/>
      <c r="B713" s="16" t="s">
        <v>730</v>
      </c>
      <c r="C713" s="21">
        <f>(0.445844497757941)*(1)*(1)*(1)*(1 + (0))</f>
      </c>
      <c r="D713" s="21" t="s">
        <v>495</v>
      </c>
      <c r="E713" s="21"/>
      <c r="F713" s="21">
        <f>(0)</f>
      </c>
      <c r="G713" s="21">
        <f>(C713 * E713 + C713 * E713 * F713)</f>
      </c>
    </row>
    <row r="714">
      <c r="A714" s="4"/>
      <c r="B714" s="16" t="s">
        <v>731</v>
      </c>
      <c r="C714" s="21">
        <f>(1.45160488372601)*(1)*(1)*(1)*(1 + (0))</f>
      </c>
      <c r="D714" s="21" t="s">
        <v>495</v>
      </c>
      <c r="E714" s="21"/>
      <c r="F714" s="21">
        <f>(0)</f>
      </c>
      <c r="G714" s="21">
        <f>(C714 * E714 + C714 * E714 * F714)</f>
      </c>
    </row>
    <row r="715">
      <c r="A715" s="4"/>
      <c r="B715" s="16" t="s">
        <v>732</v>
      </c>
      <c r="C715" s="21">
        <f>(6.94460564315803)*(1)*(1)*(1)*(1 + (0))</f>
      </c>
      <c r="D715" s="21" t="s">
        <v>495</v>
      </c>
      <c r="E715" s="21"/>
      <c r="F715" s="21">
        <f>(0)</f>
      </c>
      <c r="G715" s="21">
        <f>(C715 * E715 + C715 * E715 * F715)</f>
      </c>
    </row>
    <row r="716">
      <c r="A716" s="4"/>
      <c r="B716" s="16" t="s">
        <v>733</v>
      </c>
      <c r="C716" s="21">
        <f>(0.618356953607116)*(1)*(1)*(1)*(1 + (0))</f>
      </c>
      <c r="D716" s="21" t="s">
        <v>495</v>
      </c>
      <c r="E716" s="21"/>
      <c r="F716" s="21">
        <f>(0)</f>
      </c>
      <c r="G716" s="21">
        <f>(C716 * E716 + C716 * E716 * F716)</f>
      </c>
    </row>
    <row r="717">
      <c r="A717" s="4"/>
      <c r="B717" s="16" t="s">
        <v>734</v>
      </c>
      <c r="C717" s="21">
        <f>(1.13164177524468)*(1)*(1)*(1)*(1 + (0))</f>
      </c>
      <c r="D717" s="21" t="s">
        <v>495</v>
      </c>
      <c r="E717" s="21"/>
      <c r="F717" s="21">
        <f>(0)</f>
      </c>
      <c r="G717" s="21">
        <f>(C717 * E717 + C717 * E717 * F717)</f>
      </c>
    </row>
    <row r="718">
      <c r="A718" s="4"/>
      <c r="B718" s="16" t="s">
        <v>657</v>
      </c>
      <c r="C718" s="21">
        <f>(0.163587695929133)*(1)*(1)*(1)*(1 + (0))</f>
      </c>
      <c r="D718" s="21" t="s">
        <v>495</v>
      </c>
      <c r="E718" s="21"/>
      <c r="F718" s="21">
        <f>(0)</f>
      </c>
      <c r="G718" s="21">
        <f>(C718 * E718 + C718 * E718 * F718)</f>
      </c>
    </row>
    <row r="719">
      <c r="A719" s="4"/>
      <c r="B719" s="16" t="s">
        <v>735</v>
      </c>
      <c r="C719" s="21">
        <f>(0.545403009883271)*(1)*(1)*(1)*(1 + (0))</f>
      </c>
      <c r="D719" s="21" t="s">
        <v>495</v>
      </c>
      <c r="E719" s="21"/>
      <c r="F719" s="21">
        <f>(0)</f>
      </c>
      <c r="G719" s="21">
        <f>(C719 * E719 + C719 * E719 * F719)</f>
      </c>
    </row>
    <row r="720">
      <c r="A720" s="4"/>
      <c r="B720" s="16" t="s">
        <v>653</v>
      </c>
      <c r="C720" s="21">
        <f>(4.05857445595213)*(1)*(1)*(1)*(1 + (0))</f>
      </c>
      <c r="D720" s="21" t="s">
        <v>495</v>
      </c>
      <c r="E720" s="21"/>
      <c r="F720" s="21">
        <f>(0)</f>
      </c>
      <c r="G720" s="21">
        <f>(C720 * E720 + C720 * E720 * F720)</f>
      </c>
    </row>
    <row r="721">
      <c r="A721" s="4"/>
      <c r="B721" s="16" t="s">
        <v>736</v>
      </c>
      <c r="C721" s="21">
        <f>(2)*(1)*(1)*(1)*(1 + (0))</f>
      </c>
      <c r="D721" s="21" t="s">
        <v>170</v>
      </c>
      <c r="E721" s="21"/>
      <c r="F721" s="21">
        <f>(0)</f>
      </c>
      <c r="G721" s="21">
        <f>(C721 * E721 + C721 * E721 * F721)</f>
      </c>
    </row>
    <row r="722">
      <c r="A722" s="4"/>
      <c r="B722" s="16" t="s">
        <v>737</v>
      </c>
      <c r="C722" s="21">
        <f>(3)*(1)*(1)*(1)*(1 + (0))</f>
      </c>
      <c r="D722" s="21" t="s">
        <v>170</v>
      </c>
      <c r="E722" s="21"/>
      <c r="F722" s="21">
        <f>(0)</f>
      </c>
      <c r="G722" s="21">
        <f>(C722 * E722 + C722 * E722 * F722)</f>
      </c>
    </row>
    <row r="723">
      <c r="A723" s="4"/>
      <c r="B723" s="16" t="s">
        <v>738</v>
      </c>
      <c r="C723" s="21">
        <f>(6)*(1)*(1)*(1)*(1 + (0))</f>
      </c>
      <c r="D723" s="21" t="s">
        <v>170</v>
      </c>
      <c r="E723" s="21"/>
      <c r="F723" s="21">
        <f>(0)</f>
      </c>
      <c r="G723" s="21">
        <f>(C723 * E723 + C723 * E723 * F723)</f>
      </c>
    </row>
    <row r="724">
      <c r="A724" s="4"/>
      <c r="B724" s="16" t="s">
        <v>739</v>
      </c>
      <c r="C724" s="21">
        <f>(9)*(1)*(1)*(1)*(1 + (0))</f>
      </c>
      <c r="D724" s="21" t="s">
        <v>170</v>
      </c>
      <c r="E724" s="21"/>
      <c r="F724" s="21">
        <f>(0)</f>
      </c>
      <c r="G724" s="21">
        <f>(C724 * E724 + C724 * E724 * F724)</f>
      </c>
    </row>
    <row r="725">
      <c r="A725" s="4"/>
      <c r="B725" s="16" t="s">
        <v>740</v>
      </c>
      <c r="C725" s="21">
        <f>(18)*(1)*(1)*(1)*(1 + (0))</f>
      </c>
      <c r="D725" s="21" t="s">
        <v>170</v>
      </c>
      <c r="E725" s="21"/>
      <c r="F725" s="21">
        <f>(0)</f>
      </c>
      <c r="G725" s="21">
        <f>(C725 * E725 + C725 * E725 * F725)</f>
      </c>
    </row>
    <row r="726">
      <c r="A726" s="4"/>
      <c r="B726" s="16" t="s">
        <v>682</v>
      </c>
      <c r="C726" s="21">
        <f>(1)*(1)*(1)*(1)*(1 + (0))</f>
      </c>
      <c r="D726" s="21" t="s">
        <v>170</v>
      </c>
      <c r="E726" s="21"/>
      <c r="F726" s="21">
        <f>(0)</f>
      </c>
      <c r="G726" s="21">
        <f>(C726 * E726 + C726 * E726 * F726)</f>
      </c>
    </row>
    <row r="727">
      <c r="A727" s="4"/>
      <c r="B727" s="16" t="s">
        <v>741</v>
      </c>
      <c r="C727" s="21">
        <f>(2)*(1)*(1)*(1)*(1 + (0))</f>
      </c>
      <c r="D727" s="21" t="s">
        <v>170</v>
      </c>
      <c r="E727" s="21"/>
      <c r="F727" s="21">
        <f>(0)</f>
      </c>
      <c r="G727" s="21">
        <f>(C727 * E727 + C727 * E727 * F727)</f>
      </c>
    </row>
    <row r="728">
      <c r="A728" s="4"/>
      <c r="B728" s="16" t="s">
        <v>742</v>
      </c>
      <c r="C728" s="21">
        <f>(4)*(1)*(1)*(1)*(1 + (0))</f>
      </c>
      <c r="D728" s="21" t="s">
        <v>170</v>
      </c>
      <c r="E728" s="21"/>
      <c r="F728" s="21">
        <f>(0)</f>
      </c>
      <c r="G728" s="21">
        <f>(C728 * E728 + C728 * E728 * F728)</f>
      </c>
    </row>
    <row r="729">
      <c r="A729" s="4"/>
      <c r="B729" s="16" t="s">
        <v>681</v>
      </c>
      <c r="C729" s="21">
        <f>(6)*(1)*(1)*(1)*(1 + (0))</f>
      </c>
      <c r="D729" s="21" t="s">
        <v>170</v>
      </c>
      <c r="E729" s="21"/>
      <c r="F729" s="21">
        <f>(0)</f>
      </c>
      <c r="G729" s="21">
        <f>(C729 * E729 + C729 * E729 * F729)</f>
      </c>
    </row>
    <row r="730">
      <c r="A730" s="4"/>
      <c r="B730" s="16" t="s">
        <v>743</v>
      </c>
      <c r="C730" s="21">
        <f>(1)*(1)*(1)*(1)*(1 + (0))</f>
      </c>
      <c r="D730" s="21" t="s">
        <v>170</v>
      </c>
      <c r="E730" s="21"/>
      <c r="F730" s="21">
        <f>(0)</f>
      </c>
      <c r="G730" s="21">
        <f>(C730 * E730 + C730 * E730 * F730)</f>
      </c>
    </row>
    <row r="731">
      <c r="A731" s="6"/>
      <c r="B731" s="15" t="s">
        <v>744</v>
      </c>
      <c r="C731" s="23"/>
      <c r="D731" s="23"/>
      <c r="E731" s="23"/>
      <c r="F731" s="23"/>
      <c r="G731" s="23"/>
    </row>
    <row r="732">
      <c r="A732" s="4"/>
      <c r="B732" s="16" t="s">
        <v>745</v>
      </c>
      <c r="C732" s="21">
        <f>(0.672079945306386)*(1)*(1)*(1)*(1 + (0))</f>
      </c>
      <c r="D732" s="21" t="s">
        <v>495</v>
      </c>
      <c r="E732" s="21"/>
      <c r="F732" s="21">
        <f>(0)</f>
      </c>
      <c r="G732" s="21">
        <f>(C732 * E732 + C732 * E732 * F732)</f>
      </c>
    </row>
    <row r="733">
      <c r="A733" s="4"/>
      <c r="B733" s="16" t="s">
        <v>653</v>
      </c>
      <c r="C733" s="21">
        <f>(0.100811991795958)*(1)*(1)*(1)*(1 + (0))</f>
      </c>
      <c r="D733" s="21" t="s">
        <v>495</v>
      </c>
      <c r="E733" s="21"/>
      <c r="F733" s="21">
        <f>(0)</f>
      </c>
      <c r="G733" s="21">
        <f>(C733 * E733 + C733 * E733 * F733)</f>
      </c>
    </row>
    <row r="734">
      <c r="A734" s="6"/>
      <c r="B734" s="15" t="s">
        <v>746</v>
      </c>
      <c r="C734" s="23"/>
      <c r="D734" s="23"/>
      <c r="E734" s="23"/>
      <c r="F734" s="23"/>
      <c r="G734" s="23"/>
    </row>
    <row r="735">
      <c r="A735" s="4"/>
      <c r="B735" s="16" t="s">
        <v>747</v>
      </c>
      <c r="C735" s="21">
        <f>(3.92365889433288)*(1)*(1)*(1)*(1 + (0))</f>
      </c>
      <c r="D735" s="21" t="s">
        <v>495</v>
      </c>
      <c r="E735" s="21"/>
      <c r="F735" s="21">
        <f>(0)</f>
      </c>
      <c r="G735" s="21">
        <f>(C735 * E735 + C735 * E735 * F735)</f>
      </c>
    </row>
    <row r="736">
      <c r="A736" s="4"/>
      <c r="B736" s="16" t="s">
        <v>748</v>
      </c>
      <c r="C736" s="21">
        <f>(1.57401463948679)*(1)*(1)*(1)*(1 + (0))</f>
      </c>
      <c r="D736" s="21" t="s">
        <v>495</v>
      </c>
      <c r="E736" s="21"/>
      <c r="F736" s="21">
        <f>(0)</f>
      </c>
      <c r="G736" s="21">
        <f>(C736 * E736 + C736 * E736 * F736)</f>
      </c>
    </row>
    <row r="737">
      <c r="A737" s="4"/>
      <c r="B737" s="16" t="s">
        <v>749</v>
      </c>
      <c r="C737" s="21">
        <f>(5.65190278354385)*(1)*(1)*(1)*(1 + (0))</f>
      </c>
      <c r="D737" s="21" t="s">
        <v>495</v>
      </c>
      <c r="E737" s="21"/>
      <c r="F737" s="21">
        <f>(0)</f>
      </c>
      <c r="G737" s="21">
        <f>(C737 * E737 + C737 * E737 * F737)</f>
      </c>
    </row>
    <row r="738">
      <c r="A738" s="4"/>
      <c r="B738" s="16" t="s">
        <v>653</v>
      </c>
      <c r="C738" s="21">
        <f>(1.67243644760453)*(1)*(1)*(1)*(1 + (0))</f>
      </c>
      <c r="D738" s="21" t="s">
        <v>495</v>
      </c>
      <c r="E738" s="21"/>
      <c r="F738" s="21">
        <f>(0)</f>
      </c>
      <c r="G738" s="21">
        <f>(C738 * E738 + C738 * E738 * F738)</f>
      </c>
    </row>
    <row r="739">
      <c r="A739" s="5"/>
      <c r="B739" s="13" t="s">
        <v>750</v>
      </c>
      <c r="C739" s="22"/>
      <c r="D739" s="22"/>
      <c r="E739" s="22"/>
      <c r="F739" s="22"/>
      <c r="G739" s="22"/>
    </row>
    <row r="740">
      <c r="A740" s="6"/>
      <c r="B740" s="15" t="s">
        <v>751</v>
      </c>
      <c r="C740" s="23"/>
      <c r="D740" s="23"/>
      <c r="E740" s="23"/>
      <c r="F740" s="23"/>
      <c r="G740" s="23"/>
    </row>
    <row r="741">
      <c r="A741" s="4"/>
      <c r="B741" s="16" t="s">
        <v>752</v>
      </c>
      <c r="C741" s="21">
        <f>(8.37278027092927)*(1)*(1)*(1)*(1 + (0))</f>
      </c>
      <c r="D741" s="21" t="s">
        <v>495</v>
      </c>
      <c r="E741" s="21"/>
      <c r="F741" s="21">
        <f>(0)</f>
      </c>
      <c r="G741" s="21">
        <f>(C741 * E741 + C741 * E741 * F741)</f>
      </c>
    </row>
    <row r="742">
      <c r="A742" s="4"/>
      <c r="B742" s="16" t="s">
        <v>753</v>
      </c>
      <c r="C742" s="21">
        <f>(5.75426597770429)*(1)*(1)*(1)*(1 + (0))</f>
      </c>
      <c r="D742" s="21" t="s">
        <v>495</v>
      </c>
      <c r="E742" s="21"/>
      <c r="F742" s="21">
        <f>(0)</f>
      </c>
      <c r="G742" s="21">
        <f>(C742 * E742 + C742 * E742 * F742)</f>
      </c>
    </row>
    <row r="743">
      <c r="A743" s="4"/>
      <c r="B743" s="16" t="s">
        <v>754</v>
      </c>
      <c r="C743" s="21">
        <f>(3.90708961821132)*(1)*(1)*(1)*(1 + (0))</f>
      </c>
      <c r="D743" s="21" t="s">
        <v>495</v>
      </c>
      <c r="E743" s="21"/>
      <c r="F743" s="21">
        <f>(0)</f>
      </c>
      <c r="G743" s="21">
        <f>(C743 * E743 + C743 * E743 * F743)</f>
      </c>
    </row>
    <row r="744">
      <c r="A744" s="4"/>
      <c r="B744" s="16" t="s">
        <v>755</v>
      </c>
      <c r="C744" s="21">
        <f>(2.29513377533077)*(1)*(1)*(1)*(1 + (0))</f>
      </c>
      <c r="D744" s="21" t="s">
        <v>495</v>
      </c>
      <c r="E744" s="21"/>
      <c r="F744" s="21">
        <f>(0)</f>
      </c>
      <c r="G744" s="21">
        <f>(C744 * E744 + C744 * E744 * F744)</f>
      </c>
    </row>
    <row r="745">
      <c r="A745" s="4"/>
      <c r="B745" s="16" t="s">
        <v>756</v>
      </c>
      <c r="C745" s="21">
        <f>(5.35611740339428)*(1)*(1)*(1)*(1 + (0))</f>
      </c>
      <c r="D745" s="21" t="s">
        <v>495</v>
      </c>
      <c r="E745" s="21"/>
      <c r="F745" s="21">
        <f>(0)</f>
      </c>
      <c r="G745" s="21">
        <f>(C745 * E745 + C745 * E745 * F745)</f>
      </c>
    </row>
    <row r="746">
      <c r="A746" s="4"/>
      <c r="B746" s="16" t="s">
        <v>731</v>
      </c>
      <c r="C746" s="21">
        <f>(0.994801366258085)*(1)*(1)*(1)*(1 + (0))</f>
      </c>
      <c r="D746" s="21" t="s">
        <v>495</v>
      </c>
      <c r="E746" s="21"/>
      <c r="F746" s="21">
        <f>(0)</f>
      </c>
      <c r="G746" s="21">
        <f>(C746 * E746 + C746 * E746 * F746)</f>
      </c>
    </row>
    <row r="747">
      <c r="A747" s="4"/>
      <c r="B747" s="16" t="s">
        <v>667</v>
      </c>
      <c r="C747" s="21">
        <f>(1.28145912669871)*(1)*(1)*(1)*(1 + (0))</f>
      </c>
      <c r="D747" s="21" t="s">
        <v>495</v>
      </c>
      <c r="E747" s="21"/>
      <c r="F747" s="21">
        <f>(0)</f>
      </c>
      <c r="G747" s="21">
        <f>(C747 * E747 + C747 * E747 * F747)</f>
      </c>
    </row>
    <row r="748">
      <c r="A748" s="4"/>
      <c r="B748" s="16" t="s">
        <v>757</v>
      </c>
      <c r="C748" s="21">
        <f>(3.13660242805653)*(1)*(1)*(1)*(1 + (0))</f>
      </c>
      <c r="D748" s="21" t="s">
        <v>495</v>
      </c>
      <c r="E748" s="21"/>
      <c r="F748" s="21">
        <f>(0)</f>
      </c>
      <c r="G748" s="21">
        <f>(C748 * E748 + C748 * E748 * F748)</f>
      </c>
    </row>
    <row r="749">
      <c r="A749" s="4"/>
      <c r="B749" s="16" t="s">
        <v>653</v>
      </c>
      <c r="C749" s="21">
        <f>(4.66473749498749)*(1)*(1)*(1)*(1 + (0))</f>
      </c>
      <c r="D749" s="21" t="s">
        <v>495</v>
      </c>
      <c r="E749" s="21"/>
      <c r="F749" s="21">
        <f>(0)</f>
      </c>
      <c r="G749" s="21">
        <f>(C749 * E749 + C749 * E749 * F749)</f>
      </c>
    </row>
    <row r="750">
      <c r="A750" s="4"/>
      <c r="B750" s="16" t="s">
        <v>758</v>
      </c>
      <c r="C750" s="21">
        <f>(10)*(1)*(1)*(1)*(1 + (0))</f>
      </c>
      <c r="D750" s="21" t="s">
        <v>170</v>
      </c>
      <c r="E750" s="21"/>
      <c r="F750" s="21">
        <f>(0)</f>
      </c>
      <c r="G750" s="21">
        <f>(C750 * E750 + C750 * E750 * F750)</f>
      </c>
    </row>
    <row r="751">
      <c r="A751" s="4"/>
      <c r="B751" s="16" t="s">
        <v>759</v>
      </c>
      <c r="C751" s="21">
        <f>(30)*(1)*(1)*(1)*(1 + (0))</f>
      </c>
      <c r="D751" s="21" t="s">
        <v>170</v>
      </c>
      <c r="E751" s="21"/>
      <c r="F751" s="21">
        <f>(0)</f>
      </c>
      <c r="G751" s="21">
        <f>(C751 * E751 + C751 * E751 * F751)</f>
      </c>
    </row>
    <row r="752">
      <c r="A752" s="4"/>
      <c r="B752" s="16" t="s">
        <v>760</v>
      </c>
      <c r="C752" s="21">
        <f>(24)*(1)*(1)*(1)*(1 + (0))</f>
      </c>
      <c r="D752" s="21" t="s">
        <v>170</v>
      </c>
      <c r="E752" s="21"/>
      <c r="F752" s="21">
        <f>(0)</f>
      </c>
      <c r="G752" s="21">
        <f>(C752 * E752 + C752 * E752 * F752)</f>
      </c>
    </row>
    <row r="753">
      <c r="A753" s="4"/>
      <c r="B753" s="16" t="s">
        <v>761</v>
      </c>
      <c r="C753" s="21">
        <f>(48)*(1)*(1)*(1)*(1 + (0))</f>
      </c>
      <c r="D753" s="21" t="s">
        <v>170</v>
      </c>
      <c r="E753" s="21"/>
      <c r="F753" s="21">
        <f>(0)</f>
      </c>
      <c r="G753" s="21">
        <f>(C753 * E753 + C753 * E753 * F753)</f>
      </c>
    </row>
    <row r="754">
      <c r="A754" s="6"/>
      <c r="B754" s="15" t="s">
        <v>762</v>
      </c>
      <c r="C754" s="23"/>
      <c r="D754" s="23"/>
      <c r="E754" s="23"/>
      <c r="F754" s="23"/>
      <c r="G754" s="23"/>
    </row>
    <row r="755">
      <c r="A755" s="4"/>
      <c r="B755" s="16" t="s">
        <v>763</v>
      </c>
      <c r="C755" s="21">
        <f>(9.02994823063528)*(1)*(1)*(1)*(1 + (0))</f>
      </c>
      <c r="D755" s="21" t="s">
        <v>495</v>
      </c>
      <c r="E755" s="21"/>
      <c r="F755" s="21">
        <f>(0)</f>
      </c>
      <c r="G755" s="21">
        <f>(C755 * E755 + C755 * E755 * F755)</f>
      </c>
    </row>
    <row r="756">
      <c r="A756" s="4"/>
      <c r="B756" s="16" t="s">
        <v>653</v>
      </c>
      <c r="C756" s="21">
        <f>(1.35449223459529)*(1)*(1)*(1)*(1 + (0))</f>
      </c>
      <c r="D756" s="21" t="s">
        <v>495</v>
      </c>
      <c r="E756" s="21"/>
      <c r="F756" s="21">
        <f>(0)</f>
      </c>
      <c r="G756" s="21">
        <f>(C756 * E756 + C756 * E756 * F756)</f>
      </c>
    </row>
    <row r="757">
      <c r="A757" s="5"/>
      <c r="B757" s="13" t="s">
        <v>764</v>
      </c>
      <c r="C757" s="22"/>
      <c r="D757" s="22"/>
      <c r="E757" s="22"/>
      <c r="F757" s="22"/>
      <c r="G757" s="22"/>
    </row>
    <row r="758">
      <c r="A758" s="6"/>
      <c r="B758" s="15" t="s">
        <v>765</v>
      </c>
      <c r="C758" s="23"/>
      <c r="D758" s="23"/>
      <c r="E758" s="23"/>
      <c r="F758" s="23"/>
      <c r="G758" s="23"/>
    </row>
    <row r="759">
      <c r="A759" s="4"/>
      <c r="B759" s="16" t="s">
        <v>766</v>
      </c>
      <c r="C759" s="21">
        <f>(0.16256)*(1)*(1)*(1)*(1 + (0))</f>
      </c>
      <c r="D759" s="21" t="s">
        <v>495</v>
      </c>
      <c r="E759" s="21"/>
      <c r="F759" s="21">
        <f>(0)</f>
      </c>
      <c r="G759" s="21">
        <f>(C759 * E759 + C759 * E759 * F759)</f>
      </c>
    </row>
    <row r="760">
      <c r="A760" s="4"/>
      <c r="B760" s="16" t="s">
        <v>767</v>
      </c>
      <c r="C760" s="21">
        <f>(0.165168)*(1)*(1)*(1)*(1 + (0))</f>
      </c>
      <c r="D760" s="21" t="s">
        <v>495</v>
      </c>
      <c r="E760" s="21"/>
      <c r="F760" s="21">
        <f>(0)</f>
      </c>
      <c r="G760" s="21">
        <f>(C760 * E760 + C760 * E760 * F760)</f>
      </c>
    </row>
    <row r="761">
      <c r="A761" s="4"/>
      <c r="B761" s="16" t="s">
        <v>653</v>
      </c>
      <c r="C761" s="21">
        <f>(0.0491592)*(1)*(1)*(1)*(1 + (0))</f>
      </c>
      <c r="D761" s="21" t="s">
        <v>495</v>
      </c>
      <c r="E761" s="21"/>
      <c r="F761" s="21">
        <f>(0)</f>
      </c>
      <c r="G761" s="21">
        <f>(C761 * E761 + C761 * E761 * F761)</f>
      </c>
    </row>
    <row r="762">
      <c r="A762" s="4"/>
      <c r="B762" s="16" t="s">
        <v>768</v>
      </c>
      <c r="C762" s="21">
        <f>(8)*(1)*(1)*(1)*(1 + (0))</f>
      </c>
      <c r="D762" s="21" t="s">
        <v>170</v>
      </c>
      <c r="E762" s="21"/>
      <c r="F762" s="21">
        <f>(0)</f>
      </c>
      <c r="G762" s="21">
        <f>(C762 * E762 + C762 * E762 * F762)</f>
      </c>
    </row>
    <row r="763">
      <c r="A763" s="6"/>
      <c r="B763" s="15" t="s">
        <v>769</v>
      </c>
      <c r="C763" s="23"/>
      <c r="D763" s="23"/>
      <c r="E763" s="23"/>
      <c r="F763" s="23"/>
      <c r="G763" s="23"/>
    </row>
    <row r="764">
      <c r="A764" s="4"/>
      <c r="B764" s="16" t="s">
        <v>766</v>
      </c>
      <c r="C764" s="21">
        <f>(0.434990861205077)*(1)*(1)*(1)*(1 + (0))</f>
      </c>
      <c r="D764" s="21" t="s">
        <v>495</v>
      </c>
      <c r="E764" s="21"/>
      <c r="F764" s="21">
        <f>(0)</f>
      </c>
      <c r="G764" s="21">
        <f>(C764 * E764 + C764 * E764 * F764)</f>
      </c>
    </row>
    <row r="765">
      <c r="A765" s="4"/>
      <c r="B765" s="16" t="s">
        <v>770</v>
      </c>
      <c r="C765" s="21">
        <f>(1.08066386551411)*(1)*(1)*(1)*(1 + (0))</f>
      </c>
      <c r="D765" s="21" t="s">
        <v>495</v>
      </c>
      <c r="E765" s="21"/>
      <c r="F765" s="21">
        <f>(0)</f>
      </c>
      <c r="G765" s="21">
        <f>(C765 * E765 + C765 * E765 * F765)</f>
      </c>
    </row>
    <row r="766">
      <c r="A766" s="4"/>
      <c r="B766" s="16" t="s">
        <v>653</v>
      </c>
      <c r="C766" s="21">
        <f>(0.227348209007879)*(1)*(1)*(1)*(1 + (0))</f>
      </c>
      <c r="D766" s="21" t="s">
        <v>495</v>
      </c>
      <c r="E766" s="21"/>
      <c r="F766" s="21">
        <f>(0)</f>
      </c>
      <c r="G766" s="21">
        <f>(C766 * E766 + C766 * E766 * F766)</f>
      </c>
    </row>
    <row r="767">
      <c r="A767" s="3"/>
      <c r="B767" s="11" t="s">
        <v>771</v>
      </c>
      <c r="C767" s="20"/>
      <c r="D767" s="20"/>
      <c r="E767" s="20"/>
      <c r="F767" s="20"/>
      <c r="G767" s="20"/>
    </row>
    <row r="768">
      <c r="A768" s="5"/>
      <c r="B768" s="13" t="s">
        <v>772</v>
      </c>
      <c r="C768" s="22"/>
      <c r="D768" s="22"/>
      <c r="E768" s="22"/>
      <c r="F768" s="22"/>
      <c r="G768" s="22"/>
    </row>
    <row r="769">
      <c r="A769" s="4"/>
      <c r="B769" s="14" t="s">
        <v>773</v>
      </c>
      <c r="C769" s="21">
        <f>(11.92)*(1)*(1)*(1)*(1 + (0))</f>
      </c>
      <c r="D769" s="21" t="s">
        <v>495</v>
      </c>
      <c r="E769" s="21"/>
      <c r="F769" s="21">
        <f>(0)</f>
      </c>
      <c r="G769" s="21">
        <f>(C769 * E769 + C769 * E769 * F769)</f>
      </c>
    </row>
    <row r="770">
      <c r="A770" s="4"/>
      <c r="B770" s="14" t="s">
        <v>774</v>
      </c>
      <c r="C770" s="21">
        <f>(1.35)*(1)*(1)*(1)*(1 + (0))</f>
      </c>
      <c r="D770" s="21" t="s">
        <v>495</v>
      </c>
      <c r="E770" s="21"/>
      <c r="F770" s="21">
        <f>(0)</f>
      </c>
      <c r="G770" s="21">
        <f>(C770 * E770 + C770 * E770 * F770)</f>
      </c>
    </row>
    <row r="771">
      <c r="A771" s="4"/>
      <c r="B771" s="14" t="s">
        <v>775</v>
      </c>
      <c r="C771" s="21">
        <f>(0.13)*(1)*(1)*(1)*(1 + (0))</f>
      </c>
      <c r="D771" s="21" t="s">
        <v>495</v>
      </c>
      <c r="E771" s="21"/>
      <c r="F771" s="21">
        <f>(0)</f>
      </c>
      <c r="G771" s="21">
        <f>(C771 * E771 + C771 * E771 * F771)</f>
      </c>
    </row>
    <row r="772">
      <c r="A772" s="4"/>
      <c r="B772" s="14" t="s">
        <v>776</v>
      </c>
      <c r="C772" s="21">
        <f>(0.75)*(1)*(1)*(1)*(1 + (0))</f>
      </c>
      <c r="D772" s="21" t="s">
        <v>495</v>
      </c>
      <c r="E772" s="21"/>
      <c r="F772" s="21">
        <f>(0)</f>
      </c>
      <c r="G772" s="21">
        <f>(C772 * E772 + C772 * E772 * F772)</f>
      </c>
    </row>
    <row r="773">
      <c r="A773" s="4"/>
      <c r="B773" s="14" t="s">
        <v>777</v>
      </c>
      <c r="C773" s="21">
        <f>(53.67)*(1)*(1)*(1)*(1 + (0))</f>
      </c>
      <c r="D773" s="21" t="s">
        <v>495</v>
      </c>
      <c r="E773" s="21"/>
      <c r="F773" s="21">
        <f>(0)</f>
      </c>
      <c r="G773" s="21">
        <f>(C773 * E773 + C773 * E773 * F773)</f>
      </c>
    </row>
    <row r="774">
      <c r="A774" s="4"/>
      <c r="B774" s="14" t="s">
        <v>778</v>
      </c>
      <c r="C774" s="21">
        <f>(46.14)*(1)*(1)*(1)*(1 + (0))</f>
      </c>
      <c r="D774" s="21" t="s">
        <v>495</v>
      </c>
      <c r="E774" s="21"/>
      <c r="F774" s="21">
        <f>(0)</f>
      </c>
      <c r="G774" s="21">
        <f>(C774 * E774 + C774 * E774 * F774)</f>
      </c>
    </row>
    <row r="775">
      <c r="A775" s="4"/>
      <c r="B775" s="14" t="s">
        <v>779</v>
      </c>
      <c r="C775" s="21">
        <f>(2.12)*(1)*(1)*(1)*(1 + (0))</f>
      </c>
      <c r="D775" s="21" t="s">
        <v>495</v>
      </c>
      <c r="E775" s="21"/>
      <c r="F775" s="21">
        <f>(0)</f>
      </c>
      <c r="G775" s="21">
        <f>(C775 * E775 + C775 * E775 * F775)</f>
      </c>
    </row>
    <row r="776">
      <c r="A776" s="5"/>
      <c r="B776" s="13" t="s">
        <v>780</v>
      </c>
      <c r="C776" s="22"/>
      <c r="D776" s="22"/>
      <c r="E776" s="22"/>
      <c r="F776" s="22"/>
      <c r="G776" s="22"/>
    </row>
    <row r="777">
      <c r="A777" s="4"/>
      <c r="B777" s="14" t="s">
        <v>781</v>
      </c>
      <c r="C777" s="21">
        <f>(11.92)*(1)*(1)*(1)*(1 + (0))</f>
      </c>
      <c r="D777" s="21" t="s">
        <v>495</v>
      </c>
      <c r="E777" s="21"/>
      <c r="F777" s="21">
        <f>(0)</f>
      </c>
      <c r="G777" s="21">
        <f>(C777 * E777 + C777 * E777 * F777)</f>
      </c>
    </row>
    <row r="778">
      <c r="A778" s="4"/>
      <c r="B778" s="14" t="s">
        <v>782</v>
      </c>
      <c r="C778" s="21">
        <f>(1.35)*(1)*(1)*(1)*(1 + (0))</f>
      </c>
      <c r="D778" s="21" t="s">
        <v>495</v>
      </c>
      <c r="E778" s="21"/>
      <c r="F778" s="21">
        <f>(0)</f>
      </c>
      <c r="G778" s="21">
        <f>(C778 * E778 + C778 * E778 * F778)</f>
      </c>
    </row>
    <row r="779">
      <c r="A779" s="4"/>
      <c r="B779" s="14" t="s">
        <v>783</v>
      </c>
      <c r="C779" s="21">
        <f>(0.13)*(1)*(1)*(1)*(1 + (0))</f>
      </c>
      <c r="D779" s="21" t="s">
        <v>495</v>
      </c>
      <c r="E779" s="21"/>
      <c r="F779" s="21">
        <f>(0)</f>
      </c>
      <c r="G779" s="21">
        <f>(C779 * E779 + C779 * E779 * F779)</f>
      </c>
    </row>
    <row r="780">
      <c r="A780" s="4"/>
      <c r="B780" s="14" t="s">
        <v>784</v>
      </c>
      <c r="C780" s="21">
        <f>(0.75)*(1)*(1)*(1)*(1 + (0))</f>
      </c>
      <c r="D780" s="21" t="s">
        <v>495</v>
      </c>
      <c r="E780" s="21"/>
      <c r="F780" s="21">
        <f>(0)</f>
      </c>
      <c r="G780" s="21">
        <f>(C780 * E780 + C780 * E780 * F780)</f>
      </c>
    </row>
    <row r="781">
      <c r="A781" s="4"/>
      <c r="B781" s="14" t="s">
        <v>785</v>
      </c>
      <c r="C781" s="21">
        <f>(53.67)*(1)*(1)*(1)*(1 + (0))</f>
      </c>
      <c r="D781" s="21" t="s">
        <v>495</v>
      </c>
      <c r="E781" s="21"/>
      <c r="F781" s="21">
        <f>(0)</f>
      </c>
      <c r="G781" s="21">
        <f>(C781 * E781 + C781 * E781 * F781)</f>
      </c>
    </row>
    <row r="782">
      <c r="A782" s="4"/>
      <c r="B782" s="14" t="s">
        <v>786</v>
      </c>
      <c r="C782" s="21">
        <f>(46.14)*(1)*(1)*(1)*(1 + (0))</f>
      </c>
      <c r="D782" s="21" t="s">
        <v>495</v>
      </c>
      <c r="E782" s="21"/>
      <c r="F782" s="21">
        <f>(0)</f>
      </c>
      <c r="G782" s="21">
        <f>(C782 * E782 + C782 * E782 * F782)</f>
      </c>
    </row>
    <row r="783">
      <c r="A783" s="4"/>
      <c r="B783" s="14" t="s">
        <v>787</v>
      </c>
      <c r="C783" s="21">
        <f>(2.12)*(1)*(1)*(1)*(1 + (0))</f>
      </c>
      <c r="D783" s="21" t="s">
        <v>495</v>
      </c>
      <c r="E783" s="21"/>
      <c r="F783" s="21">
        <f>(0)</f>
      </c>
      <c r="G783" s="21">
        <f>(C783 * E783 + C783 * E783 * F783)</f>
      </c>
    </row>
    <row r="784">
      <c r="A784" s="5"/>
      <c r="B784" s="13" t="s">
        <v>788</v>
      </c>
      <c r="C784" s="22"/>
      <c r="D784" s="22"/>
      <c r="E784" s="22"/>
      <c r="F784" s="22"/>
      <c r="G784" s="22"/>
    </row>
    <row r="785">
      <c r="A785" s="4"/>
      <c r="B785" s="14" t="s">
        <v>789</v>
      </c>
      <c r="C785" s="21">
        <f>(11.92)*(1)*(1)*(1)*(1 + (0))</f>
      </c>
      <c r="D785" s="21" t="s">
        <v>495</v>
      </c>
      <c r="E785" s="21"/>
      <c r="F785" s="21">
        <f>(0)</f>
      </c>
      <c r="G785" s="21">
        <f>(C785 * E785 + C785 * E785 * F785)</f>
      </c>
    </row>
    <row r="786">
      <c r="A786" s="4"/>
      <c r="B786" s="14" t="s">
        <v>790</v>
      </c>
      <c r="C786" s="21">
        <f>(1.35)*(1)*(1)*(1)*(1 + (0))</f>
      </c>
      <c r="D786" s="21" t="s">
        <v>495</v>
      </c>
      <c r="E786" s="21"/>
      <c r="F786" s="21">
        <f>(0)</f>
      </c>
      <c r="G786" s="21">
        <f>(C786 * E786 + C786 * E786 * F786)</f>
      </c>
    </row>
    <row r="787">
      <c r="A787" s="4"/>
      <c r="B787" s="14" t="s">
        <v>791</v>
      </c>
      <c r="C787" s="21">
        <f>(0.13)*(1)*(1)*(1)*(1 + (0))</f>
      </c>
      <c r="D787" s="21" t="s">
        <v>495</v>
      </c>
      <c r="E787" s="21"/>
      <c r="F787" s="21">
        <f>(0)</f>
      </c>
      <c r="G787" s="21">
        <f>(C787 * E787 + C787 * E787 * F787)</f>
      </c>
    </row>
    <row r="788">
      <c r="A788" s="4"/>
      <c r="B788" s="14" t="s">
        <v>792</v>
      </c>
      <c r="C788" s="21">
        <f>(0.75)*(1)*(1)*(1)*(1 + (0))</f>
      </c>
      <c r="D788" s="21" t="s">
        <v>495</v>
      </c>
      <c r="E788" s="21"/>
      <c r="F788" s="21">
        <f>(0)</f>
      </c>
      <c r="G788" s="21">
        <f>(C788 * E788 + C788 * E788 * F788)</f>
      </c>
    </row>
    <row r="789">
      <c r="A789" s="4"/>
      <c r="B789" s="14" t="s">
        <v>793</v>
      </c>
      <c r="C789" s="21">
        <f>(53.67)*(1)*(1)*(1)*(1 + (0))</f>
      </c>
      <c r="D789" s="21" t="s">
        <v>495</v>
      </c>
      <c r="E789" s="21"/>
      <c r="F789" s="21">
        <f>(0)</f>
      </c>
      <c r="G789" s="21">
        <f>(C789 * E789 + C789 * E789 * F789)</f>
      </c>
    </row>
    <row r="790">
      <c r="A790" s="4"/>
      <c r="B790" s="14" t="s">
        <v>794</v>
      </c>
      <c r="C790" s="21">
        <f>(46.14)*(1)*(1)*(1)*(1 + (0))</f>
      </c>
      <c r="D790" s="21" t="s">
        <v>495</v>
      </c>
      <c r="E790" s="21"/>
      <c r="F790" s="21">
        <f>(0)</f>
      </c>
      <c r="G790" s="21">
        <f>(C790 * E790 + C790 * E790 * F790)</f>
      </c>
    </row>
    <row r="791">
      <c r="A791" s="4"/>
      <c r="B791" s="14" t="s">
        <v>795</v>
      </c>
      <c r="C791" s="21">
        <f>(2.12)*(1)*(1)*(1)*(1 + (0))</f>
      </c>
      <c r="D791" s="21" t="s">
        <v>495</v>
      </c>
      <c r="E791" s="21"/>
      <c r="F791" s="21">
        <f>(0)</f>
      </c>
      <c r="G791" s="21">
        <f>(C791 * E791 + C791 * E791 * F791)</f>
      </c>
    </row>
    <row r="792">
      <c r="A792" s="3"/>
      <c r="B792" s="11" t="s">
        <v>796</v>
      </c>
      <c r="C792" s="20"/>
      <c r="D792" s="20"/>
      <c r="E792" s="20"/>
      <c r="F792" s="20"/>
      <c r="G792" s="20"/>
    </row>
    <row r="793">
      <c r="A793" s="5"/>
      <c r="B793" s="13" t="s">
        <v>710</v>
      </c>
      <c r="C793" s="22"/>
      <c r="D793" s="22"/>
      <c r="E793" s="22"/>
      <c r="F793" s="22"/>
      <c r="G793" s="22"/>
    </row>
    <row r="794">
      <c r="A794" s="6"/>
      <c r="B794" s="15" t="s">
        <v>711</v>
      </c>
      <c r="C794" s="23"/>
      <c r="D794" s="23"/>
      <c r="E794" s="23"/>
      <c r="F794" s="23"/>
      <c r="G794" s="23"/>
    </row>
    <row r="795">
      <c r="A795" s="4"/>
      <c r="B795" s="16" t="s">
        <v>797</v>
      </c>
      <c r="C795" s="21">
        <f>(9)*(1)*(1)*(1)*(1 + (0))</f>
      </c>
      <c r="D795" s="21" t="s">
        <v>9</v>
      </c>
      <c r="E795" s="21"/>
      <c r="F795" s="21">
        <f>(0)</f>
      </c>
      <c r="G795" s="21">
        <f>(C795 * E795 + C795 * E795 * F795)</f>
      </c>
    </row>
    <row r="796">
      <c r="A796" s="6"/>
      <c r="B796" s="15" t="s">
        <v>704</v>
      </c>
      <c r="C796" s="23"/>
      <c r="D796" s="23"/>
      <c r="E796" s="23"/>
      <c r="F796" s="23"/>
      <c r="G796" s="23"/>
    </row>
    <row r="797">
      <c r="A797" s="4"/>
      <c r="B797" s="16" t="s">
        <v>798</v>
      </c>
      <c r="C797" s="21">
        <f>(6)*(1)*(1)*(1)*(1 + (0))</f>
      </c>
      <c r="D797" s="21" t="s">
        <v>9</v>
      </c>
      <c r="E797" s="21"/>
      <c r="F797" s="21">
        <f>(0)</f>
      </c>
      <c r="G797" s="21">
        <f>(C797 * E797 + C797 * E797 * F797)</f>
      </c>
    </row>
    <row r="798">
      <c r="A798" s="2"/>
      <c r="B798" s="10" t="s">
        <v>799</v>
      </c>
      <c r="C798" s="19"/>
      <c r="D798" s="19"/>
      <c r="E798" s="19"/>
      <c r="F798" s="19"/>
      <c r="G798" s="19"/>
    </row>
    <row r="799">
      <c r="A799" s="3"/>
      <c r="B799" s="11" t="s">
        <v>14</v>
      </c>
      <c r="C799" s="20"/>
      <c r="D799" s="20"/>
      <c r="E799" s="20"/>
      <c r="F799" s="20"/>
      <c r="G799" s="20"/>
    </row>
    <row r="800">
      <c r="A800" s="4" t="s">
        <v>800</v>
      </c>
      <c r="B800" s="12" t="s">
        <v>16</v>
      </c>
      <c r="C800" s="21"/>
      <c r="D800" s="21" t="s">
        <v>17</v>
      </c>
      <c r="E800" s="21"/>
      <c r="F800" s="21">
        <f>(0)</f>
      </c>
      <c r="G800" s="21">
        <f>(C800 * E800 + C800 * E800 * F800)</f>
      </c>
    </row>
    <row r="801">
      <c r="A801" s="4" t="s">
        <v>801</v>
      </c>
      <c r="B801" s="12" t="s">
        <v>19</v>
      </c>
      <c r="C801" s="21"/>
      <c r="D801" s="21" t="s">
        <v>17</v>
      </c>
      <c r="E801" s="21"/>
      <c r="F801" s="21">
        <f>(0)</f>
      </c>
      <c r="G801" s="21">
        <f>(C801 * E801 + C801 * E801 * F801)</f>
      </c>
    </row>
    <row r="802">
      <c r="A802" s="3"/>
      <c r="B802" s="11" t="s">
        <v>98</v>
      </c>
      <c r="C802" s="20"/>
      <c r="D802" s="20"/>
      <c r="E802" s="20"/>
      <c r="F802" s="20"/>
      <c r="G802" s="20"/>
    </row>
    <row r="803">
      <c r="A803" s="4"/>
      <c r="B803" s="12" t="s">
        <v>802</v>
      </c>
      <c r="C803" s="21"/>
      <c r="D803" s="21" t="s">
        <v>17</v>
      </c>
      <c r="E803" s="21"/>
      <c r="F803" s="21">
        <f>(0)</f>
      </c>
      <c r="G803" s="21">
        <f>(C803 * E803 + C803 * E803 * F803)</f>
      </c>
    </row>
    <row r="804">
      <c r="A804" s="4"/>
      <c r="B804" s="12" t="s">
        <v>803</v>
      </c>
      <c r="C804" s="21"/>
      <c r="D804" s="21" t="s">
        <v>17</v>
      </c>
      <c r="E804" s="21"/>
      <c r="F804" s="21">
        <f>(0)</f>
      </c>
      <c r="G804" s="21">
        <f>(C804 * E804 + C804 * E804 * F804)</f>
      </c>
    </row>
    <row r="805">
      <c r="A805" s="4"/>
      <c r="B805" s="12" t="s">
        <v>804</v>
      </c>
      <c r="C805" s="21"/>
      <c r="D805" s="21" t="s">
        <v>17</v>
      </c>
      <c r="E805" s="21"/>
      <c r="F805" s="21">
        <f>(0)</f>
      </c>
      <c r="G805" s="21">
        <f>(C805 * E805 + C805 * E805 * F805)</f>
      </c>
    </row>
    <row r="806">
      <c r="A806" s="3"/>
      <c r="B806" s="11" t="s">
        <v>24</v>
      </c>
      <c r="C806" s="20"/>
      <c r="D806" s="20"/>
      <c r="E806" s="20"/>
      <c r="F806" s="20"/>
      <c r="G806" s="20"/>
    </row>
    <row r="807">
      <c r="A807" s="5"/>
      <c r="B807" s="13" t="s">
        <v>25</v>
      </c>
      <c r="C807" s="22"/>
      <c r="D807" s="22"/>
      <c r="E807" s="22"/>
      <c r="F807" s="22"/>
      <c r="G807" s="22"/>
    </row>
    <row r="808">
      <c r="A808" s="4" t="s">
        <v>805</v>
      </c>
      <c r="B808" s="14" t="s">
        <v>806</v>
      </c>
      <c r="C808" s="21"/>
      <c r="D808" s="21" t="s">
        <v>17</v>
      </c>
      <c r="E808" s="21"/>
      <c r="F808" s="21">
        <f>(0)</f>
      </c>
      <c r="G808" s="21">
        <f>(C808 * E808 + C808 * E808 * F808)</f>
      </c>
    </row>
    <row r="809">
      <c r="A809" s="4" t="s">
        <v>807</v>
      </c>
      <c r="B809" s="14" t="s">
        <v>808</v>
      </c>
      <c r="C809" s="21"/>
      <c r="D809" s="21" t="s">
        <v>17</v>
      </c>
      <c r="E809" s="21"/>
      <c r="F809" s="21">
        <f>(0)</f>
      </c>
      <c r="G809" s="21">
        <f>(C809 * E809 + C809 * E809 * F809)</f>
      </c>
    </row>
    <row r="810">
      <c r="A810" s="4" t="s">
        <v>809</v>
      </c>
      <c r="B810" s="14" t="s">
        <v>810</v>
      </c>
      <c r="C810" s="21"/>
      <c r="D810" s="21" t="s">
        <v>17</v>
      </c>
      <c r="E810" s="21"/>
      <c r="F810" s="21">
        <f>(0)</f>
      </c>
      <c r="G810" s="21">
        <f>(C810 * E810 + C810 * E810 * F810)</f>
      </c>
    </row>
    <row r="811">
      <c r="A811" s="4" t="s">
        <v>811</v>
      </c>
      <c r="B811" s="14" t="s">
        <v>812</v>
      </c>
      <c r="C811" s="21"/>
      <c r="D811" s="21" t="s">
        <v>17</v>
      </c>
      <c r="E811" s="21"/>
      <c r="F811" s="21">
        <f>(0)</f>
      </c>
      <c r="G811" s="21">
        <f>(C811 * E811 + C811 * E811 * F811)</f>
      </c>
    </row>
    <row r="812">
      <c r="A812" s="4" t="s">
        <v>813</v>
      </c>
      <c r="B812" s="14" t="s">
        <v>814</v>
      </c>
      <c r="C812" s="21"/>
      <c r="D812" s="21" t="s">
        <v>17</v>
      </c>
      <c r="E812" s="21"/>
      <c r="F812" s="21">
        <f>(0)</f>
      </c>
      <c r="G812" s="21">
        <f>(C812 * E812 + C812 * E812 * F812)</f>
      </c>
    </row>
    <row r="813">
      <c r="A813" s="4" t="s">
        <v>815</v>
      </c>
      <c r="B813" s="14" t="s">
        <v>816</v>
      </c>
      <c r="C813" s="21"/>
      <c r="D813" s="21" t="s">
        <v>17</v>
      </c>
      <c r="E813" s="21"/>
      <c r="F813" s="21">
        <f>(0)</f>
      </c>
      <c r="G813" s="21">
        <f>(C813 * E813 + C813 * E813 * F813)</f>
      </c>
    </row>
    <row r="814">
      <c r="A814" s="4" t="s">
        <v>817</v>
      </c>
      <c r="B814" s="14" t="s">
        <v>818</v>
      </c>
      <c r="C814" s="21"/>
      <c r="D814" s="21" t="s">
        <v>17</v>
      </c>
      <c r="E814" s="21"/>
      <c r="F814" s="21">
        <f>(0)</f>
      </c>
      <c r="G814" s="21">
        <f>(C814 * E814 + C814 * E814 * F814)</f>
      </c>
    </row>
    <row r="815">
      <c r="A815" s="4" t="s">
        <v>819</v>
      </c>
      <c r="B815" s="14" t="s">
        <v>820</v>
      </c>
      <c r="C815" s="21"/>
      <c r="D815" s="21" t="s">
        <v>17</v>
      </c>
      <c r="E815" s="21"/>
      <c r="F815" s="21">
        <f>(0)</f>
      </c>
      <c r="G815" s="21">
        <f>(C815 * E815 + C815 * E815 * F815)</f>
      </c>
    </row>
    <row r="816">
      <c r="A816" s="4" t="s">
        <v>821</v>
      </c>
      <c r="B816" s="14" t="s">
        <v>41</v>
      </c>
      <c r="C816" s="21"/>
      <c r="D816" s="21" t="s">
        <v>17</v>
      </c>
      <c r="E816" s="21"/>
      <c r="F816" s="21">
        <f>(0)</f>
      </c>
      <c r="G816" s="21">
        <f>(C816 * E816 + C816 * E816 * F816)</f>
      </c>
    </row>
    <row r="817">
      <c r="A817" s="3"/>
      <c r="B817" s="11" t="s">
        <v>42</v>
      </c>
      <c r="C817" s="20"/>
      <c r="D817" s="20"/>
      <c r="E817" s="20"/>
      <c r="F817" s="20"/>
      <c r="G817" s="20"/>
    </row>
    <row r="818">
      <c r="A818" s="4" t="s">
        <v>822</v>
      </c>
      <c r="B818" s="12" t="s">
        <v>823</v>
      </c>
      <c r="C818" s="21">
        <f>(1)*(1)*(1)*(1)*(1 + (0))</f>
      </c>
      <c r="D818" s="21" t="s">
        <v>45</v>
      </c>
      <c r="E818" s="21"/>
      <c r="F818" s="21">
        <f>(0)</f>
      </c>
      <c r="G818" s="21">
        <f>(C818 * E818 + C818 * E818 * F818)</f>
      </c>
    </row>
    <row r="819">
      <c r="A819" s="4" t="s">
        <v>824</v>
      </c>
      <c r="B819" s="12" t="s">
        <v>825</v>
      </c>
      <c r="C819" s="21">
        <f>(1)*(1)*(1)*(1)*(1 + (0))</f>
      </c>
      <c r="D819" s="21" t="s">
        <v>45</v>
      </c>
      <c r="E819" s="21"/>
      <c r="F819" s="21">
        <f>(0)</f>
      </c>
      <c r="G819" s="21">
        <f>(C819 * E819 + C819 * E819 * F819)</f>
      </c>
    </row>
    <row r="820">
      <c r="A820" s="4" t="s">
        <v>826</v>
      </c>
      <c r="B820" s="12" t="s">
        <v>827</v>
      </c>
      <c r="C820" s="21">
        <f>(1)*(1)*(1)*(1)*(1 + (0))</f>
      </c>
      <c r="D820" s="21" t="s">
        <v>45</v>
      </c>
      <c r="E820" s="21"/>
      <c r="F820" s="21">
        <f>(0)</f>
      </c>
      <c r="G820" s="21">
        <f>(C820 * E820 + C820 * E820 * F820)</f>
      </c>
    </row>
    <row r="821">
      <c r="A821" s="4" t="s">
        <v>828</v>
      </c>
      <c r="B821" s="12" t="s">
        <v>130</v>
      </c>
      <c r="C821" s="21">
        <f>(1)*(1)*(1)*(1)*(1 + (0))</f>
      </c>
      <c r="D821" s="21" t="s">
        <v>45</v>
      </c>
      <c r="E821" s="21"/>
      <c r="F821" s="21">
        <f>(0)</f>
      </c>
      <c r="G821" s="21">
        <f>(C821 * E821 + C821 * E821 * F821)</f>
      </c>
    </row>
    <row r="822">
      <c r="A822" s="4" t="s">
        <v>829</v>
      </c>
      <c r="B822" s="12" t="s">
        <v>830</v>
      </c>
      <c r="C822" s="21">
        <f>(1)*(1)*(1)*(1)*(1 + (0))</f>
      </c>
      <c r="D822" s="21" t="s">
        <v>45</v>
      </c>
      <c r="E822" s="21"/>
      <c r="F822" s="21">
        <f>(0)</f>
      </c>
      <c r="G822" s="21">
        <f>(C822 * E822 + C822 * E822 * F822)</f>
      </c>
    </row>
    <row r="823">
      <c r="A823" s="4" t="s">
        <v>831</v>
      </c>
      <c r="B823" s="12" t="s">
        <v>832</v>
      </c>
      <c r="C823" s="21">
        <f>(1)*(1)*(1)*(1)*(1 + (0))</f>
      </c>
      <c r="D823" s="21" t="s">
        <v>45</v>
      </c>
      <c r="E823" s="21"/>
      <c r="F823" s="21">
        <f>(0)</f>
      </c>
      <c r="G823" s="21">
        <f>(C823 * E823 + C823 * E823 * F823)</f>
      </c>
    </row>
    <row r="824">
      <c r="A824" s="4" t="s">
        <v>833</v>
      </c>
      <c r="B824" s="12" t="s">
        <v>834</v>
      </c>
      <c r="C824" s="21">
        <f>(1)*(1)*(1)*(1)*(1 + (0))</f>
      </c>
      <c r="D824" s="21" t="s">
        <v>45</v>
      </c>
      <c r="E824" s="21"/>
      <c r="F824" s="21">
        <f>(0)</f>
      </c>
      <c r="G824" s="21">
        <f>(C824 * E824 + C824 * E824 * F824)</f>
      </c>
    </row>
    <row r="825">
      <c r="A825" s="4" t="s">
        <v>835</v>
      </c>
      <c r="B825" s="12" t="s">
        <v>836</v>
      </c>
      <c r="C825" s="21">
        <f>(1)*(1)*(1)*(1)*(1 + (0))</f>
      </c>
      <c r="D825" s="21" t="s">
        <v>45</v>
      </c>
      <c r="E825" s="21"/>
      <c r="F825" s="21">
        <f>(0)</f>
      </c>
      <c r="G825" s="21">
        <f>(C825 * E825 + C825 * E825 * F825)</f>
      </c>
    </row>
    <row r="826">
      <c r="A826" s="3"/>
      <c r="B826" s="11" t="s">
        <v>837</v>
      </c>
      <c r="C826" s="20"/>
      <c r="D826" s="20"/>
      <c r="E826" s="20"/>
      <c r="F826" s="20"/>
      <c r="G826" s="20"/>
    </row>
    <row r="827">
      <c r="A827" s="5"/>
      <c r="B827" s="13" t="s">
        <v>838</v>
      </c>
      <c r="C827" s="22"/>
      <c r="D827" s="22"/>
      <c r="E827" s="22"/>
      <c r="F827" s="22"/>
      <c r="G827" s="22"/>
    </row>
    <row r="828">
      <c r="A828" s="6"/>
      <c r="B828" s="15" t="s">
        <v>839</v>
      </c>
      <c r="C828" s="23"/>
      <c r="D828" s="23"/>
      <c r="E828" s="23"/>
      <c r="F828" s="23"/>
      <c r="G828" s="23"/>
    </row>
    <row r="829">
      <c r="A829" s="4"/>
      <c r="B829" s="16" t="s">
        <v>840</v>
      </c>
      <c r="C829" s="21">
        <f>(238)*(1)*(1)*(1)*(1 + (0))</f>
      </c>
      <c r="D829" s="21" t="s">
        <v>9</v>
      </c>
      <c r="E829" s="21"/>
      <c r="F829" s="21">
        <f>(0)</f>
      </c>
      <c r="G829" s="21">
        <f>(C829 * E829 + C829 * E829 * F829)</f>
      </c>
    </row>
    <row r="830">
      <c r="A830" s="4"/>
      <c r="B830" s="16" t="s">
        <v>841</v>
      </c>
      <c r="C830" s="21">
        <f>(144)*(1)*(1)*(1)*(1 + (0))</f>
      </c>
      <c r="D830" s="21" t="s">
        <v>9</v>
      </c>
      <c r="E830" s="21"/>
      <c r="F830" s="21">
        <f>(0)</f>
      </c>
      <c r="G830" s="21">
        <f>(C830 * E830 + C830 * E830 * F830)</f>
      </c>
    </row>
    <row r="831">
      <c r="A831" s="6"/>
      <c r="B831" s="15" t="s">
        <v>842</v>
      </c>
      <c r="C831" s="23"/>
      <c r="D831" s="23"/>
      <c r="E831" s="23"/>
      <c r="F831" s="23"/>
      <c r="G831" s="23"/>
    </row>
    <row r="832">
      <c r="A832" s="4"/>
      <c r="B832" s="16" t="s">
        <v>840</v>
      </c>
      <c r="C832" s="21">
        <f>(73)*(1)*(1)*(1)*(1 + (0))</f>
      </c>
      <c r="D832" s="21" t="s">
        <v>9</v>
      </c>
      <c r="E832" s="21"/>
      <c r="F832" s="21">
        <f>(0)</f>
      </c>
      <c r="G832" s="21">
        <f>(C832 * E832 + C832 * E832 * F832)</f>
      </c>
    </row>
    <row r="833">
      <c r="A833" s="6"/>
      <c r="B833" s="15" t="s">
        <v>843</v>
      </c>
      <c r="C833" s="23"/>
      <c r="D833" s="23"/>
      <c r="E833" s="23"/>
      <c r="F833" s="23"/>
      <c r="G833" s="23"/>
    </row>
    <row r="834">
      <c r="A834" s="4"/>
      <c r="B834" s="16" t="s">
        <v>840</v>
      </c>
      <c r="C834" s="21">
        <f>(183)*(1)*(1)*(1)*(1 + (0))</f>
      </c>
      <c r="D834" s="21" t="s">
        <v>167</v>
      </c>
      <c r="E834" s="21"/>
      <c r="F834" s="21">
        <f>(0)</f>
      </c>
      <c r="G834" s="21">
        <f>(C834 * E834 + C834 * E834 * F834)</f>
      </c>
    </row>
    <row r="835">
      <c r="A835" s="4"/>
      <c r="B835" s="16" t="s">
        <v>841</v>
      </c>
      <c r="C835" s="21">
        <f>(26)*(1)*(1)*(1)*(1 + (0))</f>
      </c>
      <c r="D835" s="21" t="s">
        <v>167</v>
      </c>
      <c r="E835" s="21"/>
      <c r="F835" s="21">
        <f>(0)</f>
      </c>
      <c r="G835" s="21">
        <f>(C835 * E835 + C835 * E835 * F835)</f>
      </c>
    </row>
    <row r="836">
      <c r="A836" s="5"/>
      <c r="B836" s="13" t="s">
        <v>844</v>
      </c>
      <c r="C836" s="22"/>
      <c r="D836" s="22"/>
      <c r="E836" s="22"/>
      <c r="F836" s="22"/>
      <c r="G836" s="22"/>
    </row>
    <row r="837">
      <c r="A837" s="4"/>
      <c r="B837" s="14" t="s">
        <v>845</v>
      </c>
      <c r="C837" s="21">
        <f>(235.575421281088)*(1)*(1)*(1)*(1 + (0))</f>
      </c>
      <c r="D837" s="21" t="s">
        <v>9</v>
      </c>
      <c r="E837" s="21"/>
      <c r="F837" s="21">
        <f>(0)</f>
      </c>
      <c r="G837" s="21">
        <f>(C837 * E837 + C837 * E837 * F837)</f>
      </c>
    </row>
    <row r="838">
      <c r="A838" s="4"/>
      <c r="B838" s="14" t="s">
        <v>846</v>
      </c>
      <c r="C838" s="21">
        <f>(116.60515406931)*(1)*(1)*(1)*(1 + (0))</f>
      </c>
      <c r="D838" s="21" t="s">
        <v>9</v>
      </c>
      <c r="E838" s="21"/>
      <c r="F838" s="21">
        <f>(0)</f>
      </c>
      <c r="G838" s="21">
        <f>(C838 * E838 + C838 * E838 * F838)</f>
      </c>
    </row>
    <row r="839">
      <c r="A839" s="5"/>
      <c r="B839" s="13" t="s">
        <v>847</v>
      </c>
      <c r="C839" s="22"/>
      <c r="D839" s="22"/>
      <c r="E839" s="22"/>
      <c r="F839" s="22"/>
      <c r="G839" s="22"/>
    </row>
    <row r="840">
      <c r="A840" s="6"/>
      <c r="B840" s="15" t="s">
        <v>839</v>
      </c>
      <c r="C840" s="23"/>
      <c r="D840" s="23"/>
      <c r="E840" s="23"/>
      <c r="F840" s="23"/>
      <c r="G840" s="23"/>
    </row>
    <row r="841">
      <c r="A841" s="4"/>
      <c r="B841" s="16" t="s">
        <v>841</v>
      </c>
      <c r="C841" s="21">
        <f>(123)*(1)*(1)*(1)*(1 + (0))</f>
      </c>
      <c r="D841" s="21" t="s">
        <v>9</v>
      </c>
      <c r="E841" s="21"/>
      <c r="F841" s="21">
        <f>(0)</f>
      </c>
      <c r="G841" s="21">
        <f>(C841 * E841 + C841 * E841 * F841)</f>
      </c>
    </row>
    <row r="842">
      <c r="A842" s="6"/>
      <c r="B842" s="15" t="s">
        <v>848</v>
      </c>
      <c r="C842" s="23"/>
      <c r="D842" s="23"/>
      <c r="E842" s="23"/>
      <c r="F842" s="23"/>
      <c r="G842" s="23"/>
    </row>
    <row r="843">
      <c r="A843" s="4"/>
      <c r="B843" s="16" t="s">
        <v>841</v>
      </c>
      <c r="C843" s="21">
        <f>(28)*(1)*(1)*(1)*(1 + (0))</f>
      </c>
      <c r="D843" s="21" t="s">
        <v>9</v>
      </c>
      <c r="E843" s="21"/>
      <c r="F843" s="21">
        <f>(0)</f>
      </c>
      <c r="G843" s="21">
        <f>(C843 * E843 + C843 * E843 * F843)</f>
      </c>
    </row>
    <row r="844">
      <c r="A844" s="5"/>
      <c r="B844" s="13" t="s">
        <v>849</v>
      </c>
      <c r="C844" s="22"/>
      <c r="D844" s="22"/>
      <c r="E844" s="22"/>
      <c r="F844" s="22"/>
      <c r="G844" s="22"/>
    </row>
    <row r="845">
      <c r="A845" s="6"/>
      <c r="B845" s="15" t="s">
        <v>850</v>
      </c>
      <c r="C845" s="23"/>
      <c r="D845" s="23"/>
      <c r="E845" s="23"/>
      <c r="F845" s="23"/>
      <c r="G845" s="23"/>
    </row>
    <row r="846">
      <c r="A846" s="4"/>
      <c r="B846" s="16" t="s">
        <v>270</v>
      </c>
      <c r="C846" s="21">
        <f>(9)*(1)*(1)*(1)*(1 + (0))</f>
      </c>
      <c r="D846" s="21" t="s">
        <v>9</v>
      </c>
      <c r="E846" s="21"/>
      <c r="F846" s="21">
        <f>(0)</f>
      </c>
      <c r="G846" s="21">
        <f>(C846 * E846 + C846 * E846 * F846)</f>
      </c>
    </row>
    <row r="847">
      <c r="A847" s="5"/>
      <c r="B847" s="13" t="s">
        <v>851</v>
      </c>
      <c r="C847" s="22"/>
      <c r="D847" s="22"/>
      <c r="E847" s="22"/>
      <c r="F847" s="22"/>
      <c r="G847" s="22"/>
    </row>
    <row r="848">
      <c r="A848" s="6"/>
      <c r="B848" s="15" t="s">
        <v>852</v>
      </c>
      <c r="C848" s="23"/>
      <c r="D848" s="23"/>
      <c r="E848" s="23"/>
      <c r="F848" s="23"/>
      <c r="G848" s="23"/>
    </row>
    <row r="849">
      <c r="A849" s="4"/>
      <c r="B849" s="16" t="s">
        <v>270</v>
      </c>
      <c r="C849" s="21">
        <f>(468)*(1)*(1)*(1)*(1 + (0))</f>
      </c>
      <c r="D849" s="21" t="s">
        <v>9</v>
      </c>
      <c r="E849" s="21"/>
      <c r="F849" s="21">
        <f>(0)</f>
      </c>
      <c r="G849" s="21">
        <f>(C849 * E849 + C849 * E849 * F849)</f>
      </c>
    </row>
    <row r="850">
      <c r="A850" s="5"/>
      <c r="B850" s="13" t="s">
        <v>853</v>
      </c>
      <c r="C850" s="22"/>
      <c r="D850" s="22"/>
      <c r="E850" s="22"/>
      <c r="F850" s="22"/>
      <c r="G850" s="22"/>
    </row>
    <row r="851">
      <c r="A851" s="6"/>
      <c r="B851" s="15" t="s">
        <v>854</v>
      </c>
      <c r="C851" s="23"/>
      <c r="D851" s="23"/>
      <c r="E851" s="23"/>
      <c r="F851" s="23"/>
      <c r="G851" s="23"/>
    </row>
    <row r="852">
      <c r="A852" s="4"/>
      <c r="B852" s="16" t="s">
        <v>855</v>
      </c>
      <c r="C852" s="21">
        <f>(4633)*(1)*(1)*(1)*(1 + (0))</f>
      </c>
      <c r="D852" s="21" t="s">
        <v>9</v>
      </c>
      <c r="E852" s="21"/>
      <c r="F852" s="21">
        <f>(0)</f>
      </c>
      <c r="G852" s="21">
        <f>(C852 * E852 + C852 * E852 * F852)</f>
      </c>
    </row>
    <row r="853">
      <c r="A853" s="2"/>
      <c r="B853" s="10" t="s">
        <v>856</v>
      </c>
      <c r="C853" s="19"/>
      <c r="D853" s="19"/>
      <c r="E853" s="19"/>
      <c r="F853" s="19"/>
      <c r="G853" s="19"/>
    </row>
    <row r="854">
      <c r="A854" s="3"/>
      <c r="B854" s="11" t="s">
        <v>14</v>
      </c>
      <c r="C854" s="20"/>
      <c r="D854" s="20"/>
      <c r="E854" s="20"/>
      <c r="F854" s="20"/>
      <c r="G854" s="20"/>
    </row>
    <row r="855">
      <c r="A855" s="4" t="s">
        <v>857</v>
      </c>
      <c r="B855" s="12" t="s">
        <v>16</v>
      </c>
      <c r="C855" s="21"/>
      <c r="D855" s="21" t="s">
        <v>17</v>
      </c>
      <c r="E855" s="21"/>
      <c r="F855" s="21">
        <f>(0)</f>
      </c>
      <c r="G855" s="21">
        <f>(C855 * E855 + C855 * E855 * F855)</f>
      </c>
    </row>
    <row r="856">
      <c r="A856" s="4" t="s">
        <v>858</v>
      </c>
      <c r="B856" s="12" t="s">
        <v>19</v>
      </c>
      <c r="C856" s="21"/>
      <c r="D856" s="21" t="s">
        <v>17</v>
      </c>
      <c r="E856" s="21"/>
      <c r="F856" s="21">
        <f>(0)</f>
      </c>
      <c r="G856" s="21">
        <f>(C856 * E856 + C856 * E856 * F856)</f>
      </c>
    </row>
    <row r="857">
      <c r="A857" s="3"/>
      <c r="B857" s="11" t="s">
        <v>98</v>
      </c>
      <c r="C857" s="20"/>
      <c r="D857" s="20"/>
      <c r="E857" s="20"/>
      <c r="F857" s="20"/>
      <c r="G857" s="20"/>
    </row>
    <row r="858">
      <c r="A858" s="4"/>
      <c r="B858" s="12" t="s">
        <v>859</v>
      </c>
      <c r="C858" s="21"/>
      <c r="D858" s="21" t="s">
        <v>17</v>
      </c>
      <c r="E858" s="21"/>
      <c r="F858" s="21">
        <f>(0)</f>
      </c>
      <c r="G858" s="21">
        <f>(C858 * E858 + C858 * E858 * F858)</f>
      </c>
    </row>
    <row r="859">
      <c r="A859" s="4"/>
      <c r="B859" s="12" t="s">
        <v>803</v>
      </c>
      <c r="C859" s="21"/>
      <c r="D859" s="21" t="s">
        <v>17</v>
      </c>
      <c r="E859" s="21"/>
      <c r="F859" s="21">
        <f>(0)</f>
      </c>
      <c r="G859" s="21">
        <f>(C859 * E859 + C859 * E859 * F859)</f>
      </c>
    </row>
    <row r="860">
      <c r="A860" s="4"/>
      <c r="B860" s="12" t="s">
        <v>860</v>
      </c>
      <c r="C860" s="21"/>
      <c r="D860" s="21" t="s">
        <v>17</v>
      </c>
      <c r="E860" s="21"/>
      <c r="F860" s="21">
        <f>(0)</f>
      </c>
      <c r="G860" s="21">
        <f>(C860 * E860 + C860 * E860 * F860)</f>
      </c>
    </row>
    <row r="861">
      <c r="A861" s="4"/>
      <c r="B861" s="12" t="s">
        <v>861</v>
      </c>
      <c r="C861" s="21"/>
      <c r="D861" s="21" t="s">
        <v>17</v>
      </c>
      <c r="E861" s="21"/>
      <c r="F861" s="21">
        <f>(0)</f>
      </c>
      <c r="G861" s="21">
        <f>(C861 * E861 + C861 * E861 * F861)</f>
      </c>
    </row>
    <row r="862">
      <c r="A862" s="3"/>
      <c r="B862" s="11" t="s">
        <v>24</v>
      </c>
      <c r="C862" s="20"/>
      <c r="D862" s="20"/>
      <c r="E862" s="20"/>
      <c r="F862" s="20"/>
      <c r="G862" s="20"/>
    </row>
    <row r="863">
      <c r="A863" s="5"/>
      <c r="B863" s="13" t="s">
        <v>25</v>
      </c>
      <c r="C863" s="22"/>
      <c r="D863" s="22"/>
      <c r="E863" s="22"/>
      <c r="F863" s="22"/>
      <c r="G863" s="22"/>
    </row>
    <row r="864">
      <c r="A864" s="4" t="s">
        <v>862</v>
      </c>
      <c r="B864" s="14" t="s">
        <v>863</v>
      </c>
      <c r="C864" s="21"/>
      <c r="D864" s="21" t="s">
        <v>17</v>
      </c>
      <c r="E864" s="21"/>
      <c r="F864" s="21">
        <f>(0)</f>
      </c>
      <c r="G864" s="21">
        <f>(C864 * E864 + C864 * E864 * F864)</f>
      </c>
    </row>
    <row r="865">
      <c r="A865" s="4" t="s">
        <v>864</v>
      </c>
      <c r="B865" s="14" t="s">
        <v>865</v>
      </c>
      <c r="C865" s="21"/>
      <c r="D865" s="21" t="s">
        <v>17</v>
      </c>
      <c r="E865" s="21"/>
      <c r="F865" s="21">
        <f>(0)</f>
      </c>
      <c r="G865" s="21">
        <f>(C865 * E865 + C865 * E865 * F865)</f>
      </c>
    </row>
    <row r="866">
      <c r="A866" s="4" t="s">
        <v>866</v>
      </c>
      <c r="B866" s="14" t="s">
        <v>867</v>
      </c>
      <c r="C866" s="21"/>
      <c r="D866" s="21" t="s">
        <v>17</v>
      </c>
      <c r="E866" s="21"/>
      <c r="F866" s="21">
        <f>(0)</f>
      </c>
      <c r="G866" s="21">
        <f>(C866 * E866 + C866 * E866 * F866)</f>
      </c>
    </row>
    <row r="867">
      <c r="A867" s="4" t="s">
        <v>868</v>
      </c>
      <c r="B867" s="14" t="s">
        <v>869</v>
      </c>
      <c r="C867" s="21"/>
      <c r="D867" s="21" t="s">
        <v>17</v>
      </c>
      <c r="E867" s="21"/>
      <c r="F867" s="21">
        <f>(0)</f>
      </c>
      <c r="G867" s="21">
        <f>(C867 * E867 + C867 * E867 * F867)</f>
      </c>
    </row>
    <row r="868">
      <c r="A868" s="4" t="s">
        <v>870</v>
      </c>
      <c r="B868" s="14" t="s">
        <v>871</v>
      </c>
      <c r="C868" s="21"/>
      <c r="D868" s="21" t="s">
        <v>17</v>
      </c>
      <c r="E868" s="21"/>
      <c r="F868" s="21">
        <f>(0)</f>
      </c>
      <c r="G868" s="21">
        <f>(C868 * E868 + C868 * E868 * F868)</f>
      </c>
    </row>
    <row r="869">
      <c r="A869" s="4" t="s">
        <v>872</v>
      </c>
      <c r="B869" s="14" t="s">
        <v>873</v>
      </c>
      <c r="C869" s="21"/>
      <c r="D869" s="21" t="s">
        <v>17</v>
      </c>
      <c r="E869" s="21"/>
      <c r="F869" s="21">
        <f>(0)</f>
      </c>
      <c r="G869" s="21">
        <f>(C869 * E869 + C869 * E869 * F869)</f>
      </c>
    </row>
    <row r="870">
      <c r="A870" s="4" t="s">
        <v>874</v>
      </c>
      <c r="B870" s="14" t="s">
        <v>875</v>
      </c>
      <c r="C870" s="21"/>
      <c r="D870" s="21" t="s">
        <v>17</v>
      </c>
      <c r="E870" s="21"/>
      <c r="F870" s="21">
        <f>(0)</f>
      </c>
      <c r="G870" s="21">
        <f>(C870 * E870 + C870 * E870 * F870)</f>
      </c>
    </row>
    <row r="871">
      <c r="A871" s="4" t="s">
        <v>876</v>
      </c>
      <c r="B871" s="14" t="s">
        <v>877</v>
      </c>
      <c r="C871" s="21"/>
      <c r="D871" s="21" t="s">
        <v>17</v>
      </c>
      <c r="E871" s="21"/>
      <c r="F871" s="21">
        <f>(0)</f>
      </c>
      <c r="G871" s="21">
        <f>(C871 * E871 + C871 * E871 * F871)</f>
      </c>
    </row>
    <row r="872">
      <c r="A872" s="4" t="s">
        <v>878</v>
      </c>
      <c r="B872" s="14" t="s">
        <v>879</v>
      </c>
      <c r="C872" s="21"/>
      <c r="D872" s="21" t="s">
        <v>17</v>
      </c>
      <c r="E872" s="21"/>
      <c r="F872" s="21">
        <f>(0)</f>
      </c>
      <c r="G872" s="21">
        <f>(C872 * E872 + C872 * E872 * F872)</f>
      </c>
    </row>
    <row r="873">
      <c r="A873" s="4" t="s">
        <v>880</v>
      </c>
      <c r="B873" s="14" t="s">
        <v>881</v>
      </c>
      <c r="C873" s="21"/>
      <c r="D873" s="21" t="s">
        <v>17</v>
      </c>
      <c r="E873" s="21"/>
      <c r="F873" s="21">
        <f>(0)</f>
      </c>
      <c r="G873" s="21">
        <f>(C873 * E873 + C873 * E873 * F873)</f>
      </c>
    </row>
    <row r="874">
      <c r="A874" s="4" t="s">
        <v>882</v>
      </c>
      <c r="B874" s="14" t="s">
        <v>883</v>
      </c>
      <c r="C874" s="21"/>
      <c r="D874" s="21" t="s">
        <v>17</v>
      </c>
      <c r="E874" s="21"/>
      <c r="F874" s="21">
        <f>(0)</f>
      </c>
      <c r="G874" s="21">
        <f>(C874 * E874 + C874 * E874 * F874)</f>
      </c>
    </row>
    <row r="875">
      <c r="A875" s="4" t="s">
        <v>884</v>
      </c>
      <c r="B875" s="14" t="s">
        <v>885</v>
      </c>
      <c r="C875" s="21"/>
      <c r="D875" s="21" t="s">
        <v>17</v>
      </c>
      <c r="E875" s="21"/>
      <c r="F875" s="21">
        <f>(0)</f>
      </c>
      <c r="G875" s="21">
        <f>(C875 * E875 + C875 * E875 * F875)</f>
      </c>
    </row>
    <row r="876">
      <c r="A876" s="4" t="s">
        <v>886</v>
      </c>
      <c r="B876" s="14" t="s">
        <v>887</v>
      </c>
      <c r="C876" s="21"/>
      <c r="D876" s="21" t="s">
        <v>17</v>
      </c>
      <c r="E876" s="21"/>
      <c r="F876" s="21">
        <f>(0)</f>
      </c>
      <c r="G876" s="21">
        <f>(C876 * E876 + C876 * E876 * F876)</f>
      </c>
    </row>
    <row r="877">
      <c r="A877" s="4" t="s">
        <v>888</v>
      </c>
      <c r="B877" s="14" t="s">
        <v>194</v>
      </c>
      <c r="C877" s="21"/>
      <c r="D877" s="21" t="s">
        <v>17</v>
      </c>
      <c r="E877" s="21"/>
      <c r="F877" s="21">
        <f>(0)</f>
      </c>
      <c r="G877" s="21">
        <f>(C877 * E877 + C877 * E877 * F877)</f>
      </c>
    </row>
    <row r="878">
      <c r="A878" s="3"/>
      <c r="B878" s="11" t="s">
        <v>42</v>
      </c>
      <c r="C878" s="20"/>
      <c r="D878" s="20"/>
      <c r="E878" s="20"/>
      <c r="F878" s="20"/>
      <c r="G878" s="20"/>
    </row>
    <row r="879">
      <c r="A879" s="4" t="s">
        <v>889</v>
      </c>
      <c r="B879" s="12" t="s">
        <v>890</v>
      </c>
      <c r="C879" s="21">
        <f>(1)*(1)*(1)*(1)*(1 + (0))</f>
      </c>
      <c r="D879" s="21" t="s">
        <v>45</v>
      </c>
      <c r="E879" s="21"/>
      <c r="F879" s="21">
        <f>(0)</f>
      </c>
      <c r="G879" s="21">
        <f>(C879 * E879 + C879 * E879 * F879)</f>
      </c>
    </row>
    <row r="880">
      <c r="A880" s="4" t="s">
        <v>891</v>
      </c>
      <c r="B880" s="12" t="s">
        <v>892</v>
      </c>
      <c r="C880" s="21">
        <f>(1)*(1)*(1)*(1)*(1 + (0))</f>
      </c>
      <c r="D880" s="21" t="s">
        <v>45</v>
      </c>
      <c r="E880" s="21"/>
      <c r="F880" s="21">
        <f>(0)</f>
      </c>
      <c r="G880" s="21">
        <f>(C880 * E880 + C880 * E880 * F880)</f>
      </c>
    </row>
    <row r="881">
      <c r="A881" s="4" t="s">
        <v>893</v>
      </c>
      <c r="B881" s="12" t="s">
        <v>894</v>
      </c>
      <c r="C881" s="21">
        <f>(1)*(1)*(1)*(1)*(1 + (0))</f>
      </c>
      <c r="D881" s="21" t="s">
        <v>45</v>
      </c>
      <c r="E881" s="21"/>
      <c r="F881" s="21">
        <f>(0)</f>
      </c>
      <c r="G881" s="21">
        <f>(C881 * E881 + C881 * E881 * F881)</f>
      </c>
    </row>
    <row r="882">
      <c r="A882" s="4" t="s">
        <v>895</v>
      </c>
      <c r="B882" s="12" t="s">
        <v>59</v>
      </c>
      <c r="C882" s="21">
        <f>(1)*(1)*(1)*(1)*(1 + (0))</f>
      </c>
      <c r="D882" s="21" t="s">
        <v>45</v>
      </c>
      <c r="E882" s="21"/>
      <c r="F882" s="21">
        <f>(0)</f>
      </c>
      <c r="G882" s="21">
        <f>(C882 * E882 + C882 * E882 * F882)</f>
      </c>
    </row>
    <row r="883">
      <c r="A883" s="4" t="s">
        <v>896</v>
      </c>
      <c r="B883" s="12" t="s">
        <v>61</v>
      </c>
      <c r="C883" s="21">
        <f>(1)*(1)*(1)*(1)*(1 + (0))</f>
      </c>
      <c r="D883" s="21" t="s">
        <v>45</v>
      </c>
      <c r="E883" s="21"/>
      <c r="F883" s="21">
        <f>(0)</f>
      </c>
      <c r="G883" s="21">
        <f>(C883 * E883 + C883 * E883 * F883)</f>
      </c>
    </row>
    <row r="884">
      <c r="A884" s="4" t="s">
        <v>897</v>
      </c>
      <c r="B884" s="12" t="s">
        <v>830</v>
      </c>
      <c r="C884" s="21">
        <f>(1)*(1)*(1)*(1)*(1 + (0))</f>
      </c>
      <c r="D884" s="21" t="s">
        <v>45</v>
      </c>
      <c r="E884" s="21"/>
      <c r="F884" s="21">
        <f>(0)</f>
      </c>
      <c r="G884" s="21">
        <f>(C884 * E884 + C884 * E884 * F884)</f>
      </c>
    </row>
    <row r="885">
      <c r="A885" s="4" t="s">
        <v>898</v>
      </c>
      <c r="B885" s="12" t="s">
        <v>899</v>
      </c>
      <c r="C885" s="21">
        <f>(1)*(1)*(1)*(1)*(1 + (0))</f>
      </c>
      <c r="D885" s="21" t="s">
        <v>45</v>
      </c>
      <c r="E885" s="21"/>
      <c r="F885" s="21">
        <f>(0)</f>
      </c>
      <c r="G885" s="21">
        <f>(C885 * E885 + C885 * E885 * F885)</f>
      </c>
    </row>
    <row r="886">
      <c r="A886" s="4" t="s">
        <v>900</v>
      </c>
      <c r="B886" s="12" t="s">
        <v>605</v>
      </c>
      <c r="C886" s="21">
        <f>(1)*(1)*(1)*(1)*(1 + (0))</f>
      </c>
      <c r="D886" s="21" t="s">
        <v>45</v>
      </c>
      <c r="E886" s="21"/>
      <c r="F886" s="21">
        <f>(0)</f>
      </c>
      <c r="G886" s="21">
        <f>(C886 * E886 + C886 * E886 * F886)</f>
      </c>
    </row>
    <row r="887">
      <c r="A887" s="4" t="s">
        <v>901</v>
      </c>
      <c r="B887" s="12" t="s">
        <v>902</v>
      </c>
      <c r="C887" s="21">
        <f>(1)*(1)*(1)*(1)*(1 + (0))</f>
      </c>
      <c r="D887" s="21" t="s">
        <v>45</v>
      </c>
      <c r="E887" s="21"/>
      <c r="F887" s="21">
        <f>(0)</f>
      </c>
      <c r="G887" s="21">
        <f>(C887 * E887 + C887 * E887 * F887)</f>
      </c>
    </row>
    <row r="888">
      <c r="A888" s="3"/>
      <c r="B888" s="11" t="s">
        <v>82</v>
      </c>
      <c r="C888" s="20"/>
      <c r="D888" s="20"/>
      <c r="E888" s="20"/>
      <c r="F888" s="20"/>
      <c r="G888" s="20"/>
    </row>
    <row r="889">
      <c r="A889" s="4"/>
      <c r="B889" s="12" t="s">
        <v>903</v>
      </c>
      <c r="C889" s="21"/>
      <c r="D889" s="21" t="s">
        <v>17</v>
      </c>
      <c r="E889" s="21"/>
      <c r="F889" s="21">
        <f>(0)</f>
      </c>
      <c r="G889" s="21">
        <f>(C889 * E889 + C889 * E889 * F889)</f>
      </c>
    </row>
    <row r="890">
      <c r="A890" s="4"/>
      <c r="B890" s="12" t="s">
        <v>904</v>
      </c>
      <c r="C890" s="21"/>
      <c r="D890" s="21" t="s">
        <v>264</v>
      </c>
      <c r="E890" s="21"/>
      <c r="F890" s="21">
        <f>(0)</f>
      </c>
      <c r="G890" s="21">
        <f>(C890 * E890 + C890 * E890 * F890)</f>
      </c>
    </row>
    <row r="891">
      <c r="A891" s="3"/>
      <c r="B891" s="11" t="s">
        <v>905</v>
      </c>
      <c r="C891" s="20"/>
      <c r="D891" s="20"/>
      <c r="E891" s="20"/>
      <c r="F891" s="20"/>
      <c r="G891" s="20"/>
    </row>
    <row r="892">
      <c r="A892" s="5"/>
      <c r="B892" s="13" t="s">
        <v>906</v>
      </c>
      <c r="C892" s="22"/>
      <c r="D892" s="22"/>
      <c r="E892" s="22"/>
      <c r="F892" s="22"/>
      <c r="G892" s="22"/>
    </row>
    <row r="893">
      <c r="A893" s="6"/>
      <c r="B893" s="15" t="s">
        <v>907</v>
      </c>
      <c r="C893" s="23"/>
      <c r="D893" s="23"/>
      <c r="E893" s="23"/>
      <c r="F893" s="23"/>
      <c r="G893" s="23"/>
    </row>
    <row r="894">
      <c r="A894" s="4"/>
      <c r="B894" s="16" t="s">
        <v>908</v>
      </c>
      <c r="C894" s="21"/>
      <c r="D894" s="21"/>
      <c r="E894" s="21"/>
      <c r="F894" s="21"/>
      <c r="G894" s="21"/>
    </row>
    <row r="895">
      <c r="A895" s="4"/>
      <c r="B895" s="17" t="s">
        <v>909</v>
      </c>
      <c r="C895" s="21"/>
      <c r="D895" s="21"/>
      <c r="E895" s="21"/>
      <c r="F895" s="21"/>
      <c r="G895" s="21"/>
    </row>
    <row r="896">
      <c r="A896" s="4"/>
      <c r="B896" s="18" t="s">
        <v>297</v>
      </c>
      <c r="C896" s="21">
        <f>(9)*(1)*(1)*(1)*(1 + (0))</f>
      </c>
      <c r="D896" s="21" t="s">
        <v>9</v>
      </c>
      <c r="E896" s="21"/>
      <c r="F896" s="21">
        <f>(0)</f>
      </c>
      <c r="G896" s="21">
        <f>(C896 * E896 + C896 * E896 * F896)</f>
      </c>
    </row>
    <row r="897">
      <c r="A897" s="4"/>
      <c r="B897" s="17" t="s">
        <v>910</v>
      </c>
      <c r="C897" s="21"/>
      <c r="D897" s="21"/>
      <c r="E897" s="21"/>
      <c r="F897" s="21"/>
      <c r="G897" s="21"/>
    </row>
    <row r="898">
      <c r="A898" s="4"/>
      <c r="B898" s="18" t="s">
        <v>270</v>
      </c>
      <c r="C898" s="21">
        <f>(75)*(1)*(1)*(1)*(1 + (0))</f>
      </c>
      <c r="D898" s="21" t="s">
        <v>9</v>
      </c>
      <c r="E898" s="21"/>
      <c r="F898" s="21">
        <f>(0)</f>
      </c>
      <c r="G898" s="21">
        <f>(C898 * E898 + C898 * E898 * F898)</f>
      </c>
    </row>
    <row r="899">
      <c r="A899" s="4"/>
      <c r="B899" s="18" t="s">
        <v>297</v>
      </c>
      <c r="C899" s="21">
        <f>(53)*(1)*(1)*(1)*(1 + (0))</f>
      </c>
      <c r="D899" s="21" t="s">
        <v>9</v>
      </c>
      <c r="E899" s="21"/>
      <c r="F899" s="21">
        <f>(0)</f>
      </c>
      <c r="G899" s="21">
        <f>(C899 * E899 + C899 * E899 * F899)</f>
      </c>
    </row>
    <row r="900">
      <c r="A900" s="4"/>
      <c r="B900" s="18" t="s">
        <v>911</v>
      </c>
      <c r="C900" s="21">
        <f>(3)*(1)*(1)*(1)*(1 + (0))</f>
      </c>
      <c r="D900" s="21" t="s">
        <v>167</v>
      </c>
      <c r="E900" s="21"/>
      <c r="F900" s="21">
        <f>(0)</f>
      </c>
      <c r="G900" s="21">
        <f>(C900 * E900 + C900 * E900 * F900)</f>
      </c>
    </row>
    <row r="901">
      <c r="A901" s="4"/>
      <c r="B901" s="18" t="s">
        <v>912</v>
      </c>
      <c r="C901" s="21">
        <f>(1)*(1)*(1)*(1)*(1 + (0))</f>
      </c>
      <c r="D901" s="21" t="s">
        <v>167</v>
      </c>
      <c r="E901" s="21"/>
      <c r="F901" s="21">
        <f>(0)</f>
      </c>
      <c r="G901" s="21">
        <f>(C901 * E901 + C901 * E901 * F901)</f>
      </c>
    </row>
    <row r="902">
      <c r="A902" s="4"/>
      <c r="B902" s="18" t="s">
        <v>913</v>
      </c>
      <c r="C902" s="21">
        <f>(1)*(1)*(1)*(1)*(1 + (0))</f>
      </c>
      <c r="D902" s="21" t="s">
        <v>167</v>
      </c>
      <c r="E902" s="21"/>
      <c r="F902" s="21">
        <f>(0)</f>
      </c>
      <c r="G902" s="21">
        <f>(C902 * E902 + C902 * E902 * F902)</f>
      </c>
    </row>
    <row r="903">
      <c r="A903" s="4"/>
      <c r="B903" s="17" t="s">
        <v>914</v>
      </c>
      <c r="C903" s="21"/>
      <c r="D903" s="21"/>
      <c r="E903" s="21"/>
      <c r="F903" s="21"/>
      <c r="G903" s="21"/>
    </row>
    <row r="904">
      <c r="A904" s="4"/>
      <c r="B904" s="18" t="s">
        <v>270</v>
      </c>
      <c r="C904" s="21">
        <f>(263)*(1)*(1)*(1)*(1 + (0))</f>
      </c>
      <c r="D904" s="21" t="s">
        <v>9</v>
      </c>
      <c r="E904" s="21"/>
      <c r="F904" s="21">
        <f>(0)</f>
      </c>
      <c r="G904" s="21">
        <f>(C904 * E904 + C904 * E904 * F904)</f>
      </c>
    </row>
    <row r="905">
      <c r="A905" s="4"/>
      <c r="B905" s="18" t="s">
        <v>915</v>
      </c>
      <c r="C905" s="21">
        <f>(1)*(1)*(1)*(1)*(1 + (0))</f>
      </c>
      <c r="D905" s="21" t="s">
        <v>167</v>
      </c>
      <c r="E905" s="21"/>
      <c r="F905" s="21">
        <f>(0)</f>
      </c>
      <c r="G905" s="21">
        <f>(C905 * E905 + C905 * E905 * F905)</f>
      </c>
    </row>
    <row r="906">
      <c r="A906" s="4"/>
      <c r="B906" s="18" t="s">
        <v>916</v>
      </c>
      <c r="C906" s="21">
        <f>(3)*(1)*(1)*(1)*(1 + (0))</f>
      </c>
      <c r="D906" s="21" t="s">
        <v>167</v>
      </c>
      <c r="E906" s="21"/>
      <c r="F906" s="21">
        <f>(0)</f>
      </c>
      <c r="G906" s="21">
        <f>(C906 * E906 + C906 * E906 * F906)</f>
      </c>
    </row>
    <row r="907">
      <c r="A907" s="4"/>
      <c r="B907" s="18" t="s">
        <v>917</v>
      </c>
      <c r="C907" s="21">
        <f>(2)*(1)*(1)*(1)*(1 + (0))</f>
      </c>
      <c r="D907" s="21" t="s">
        <v>167</v>
      </c>
      <c r="E907" s="21"/>
      <c r="F907" s="21">
        <f>(0)</f>
      </c>
      <c r="G907" s="21">
        <f>(C907 * E907 + C907 * E907 * F907)</f>
      </c>
    </row>
    <row r="908">
      <c r="A908" s="4"/>
      <c r="B908" s="18" t="s">
        <v>918</v>
      </c>
      <c r="C908" s="21">
        <f>(1)*(1)*(1)*(1)*(1 + (0))</f>
      </c>
      <c r="D908" s="21" t="s">
        <v>167</v>
      </c>
      <c r="E908" s="21"/>
      <c r="F908" s="21">
        <f>(0)</f>
      </c>
      <c r="G908" s="21">
        <f>(C908 * E908 + C908 * E908 * F908)</f>
      </c>
    </row>
    <row r="909">
      <c r="A909" s="4"/>
      <c r="B909" s="18" t="s">
        <v>919</v>
      </c>
      <c r="C909" s="21">
        <f>(1)*(1)*(1)*(1)*(1 + (0))</f>
      </c>
      <c r="D909" s="21" t="s">
        <v>167</v>
      </c>
      <c r="E909" s="21"/>
      <c r="F909" s="21">
        <f>(0)</f>
      </c>
      <c r="G909" s="21">
        <f>(C909 * E909 + C909 * E909 * F909)</f>
      </c>
    </row>
    <row r="910">
      <c r="A910" s="4"/>
      <c r="B910" s="17" t="s">
        <v>920</v>
      </c>
      <c r="C910" s="21"/>
      <c r="D910" s="21"/>
      <c r="E910" s="21"/>
      <c r="F910" s="21"/>
      <c r="G910" s="21"/>
    </row>
    <row r="911">
      <c r="A911" s="4"/>
      <c r="B911" s="18" t="s">
        <v>297</v>
      </c>
      <c r="C911" s="21">
        <f>(18)*(1)*(1)*(1)*(1 + (0))</f>
      </c>
      <c r="D911" s="21" t="s">
        <v>9</v>
      </c>
      <c r="E911" s="21"/>
      <c r="F911" s="21">
        <f>(0)</f>
      </c>
      <c r="G911" s="21">
        <f>(C911 * E911 + C911 * E911 * F911)</f>
      </c>
    </row>
    <row r="912">
      <c r="A912" s="4"/>
      <c r="B912" s="17" t="s">
        <v>921</v>
      </c>
      <c r="C912" s="21"/>
      <c r="D912" s="21"/>
      <c r="E912" s="21"/>
      <c r="F912" s="21"/>
      <c r="G912" s="21"/>
    </row>
    <row r="913">
      <c r="A913" s="4"/>
      <c r="B913" s="18" t="s">
        <v>270</v>
      </c>
      <c r="C913" s="21">
        <f>(9)*(1)*(1)*(1)*(1 + (0))</f>
      </c>
      <c r="D913" s="21" t="s">
        <v>9</v>
      </c>
      <c r="E913" s="21"/>
      <c r="F913" s="21">
        <f>(0)</f>
      </c>
      <c r="G913" s="21">
        <f>(C913 * E913 + C913 * E913 * F913)</f>
      </c>
    </row>
    <row r="914">
      <c r="A914" s="4"/>
      <c r="B914" s="17" t="s">
        <v>922</v>
      </c>
      <c r="C914" s="21"/>
      <c r="D914" s="21"/>
      <c r="E914" s="21"/>
      <c r="F914" s="21"/>
      <c r="G914" s="21"/>
    </row>
    <row r="915">
      <c r="A915" s="4"/>
      <c r="B915" s="18" t="s">
        <v>270</v>
      </c>
      <c r="C915" s="21">
        <f>(116)*(1)*(1)*(1)*(1 + (0))</f>
      </c>
      <c r="D915" s="21" t="s">
        <v>9</v>
      </c>
      <c r="E915" s="21"/>
      <c r="F915" s="21">
        <f>(0)</f>
      </c>
      <c r="G915" s="21">
        <f>(C915 * E915 + C915 * E915 * F915)</f>
      </c>
    </row>
    <row r="916">
      <c r="A916" s="4"/>
      <c r="B916" s="18" t="s">
        <v>912</v>
      </c>
      <c r="C916" s="21">
        <f>(2)*(1)*(1)*(1)*(1 + (0))</f>
      </c>
      <c r="D916" s="21" t="s">
        <v>167</v>
      </c>
      <c r="E916" s="21"/>
      <c r="F916" s="21">
        <f>(0)</f>
      </c>
      <c r="G916" s="21">
        <f>(C916 * E916 + C916 * E916 * F916)</f>
      </c>
    </row>
    <row r="917">
      <c r="A917" s="4"/>
      <c r="B917" s="18" t="s">
        <v>913</v>
      </c>
      <c r="C917" s="21">
        <f>(2)*(1)*(1)*(1)*(1 + (0))</f>
      </c>
      <c r="D917" s="21" t="s">
        <v>167</v>
      </c>
      <c r="E917" s="21"/>
      <c r="F917" s="21">
        <f>(0)</f>
      </c>
      <c r="G917" s="21">
        <f>(C917 * E917 + C917 * E917 * F917)</f>
      </c>
    </row>
    <row r="918">
      <c r="A918" s="4"/>
      <c r="B918" s="16" t="s">
        <v>923</v>
      </c>
      <c r="C918" s="21"/>
      <c r="D918" s="21"/>
      <c r="E918" s="21"/>
      <c r="F918" s="21"/>
      <c r="G918" s="21"/>
    </row>
    <row r="919">
      <c r="A919" s="4"/>
      <c r="B919" s="17" t="s">
        <v>910</v>
      </c>
      <c r="C919" s="21"/>
      <c r="D919" s="21"/>
      <c r="E919" s="21"/>
      <c r="F919" s="21"/>
      <c r="G919" s="21"/>
    </row>
    <row r="920">
      <c r="A920" s="4"/>
      <c r="B920" s="18" t="s">
        <v>318</v>
      </c>
      <c r="C920" s="21">
        <f>(101)*(1)*(1)*(1)*(1 + (0))</f>
      </c>
      <c r="D920" s="21" t="s">
        <v>9</v>
      </c>
      <c r="E920" s="21"/>
      <c r="F920" s="21">
        <f>(0)</f>
      </c>
      <c r="G920" s="21">
        <f>(C920 * E920 + C920 * E920 * F920)</f>
      </c>
    </row>
    <row r="921">
      <c r="A921" s="4"/>
      <c r="B921" s="17" t="s">
        <v>920</v>
      </c>
      <c r="C921" s="21"/>
      <c r="D921" s="21"/>
      <c r="E921" s="21"/>
      <c r="F921" s="21"/>
      <c r="G921" s="21"/>
    </row>
    <row r="922">
      <c r="A922" s="4"/>
      <c r="B922" s="18" t="s">
        <v>297</v>
      </c>
      <c r="C922" s="21">
        <f>(10)*(1)*(1)*(1)*(1 + (0))</f>
      </c>
      <c r="D922" s="21" t="s">
        <v>9</v>
      </c>
      <c r="E922" s="21"/>
      <c r="F922" s="21">
        <f>(0)</f>
      </c>
      <c r="G922" s="21">
        <f>(C922 * E922 + C922 * E922 * F922)</f>
      </c>
    </row>
    <row r="923">
      <c r="A923" s="4"/>
      <c r="B923" s="16" t="s">
        <v>924</v>
      </c>
      <c r="C923" s="21"/>
      <c r="D923" s="21"/>
      <c r="E923" s="21"/>
      <c r="F923" s="21"/>
      <c r="G923" s="21"/>
    </row>
    <row r="924">
      <c r="A924" s="4"/>
      <c r="B924" s="17" t="s">
        <v>910</v>
      </c>
      <c r="C924" s="21"/>
      <c r="D924" s="21"/>
      <c r="E924" s="21"/>
      <c r="F924" s="21"/>
      <c r="G924" s="21"/>
    </row>
    <row r="925">
      <c r="A925" s="4"/>
      <c r="B925" s="18" t="s">
        <v>297</v>
      </c>
      <c r="C925" s="21">
        <f>(370)*(1)*(1)*(1)*(1 + (0))</f>
      </c>
      <c r="D925" s="21" t="s">
        <v>9</v>
      </c>
      <c r="E925" s="21"/>
      <c r="F925" s="21">
        <f>(0)</f>
      </c>
      <c r="G925" s="21">
        <f>(C925 * E925 + C925 * E925 * F925)</f>
      </c>
    </row>
    <row r="926">
      <c r="A926" s="4"/>
      <c r="B926" s="17" t="s">
        <v>920</v>
      </c>
      <c r="C926" s="21"/>
      <c r="D926" s="21"/>
      <c r="E926" s="21"/>
      <c r="F926" s="21"/>
      <c r="G926" s="21"/>
    </row>
    <row r="927">
      <c r="A927" s="4"/>
      <c r="B927" s="18" t="s">
        <v>318</v>
      </c>
      <c r="C927" s="21">
        <f>(15)*(1)*(1)*(1)*(1 + (0))</f>
      </c>
      <c r="D927" s="21" t="s">
        <v>9</v>
      </c>
      <c r="E927" s="21"/>
      <c r="F927" s="21">
        <f>(0)</f>
      </c>
      <c r="G927" s="21">
        <f>(C927 * E927 + C927 * E927 * F927)</f>
      </c>
    </row>
    <row r="928">
      <c r="A928" s="4"/>
      <c r="B928" s="16" t="s">
        <v>925</v>
      </c>
      <c r="C928" s="21"/>
      <c r="D928" s="21"/>
      <c r="E928" s="21"/>
      <c r="F928" s="21"/>
      <c r="G928" s="21"/>
    </row>
    <row r="929">
      <c r="A929" s="4"/>
      <c r="B929" s="17" t="s">
        <v>920</v>
      </c>
      <c r="C929" s="21"/>
      <c r="D929" s="21"/>
      <c r="E929" s="21"/>
      <c r="F929" s="21"/>
      <c r="G929" s="21"/>
    </row>
    <row r="930">
      <c r="A930" s="4"/>
      <c r="B930" s="18" t="s">
        <v>318</v>
      </c>
      <c r="C930" s="21">
        <f>(25)*(1)*(1)*(1)*(1 + (0))</f>
      </c>
      <c r="D930" s="21" t="s">
        <v>9</v>
      </c>
      <c r="E930" s="21"/>
      <c r="F930" s="21">
        <f>(0)</f>
      </c>
      <c r="G930" s="21">
        <f>(C930 * E930 + C930 * E930 * F930)</f>
      </c>
    </row>
    <row r="931">
      <c r="A931" s="4"/>
      <c r="B931" s="16" t="s">
        <v>926</v>
      </c>
      <c r="C931" s="21"/>
      <c r="D931" s="21"/>
      <c r="E931" s="21"/>
      <c r="F931" s="21"/>
      <c r="G931" s="21"/>
    </row>
    <row r="932">
      <c r="A932" s="4"/>
      <c r="B932" s="17" t="s">
        <v>920</v>
      </c>
      <c r="C932" s="21"/>
      <c r="D932" s="21"/>
      <c r="E932" s="21"/>
      <c r="F932" s="21"/>
      <c r="G932" s="21"/>
    </row>
    <row r="933">
      <c r="A933" s="4"/>
      <c r="B933" s="18" t="s">
        <v>318</v>
      </c>
      <c r="C933" s="21">
        <f>(41)*(1)*(1)*(1)*(1 + (0))</f>
      </c>
      <c r="D933" s="21" t="s">
        <v>9</v>
      </c>
      <c r="E933" s="21"/>
      <c r="F933" s="21">
        <f>(0)</f>
      </c>
      <c r="G933" s="21">
        <f>(C933 * E933 + C933 * E933 * F933)</f>
      </c>
    </row>
    <row r="934">
      <c r="A934" s="6"/>
      <c r="B934" s="15" t="s">
        <v>927</v>
      </c>
      <c r="C934" s="23"/>
      <c r="D934" s="23"/>
      <c r="E934" s="23"/>
      <c r="F934" s="23"/>
      <c r="G934" s="23"/>
    </row>
    <row r="935">
      <c r="A935" s="4"/>
      <c r="B935" s="16" t="s">
        <v>928</v>
      </c>
      <c r="C935" s="21"/>
      <c r="D935" s="21"/>
      <c r="E935" s="21"/>
      <c r="F935" s="21"/>
      <c r="G935" s="21"/>
    </row>
    <row r="936">
      <c r="A936" s="4"/>
      <c r="B936" s="17" t="s">
        <v>910</v>
      </c>
      <c r="C936" s="21"/>
      <c r="D936" s="21"/>
      <c r="E936" s="21"/>
      <c r="F936" s="21"/>
      <c r="G936" s="21"/>
    </row>
    <row r="937">
      <c r="A937" s="4"/>
      <c r="B937" s="18" t="s">
        <v>297</v>
      </c>
      <c r="C937" s="21">
        <f>(14)*(1)*(1)*(1)*(1 + (0))</f>
      </c>
      <c r="D937" s="21" t="s">
        <v>9</v>
      </c>
      <c r="E937" s="21"/>
      <c r="F937" s="21">
        <f>(0)</f>
      </c>
      <c r="G937" s="21">
        <f>(C937 * E937 + C937 * E937 * F937)</f>
      </c>
    </row>
    <row r="938">
      <c r="A938" s="4"/>
      <c r="B938" s="17" t="s">
        <v>920</v>
      </c>
      <c r="C938" s="21"/>
      <c r="D938" s="21"/>
      <c r="E938" s="21"/>
      <c r="F938" s="21"/>
      <c r="G938" s="21"/>
    </row>
    <row r="939">
      <c r="A939" s="4"/>
      <c r="B939" s="18" t="s">
        <v>270</v>
      </c>
      <c r="C939" s="21">
        <f>(7)*(1)*(1)*(1)*(1 + (0))</f>
      </c>
      <c r="D939" s="21" t="s">
        <v>9</v>
      </c>
      <c r="E939" s="21"/>
      <c r="F939" s="21">
        <f>(0)</f>
      </c>
      <c r="G939" s="21">
        <f>(C939 * E939 + C939 * E939 * F939)</f>
      </c>
    </row>
    <row r="940">
      <c r="A940" s="4"/>
      <c r="B940" s="18" t="s">
        <v>297</v>
      </c>
      <c r="C940" s="21">
        <f>(7)*(1)*(1)*(1)*(1 + (0))</f>
      </c>
      <c r="D940" s="21" t="s">
        <v>9</v>
      </c>
      <c r="E940" s="21"/>
      <c r="F940" s="21">
        <f>(0)</f>
      </c>
      <c r="G940" s="21">
        <f>(C940 * E940 + C940 * E940 * F940)</f>
      </c>
    </row>
    <row r="941">
      <c r="A941" s="4"/>
      <c r="B941" s="17" t="s">
        <v>929</v>
      </c>
      <c r="C941" s="21"/>
      <c r="D941" s="21"/>
      <c r="E941" s="21"/>
      <c r="F941" s="21"/>
      <c r="G941" s="21"/>
    </row>
    <row r="942">
      <c r="A942" s="4"/>
      <c r="B942" s="18" t="s">
        <v>270</v>
      </c>
      <c r="C942" s="21">
        <f>(9)*(1)*(1)*(1)*(1 + (0))</f>
      </c>
      <c r="D942" s="21" t="s">
        <v>9</v>
      </c>
      <c r="E942" s="21"/>
      <c r="F942" s="21">
        <f>(0)</f>
      </c>
      <c r="G942" s="21">
        <f>(C942 * E942 + C942 * E942 * F942)</f>
      </c>
    </row>
    <row r="943">
      <c r="A943" s="4"/>
      <c r="B943" s="16" t="s">
        <v>930</v>
      </c>
      <c r="C943" s="21"/>
      <c r="D943" s="21"/>
      <c r="E943" s="21"/>
      <c r="F943" s="21"/>
      <c r="G943" s="21"/>
    </row>
    <row r="944">
      <c r="A944" s="4"/>
      <c r="B944" s="17" t="s">
        <v>910</v>
      </c>
      <c r="C944" s="21"/>
      <c r="D944" s="21"/>
      <c r="E944" s="21"/>
      <c r="F944" s="21"/>
      <c r="G944" s="21"/>
    </row>
    <row r="945">
      <c r="A945" s="4"/>
      <c r="B945" s="18" t="s">
        <v>318</v>
      </c>
      <c r="C945" s="21">
        <f>(33)*(1)*(1)*(1)*(1 + (0))</f>
      </c>
      <c r="D945" s="21" t="s">
        <v>9</v>
      </c>
      <c r="E945" s="21"/>
      <c r="F945" s="21">
        <f>(0)</f>
      </c>
      <c r="G945" s="21">
        <f>(C945 * E945 + C945 * E945 * F945)</f>
      </c>
    </row>
    <row r="946">
      <c r="A946" s="4"/>
      <c r="B946" s="17" t="s">
        <v>920</v>
      </c>
      <c r="C946" s="21"/>
      <c r="D946" s="21"/>
      <c r="E946" s="21"/>
      <c r="F946" s="21"/>
      <c r="G946" s="21"/>
    </row>
    <row r="947">
      <c r="A947" s="4"/>
      <c r="B947" s="18" t="s">
        <v>297</v>
      </c>
      <c r="C947" s="21">
        <f>(6)*(1)*(1)*(1)*(1 + (0))</f>
      </c>
      <c r="D947" s="21" t="s">
        <v>9</v>
      </c>
      <c r="E947" s="21"/>
      <c r="F947" s="21">
        <f>(0)</f>
      </c>
      <c r="G947" s="21">
        <f>(C947 * E947 + C947 * E947 * F947)</f>
      </c>
    </row>
    <row r="948">
      <c r="A948" s="4"/>
      <c r="B948" s="17" t="s">
        <v>931</v>
      </c>
      <c r="C948" s="21"/>
      <c r="D948" s="21"/>
      <c r="E948" s="21"/>
      <c r="F948" s="21"/>
      <c r="G948" s="21"/>
    </row>
    <row r="949">
      <c r="A949" s="4"/>
      <c r="B949" s="18" t="s">
        <v>297</v>
      </c>
      <c r="C949" s="21">
        <f>(7)*(1)*(1)*(1)*(1 + (0))</f>
      </c>
      <c r="D949" s="21" t="s">
        <v>9</v>
      </c>
      <c r="E949" s="21"/>
      <c r="F949" s="21">
        <f>(0)</f>
      </c>
      <c r="G949" s="21">
        <f>(C949 * E949 + C949 * E949 * F949)</f>
      </c>
    </row>
    <row r="950">
      <c r="A950" s="4"/>
      <c r="B950" s="18" t="s">
        <v>318</v>
      </c>
      <c r="C950" s="21">
        <f>(28)*(1)*(1)*(1)*(1 + (0))</f>
      </c>
      <c r="D950" s="21" t="s">
        <v>9</v>
      </c>
      <c r="E950" s="21"/>
      <c r="F950" s="21">
        <f>(0)</f>
      </c>
      <c r="G950" s="21">
        <f>(C950 * E950 + C950 * E950 * F950)</f>
      </c>
    </row>
    <row r="951">
      <c r="A951" s="4"/>
      <c r="B951" s="16" t="s">
        <v>932</v>
      </c>
      <c r="C951" s="21"/>
      <c r="D951" s="21"/>
      <c r="E951" s="21"/>
      <c r="F951" s="21"/>
      <c r="G951" s="21"/>
    </row>
    <row r="952">
      <c r="A952" s="4"/>
      <c r="B952" s="17" t="s">
        <v>931</v>
      </c>
      <c r="C952" s="21"/>
      <c r="D952" s="21"/>
      <c r="E952" s="21"/>
      <c r="F952" s="21"/>
      <c r="G952" s="21"/>
    </row>
    <row r="953">
      <c r="A953" s="4"/>
      <c r="B953" s="18" t="s">
        <v>297</v>
      </c>
      <c r="C953" s="21">
        <f>(23)*(1)*(1)*(1)*(1 + (0))</f>
      </c>
      <c r="D953" s="21" t="s">
        <v>9</v>
      </c>
      <c r="E953" s="21"/>
      <c r="F953" s="21">
        <f>(0)</f>
      </c>
      <c r="G953" s="21">
        <f>(C953 * E953 + C953 * E953 * F953)</f>
      </c>
    </row>
    <row r="954">
      <c r="A954" s="4"/>
      <c r="B954" s="17" t="s">
        <v>910</v>
      </c>
      <c r="C954" s="21"/>
      <c r="D954" s="21"/>
      <c r="E954" s="21"/>
      <c r="F954" s="21"/>
      <c r="G954" s="21"/>
    </row>
    <row r="955">
      <c r="A955" s="4"/>
      <c r="B955" s="18" t="s">
        <v>297</v>
      </c>
      <c r="C955" s="21">
        <f>(103)*(1)*(1)*(1)*(1 + (0))</f>
      </c>
      <c r="D955" s="21" t="s">
        <v>9</v>
      </c>
      <c r="E955" s="21"/>
      <c r="F955" s="21">
        <f>(0)</f>
      </c>
      <c r="G955" s="21">
        <f>(C955 * E955 + C955 * E955 * F955)</f>
      </c>
    </row>
    <row r="956">
      <c r="A956" s="4"/>
      <c r="B956" s="16" t="s">
        <v>933</v>
      </c>
      <c r="C956" s="21"/>
      <c r="D956" s="21"/>
      <c r="E956" s="21"/>
      <c r="F956" s="21"/>
      <c r="G956" s="21"/>
    </row>
    <row r="957">
      <c r="A957" s="4"/>
      <c r="B957" s="17" t="s">
        <v>920</v>
      </c>
      <c r="C957" s="21"/>
      <c r="D957" s="21"/>
      <c r="E957" s="21"/>
      <c r="F957" s="21"/>
      <c r="G957" s="21"/>
    </row>
    <row r="958">
      <c r="A958" s="4"/>
      <c r="B958" s="18" t="s">
        <v>318</v>
      </c>
      <c r="C958" s="21">
        <f>(14)*(1)*(1)*(1)*(1 + (0))</f>
      </c>
      <c r="D958" s="21" t="s">
        <v>9</v>
      </c>
      <c r="E958" s="21"/>
      <c r="F958" s="21">
        <f>(0)</f>
      </c>
      <c r="G958" s="21">
        <f>(C958 * E958 + C958 * E958 * F958)</f>
      </c>
    </row>
    <row r="959">
      <c r="A959" s="4"/>
      <c r="B959" s="16" t="s">
        <v>934</v>
      </c>
      <c r="C959" s="21"/>
      <c r="D959" s="21"/>
      <c r="E959" s="21"/>
      <c r="F959" s="21"/>
      <c r="G959" s="21"/>
    </row>
    <row r="960">
      <c r="A960" s="4"/>
      <c r="B960" s="17" t="s">
        <v>920</v>
      </c>
      <c r="C960" s="21"/>
      <c r="D960" s="21"/>
      <c r="E960" s="21"/>
      <c r="F960" s="21"/>
      <c r="G960" s="21"/>
    </row>
    <row r="961">
      <c r="A961" s="4"/>
      <c r="B961" s="18" t="s">
        <v>318</v>
      </c>
      <c r="C961" s="21">
        <f>(12)*(1)*(1)*(1)*(1 + (0))</f>
      </c>
      <c r="D961" s="21" t="s">
        <v>9</v>
      </c>
      <c r="E961" s="21"/>
      <c r="F961" s="21">
        <f>(0)</f>
      </c>
      <c r="G961" s="21">
        <f>(C961 * E961 + C961 * E961 * F961)</f>
      </c>
    </row>
    <row r="962">
      <c r="A962" s="4"/>
      <c r="B962" s="16" t="s">
        <v>935</v>
      </c>
      <c r="C962" s="21"/>
      <c r="D962" s="21"/>
      <c r="E962" s="21"/>
      <c r="F962" s="21"/>
      <c r="G962" s="21"/>
    </row>
    <row r="963">
      <c r="A963" s="4"/>
      <c r="B963" s="17" t="s">
        <v>920</v>
      </c>
      <c r="C963" s="21"/>
      <c r="D963" s="21"/>
      <c r="E963" s="21"/>
      <c r="F963" s="21"/>
      <c r="G963" s="21"/>
    </row>
    <row r="964">
      <c r="A964" s="4"/>
      <c r="B964" s="18" t="s">
        <v>318</v>
      </c>
      <c r="C964" s="21">
        <f>(7)*(1)*(1)*(1)*(1 + (0))</f>
      </c>
      <c r="D964" s="21" t="s">
        <v>9</v>
      </c>
      <c r="E964" s="21"/>
      <c r="F964" s="21">
        <f>(0)</f>
      </c>
      <c r="G964" s="21">
        <f>(C964 * E964 + C964 * E964 * F964)</f>
      </c>
    </row>
    <row r="965">
      <c r="A965" s="5"/>
      <c r="B965" s="13" t="s">
        <v>936</v>
      </c>
      <c r="C965" s="22"/>
      <c r="D965" s="22"/>
      <c r="E965" s="22"/>
      <c r="F965" s="22"/>
      <c r="G965" s="22"/>
    </row>
    <row r="966">
      <c r="A966" s="6"/>
      <c r="B966" s="15" t="s">
        <v>937</v>
      </c>
      <c r="C966" s="23"/>
      <c r="D966" s="23"/>
      <c r="E966" s="23"/>
      <c r="F966" s="23"/>
      <c r="G966" s="23"/>
    </row>
    <row r="967">
      <c r="A967" s="4"/>
      <c r="B967" s="16" t="s">
        <v>938</v>
      </c>
      <c r="C967" s="21"/>
      <c r="D967" s="21"/>
      <c r="E967" s="21"/>
      <c r="F967" s="21"/>
      <c r="G967" s="21"/>
    </row>
    <row r="968">
      <c r="A968" s="4"/>
      <c r="B968" s="17" t="s">
        <v>939</v>
      </c>
      <c r="C968" s="21"/>
      <c r="D968" s="21"/>
      <c r="E968" s="21"/>
      <c r="F968" s="21"/>
      <c r="G968" s="21"/>
    </row>
    <row r="969">
      <c r="A969" s="4"/>
      <c r="B969" s="18" t="s">
        <v>297</v>
      </c>
      <c r="C969" s="21">
        <f>(1)*(1)*(1)*(1)*(1 + (0))</f>
      </c>
      <c r="D969" s="21" t="s">
        <v>164</v>
      </c>
      <c r="E969" s="21"/>
      <c r="F969" s="21">
        <f>(0)</f>
      </c>
      <c r="G969" s="21">
        <f>(C969 * E969 + C969 * E969 * F969)</f>
      </c>
    </row>
    <row r="970">
      <c r="A970" s="4"/>
      <c r="B970" s="17" t="s">
        <v>940</v>
      </c>
      <c r="C970" s="21"/>
      <c r="D970" s="21"/>
      <c r="E970" s="21"/>
      <c r="F970" s="21"/>
      <c r="G970" s="21"/>
    </row>
    <row r="971">
      <c r="A971" s="4"/>
      <c r="B971" s="18" t="s">
        <v>270</v>
      </c>
      <c r="C971" s="21">
        <f>(9)*(1)*(1)*(1)*(1 + (0))</f>
      </c>
      <c r="D971" s="21" t="s">
        <v>164</v>
      </c>
      <c r="E971" s="21"/>
      <c r="F971" s="21">
        <f>(0)</f>
      </c>
      <c r="G971" s="21">
        <f>(C971 * E971 + C971 * E971 * F971)</f>
      </c>
    </row>
    <row r="972">
      <c r="A972" s="4"/>
      <c r="B972" s="18" t="s">
        <v>297</v>
      </c>
      <c r="C972" s="21">
        <f>(7)*(1)*(1)*(1)*(1 + (0))</f>
      </c>
      <c r="D972" s="21" t="s">
        <v>164</v>
      </c>
      <c r="E972" s="21"/>
      <c r="F972" s="21">
        <f>(0)</f>
      </c>
      <c r="G972" s="21">
        <f>(C972 * E972 + C972 * E972 * F972)</f>
      </c>
    </row>
    <row r="973">
      <c r="A973" s="4"/>
      <c r="B973" s="17" t="s">
        <v>941</v>
      </c>
      <c r="C973" s="21"/>
      <c r="D973" s="21"/>
      <c r="E973" s="21"/>
      <c r="F973" s="21"/>
      <c r="G973" s="21"/>
    </row>
    <row r="974">
      <c r="A974" s="4"/>
      <c r="B974" s="18" t="s">
        <v>270</v>
      </c>
      <c r="C974" s="21">
        <f>(32)*(1)*(1)*(1)*(1 + (0))</f>
      </c>
      <c r="D974" s="21" t="s">
        <v>164</v>
      </c>
      <c r="E974" s="21"/>
      <c r="F974" s="21">
        <f>(0)</f>
      </c>
      <c r="G974" s="21">
        <f>(C974 * E974 + C974 * E974 * F974)</f>
      </c>
    </row>
    <row r="975">
      <c r="A975" s="4"/>
      <c r="B975" s="17" t="s">
        <v>942</v>
      </c>
      <c r="C975" s="21"/>
      <c r="D975" s="21"/>
      <c r="E975" s="21"/>
      <c r="F975" s="21"/>
      <c r="G975" s="21"/>
    </row>
    <row r="976">
      <c r="A976" s="4"/>
      <c r="B976" s="18" t="s">
        <v>297</v>
      </c>
      <c r="C976" s="21">
        <f>(3)*(1)*(1)*(1)*(1 + (0))</f>
      </c>
      <c r="D976" s="21" t="s">
        <v>164</v>
      </c>
      <c r="E976" s="21"/>
      <c r="F976" s="21">
        <f>(0)</f>
      </c>
      <c r="G976" s="21">
        <f>(C976 * E976 + C976 * E976 * F976)</f>
      </c>
    </row>
    <row r="977">
      <c r="A977" s="4"/>
      <c r="B977" s="17" t="s">
        <v>943</v>
      </c>
      <c r="C977" s="21"/>
      <c r="D977" s="21"/>
      <c r="E977" s="21"/>
      <c r="F977" s="21"/>
      <c r="G977" s="21"/>
    </row>
    <row r="978">
      <c r="A978" s="4"/>
      <c r="B978" s="18" t="s">
        <v>270</v>
      </c>
      <c r="C978" s="21">
        <f>(2)*(1)*(1)*(1)*(1 + (0))</f>
      </c>
      <c r="D978" s="21" t="s">
        <v>164</v>
      </c>
      <c r="E978" s="21"/>
      <c r="F978" s="21">
        <f>(0)</f>
      </c>
      <c r="G978" s="21">
        <f>(C978 * E978 + C978 * E978 * F978)</f>
      </c>
    </row>
    <row r="979">
      <c r="A979" s="4"/>
      <c r="B979" s="17" t="s">
        <v>944</v>
      </c>
      <c r="C979" s="21"/>
      <c r="D979" s="21"/>
      <c r="E979" s="21"/>
      <c r="F979" s="21"/>
      <c r="G979" s="21"/>
    </row>
    <row r="980">
      <c r="A980" s="4"/>
      <c r="B980" s="18" t="s">
        <v>270</v>
      </c>
      <c r="C980" s="21">
        <f>(20)*(1)*(1)*(1)*(1 + (0))</f>
      </c>
      <c r="D980" s="21" t="s">
        <v>164</v>
      </c>
      <c r="E980" s="21"/>
      <c r="F980" s="21">
        <f>(0)</f>
      </c>
      <c r="G980" s="21">
        <f>(C980 * E980 + C980 * E980 * F980)</f>
      </c>
    </row>
    <row r="981">
      <c r="A981" s="4"/>
      <c r="B981" s="16" t="s">
        <v>945</v>
      </c>
      <c r="C981" s="21"/>
      <c r="D981" s="21"/>
      <c r="E981" s="21"/>
      <c r="F981" s="21"/>
      <c r="G981" s="21"/>
    </row>
    <row r="982">
      <c r="A982" s="4"/>
      <c r="B982" s="17" t="s">
        <v>940</v>
      </c>
      <c r="C982" s="21"/>
      <c r="D982" s="21"/>
      <c r="E982" s="21"/>
      <c r="F982" s="21"/>
      <c r="G982" s="21"/>
    </row>
    <row r="983">
      <c r="A983" s="4"/>
      <c r="B983" s="18" t="s">
        <v>318</v>
      </c>
      <c r="C983" s="21">
        <f>(13)*(1)*(1)*(1)*(1 + (0))</f>
      </c>
      <c r="D983" s="21" t="s">
        <v>164</v>
      </c>
      <c r="E983" s="21"/>
      <c r="F983" s="21">
        <f>(0)</f>
      </c>
      <c r="G983" s="21">
        <f>(C983 * E983 + C983 * E983 * F983)</f>
      </c>
    </row>
    <row r="984">
      <c r="A984" s="4"/>
      <c r="B984" s="17" t="s">
        <v>942</v>
      </c>
      <c r="C984" s="21"/>
      <c r="D984" s="21"/>
      <c r="E984" s="21"/>
      <c r="F984" s="21"/>
      <c r="G984" s="21"/>
    </row>
    <row r="985">
      <c r="A985" s="4"/>
      <c r="B985" s="18" t="s">
        <v>297</v>
      </c>
      <c r="C985" s="21">
        <f>(2)*(1)*(1)*(1)*(1 + (0))</f>
      </c>
      <c r="D985" s="21" t="s">
        <v>164</v>
      </c>
      <c r="E985" s="21"/>
      <c r="F985" s="21">
        <f>(0)</f>
      </c>
      <c r="G985" s="21">
        <f>(C985 * E985 + C985 * E985 * F985)</f>
      </c>
    </row>
    <row r="986">
      <c r="A986" s="4"/>
      <c r="B986" s="16" t="s">
        <v>946</v>
      </c>
      <c r="C986" s="21"/>
      <c r="D986" s="21"/>
      <c r="E986" s="21"/>
      <c r="F986" s="21"/>
      <c r="G986" s="21"/>
    </row>
    <row r="987">
      <c r="A987" s="4"/>
      <c r="B987" s="17" t="s">
        <v>940</v>
      </c>
      <c r="C987" s="21"/>
      <c r="D987" s="21"/>
      <c r="E987" s="21"/>
      <c r="F987" s="21"/>
      <c r="G987" s="21"/>
    </row>
    <row r="988">
      <c r="A988" s="4"/>
      <c r="B988" s="18" t="s">
        <v>297</v>
      </c>
      <c r="C988" s="21">
        <f>(45)*(1)*(1)*(1)*(1 + (0))</f>
      </c>
      <c r="D988" s="21" t="s">
        <v>164</v>
      </c>
      <c r="E988" s="21"/>
      <c r="F988" s="21">
        <f>(0)</f>
      </c>
      <c r="G988" s="21">
        <f>(C988 * E988 + C988 * E988 * F988)</f>
      </c>
    </row>
    <row r="989">
      <c r="A989" s="4"/>
      <c r="B989" s="17" t="s">
        <v>942</v>
      </c>
      <c r="C989" s="21"/>
      <c r="D989" s="21"/>
      <c r="E989" s="21"/>
      <c r="F989" s="21"/>
      <c r="G989" s="21"/>
    </row>
    <row r="990">
      <c r="A990" s="4"/>
      <c r="B990" s="18" t="s">
        <v>318</v>
      </c>
      <c r="C990" s="21">
        <f>(2)*(1)*(1)*(1)*(1 + (0))</f>
      </c>
      <c r="D990" s="21" t="s">
        <v>164</v>
      </c>
      <c r="E990" s="21"/>
      <c r="F990" s="21">
        <f>(0)</f>
      </c>
      <c r="G990" s="21">
        <f>(C990 * E990 + C990 * E990 * F990)</f>
      </c>
    </row>
    <row r="991">
      <c r="A991" s="4"/>
      <c r="B991" s="16" t="s">
        <v>947</v>
      </c>
      <c r="C991" s="21"/>
      <c r="D991" s="21"/>
      <c r="E991" s="21"/>
      <c r="F991" s="21"/>
      <c r="G991" s="21"/>
    </row>
    <row r="992">
      <c r="A992" s="4"/>
      <c r="B992" s="17" t="s">
        <v>942</v>
      </c>
      <c r="C992" s="21"/>
      <c r="D992" s="21"/>
      <c r="E992" s="21"/>
      <c r="F992" s="21"/>
      <c r="G992" s="21"/>
    </row>
    <row r="993">
      <c r="A993" s="4"/>
      <c r="B993" s="18" t="s">
        <v>318</v>
      </c>
      <c r="C993" s="21">
        <f>(3)*(1)*(1)*(1)*(1 + (0))</f>
      </c>
      <c r="D993" s="21" t="s">
        <v>164</v>
      </c>
      <c r="E993" s="21"/>
      <c r="F993" s="21">
        <f>(0)</f>
      </c>
      <c r="G993" s="21">
        <f>(C993 * E993 + C993 * E993 * F993)</f>
      </c>
    </row>
    <row r="994">
      <c r="A994" s="4"/>
      <c r="B994" s="16" t="s">
        <v>948</v>
      </c>
      <c r="C994" s="21"/>
      <c r="D994" s="21"/>
      <c r="E994" s="21"/>
      <c r="F994" s="21"/>
      <c r="G994" s="21"/>
    </row>
    <row r="995">
      <c r="A995" s="4"/>
      <c r="B995" s="17" t="s">
        <v>942</v>
      </c>
      <c r="C995" s="21"/>
      <c r="D995" s="21"/>
      <c r="E995" s="21"/>
      <c r="F995" s="21"/>
      <c r="G995" s="21"/>
    </row>
    <row r="996">
      <c r="A996" s="4"/>
      <c r="B996" s="18" t="s">
        <v>318</v>
      </c>
      <c r="C996" s="21">
        <f>(5)*(1)*(1)*(1)*(1 + (0))</f>
      </c>
      <c r="D996" s="21" t="s">
        <v>164</v>
      </c>
      <c r="E996" s="21"/>
      <c r="F996" s="21">
        <f>(0)</f>
      </c>
      <c r="G996" s="21">
        <f>(C996 * E996 + C996 * E996 * F996)</f>
      </c>
    </row>
    <row r="997">
      <c r="A997" s="6"/>
      <c r="B997" s="15" t="s">
        <v>949</v>
      </c>
      <c r="C997" s="23"/>
      <c r="D997" s="23"/>
      <c r="E997" s="23"/>
      <c r="F997" s="23"/>
      <c r="G997" s="23"/>
    </row>
    <row r="998">
      <c r="A998" s="4"/>
      <c r="B998" s="16" t="s">
        <v>950</v>
      </c>
      <c r="C998" s="21"/>
      <c r="D998" s="21"/>
      <c r="E998" s="21"/>
      <c r="F998" s="21"/>
      <c r="G998" s="21"/>
    </row>
    <row r="999">
      <c r="A999" s="4"/>
      <c r="B999" s="17" t="s">
        <v>940</v>
      </c>
      <c r="C999" s="21"/>
      <c r="D999" s="21"/>
      <c r="E999" s="21"/>
      <c r="F999" s="21"/>
      <c r="G999" s="21"/>
    </row>
    <row r="1000">
      <c r="A1000" s="4"/>
      <c r="B1000" s="18" t="s">
        <v>297</v>
      </c>
      <c r="C1000" s="21">
        <f>(2)*(1)*(1)*(1)*(1 + (0))</f>
      </c>
      <c r="D1000" s="21" t="s">
        <v>164</v>
      </c>
      <c r="E1000" s="21"/>
      <c r="F1000" s="21">
        <f>(0)</f>
      </c>
      <c r="G1000" s="21">
        <f>(C1000 * E1000 + C1000 * E1000 * F1000)</f>
      </c>
    </row>
    <row r="1001">
      <c r="A1001" s="4"/>
      <c r="B1001" s="17" t="s">
        <v>942</v>
      </c>
      <c r="C1001" s="21"/>
      <c r="D1001" s="21"/>
      <c r="E1001" s="21"/>
      <c r="F1001" s="21"/>
      <c r="G1001" s="21"/>
    </row>
    <row r="1002">
      <c r="A1002" s="4"/>
      <c r="B1002" s="18" t="s">
        <v>270</v>
      </c>
      <c r="C1002" s="21">
        <f>(1)*(1)*(1)*(1)*(1 + (0))</f>
      </c>
      <c r="D1002" s="21" t="s">
        <v>164</v>
      </c>
      <c r="E1002" s="21"/>
      <c r="F1002" s="21">
        <f>(0)</f>
      </c>
      <c r="G1002" s="21">
        <f>(C1002 * E1002 + C1002 * E1002 * F1002)</f>
      </c>
    </row>
    <row r="1003">
      <c r="A1003" s="4"/>
      <c r="B1003" s="18" t="s">
        <v>297</v>
      </c>
      <c r="C1003" s="21">
        <f>(1)*(1)*(1)*(1)*(1 + (0))</f>
      </c>
      <c r="D1003" s="21" t="s">
        <v>164</v>
      </c>
      <c r="E1003" s="21"/>
      <c r="F1003" s="21">
        <f>(0)</f>
      </c>
      <c r="G1003" s="21">
        <f>(C1003 * E1003 + C1003 * E1003 * F1003)</f>
      </c>
    </row>
    <row r="1004">
      <c r="A1004" s="4"/>
      <c r="B1004" s="17" t="s">
        <v>951</v>
      </c>
      <c r="C1004" s="21"/>
      <c r="D1004" s="21"/>
      <c r="E1004" s="21"/>
      <c r="F1004" s="21"/>
      <c r="G1004" s="21"/>
    </row>
    <row r="1005">
      <c r="A1005" s="4"/>
      <c r="B1005" s="18" t="s">
        <v>270</v>
      </c>
      <c r="C1005" s="21">
        <f>(2)*(1)*(1)*(1)*(1 + (0))</f>
      </c>
      <c r="D1005" s="21" t="s">
        <v>164</v>
      </c>
      <c r="E1005" s="21"/>
      <c r="F1005" s="21">
        <f>(0)</f>
      </c>
      <c r="G1005" s="21">
        <f>(C1005 * E1005 + C1005 * E1005 * F1005)</f>
      </c>
    </row>
    <row r="1006">
      <c r="A1006" s="4"/>
      <c r="B1006" s="16" t="s">
        <v>952</v>
      </c>
      <c r="C1006" s="21"/>
      <c r="D1006" s="21"/>
      <c r="E1006" s="21"/>
      <c r="F1006" s="21"/>
      <c r="G1006" s="21"/>
    </row>
    <row r="1007">
      <c r="A1007" s="4"/>
      <c r="B1007" s="17" t="s">
        <v>940</v>
      </c>
      <c r="C1007" s="21"/>
      <c r="D1007" s="21"/>
      <c r="E1007" s="21"/>
      <c r="F1007" s="21"/>
      <c r="G1007" s="21"/>
    </row>
    <row r="1008">
      <c r="A1008" s="4"/>
      <c r="B1008" s="18" t="s">
        <v>318</v>
      </c>
      <c r="C1008" s="21">
        <f>(4)*(1)*(1)*(1)*(1 + (0))</f>
      </c>
      <c r="D1008" s="21" t="s">
        <v>164</v>
      </c>
      <c r="E1008" s="21"/>
      <c r="F1008" s="21">
        <f>(0)</f>
      </c>
      <c r="G1008" s="21">
        <f>(C1008 * E1008 + C1008 * E1008 * F1008)</f>
      </c>
    </row>
    <row r="1009">
      <c r="A1009" s="4"/>
      <c r="B1009" s="17" t="s">
        <v>942</v>
      </c>
      <c r="C1009" s="21"/>
      <c r="D1009" s="21"/>
      <c r="E1009" s="21"/>
      <c r="F1009" s="21"/>
      <c r="G1009" s="21"/>
    </row>
    <row r="1010">
      <c r="A1010" s="4"/>
      <c r="B1010" s="18" t="s">
        <v>297</v>
      </c>
      <c r="C1010" s="21">
        <f>(1)*(1)*(1)*(1)*(1 + (0))</f>
      </c>
      <c r="D1010" s="21" t="s">
        <v>164</v>
      </c>
      <c r="E1010" s="21"/>
      <c r="F1010" s="21">
        <f>(0)</f>
      </c>
      <c r="G1010" s="21">
        <f>(C1010 * E1010 + C1010 * E1010 * F1010)</f>
      </c>
    </row>
    <row r="1011">
      <c r="A1011" s="4"/>
      <c r="B1011" s="17" t="s">
        <v>953</v>
      </c>
      <c r="C1011" s="21"/>
      <c r="D1011" s="21"/>
      <c r="E1011" s="21"/>
      <c r="F1011" s="21"/>
      <c r="G1011" s="21"/>
    </row>
    <row r="1012">
      <c r="A1012" s="4"/>
      <c r="B1012" s="18" t="s">
        <v>297</v>
      </c>
      <c r="C1012" s="21">
        <f>(1)*(1)*(1)*(1)*(1 + (0))</f>
      </c>
      <c r="D1012" s="21" t="s">
        <v>164</v>
      </c>
      <c r="E1012" s="21"/>
      <c r="F1012" s="21">
        <f>(0)</f>
      </c>
      <c r="G1012" s="21">
        <f>(C1012 * E1012 + C1012 * E1012 * F1012)</f>
      </c>
    </row>
    <row r="1013">
      <c r="A1013" s="4"/>
      <c r="B1013" s="18" t="s">
        <v>318</v>
      </c>
      <c r="C1013" s="21">
        <f>(4)*(1)*(1)*(1)*(1 + (0))</f>
      </c>
      <c r="D1013" s="21" t="s">
        <v>164</v>
      </c>
      <c r="E1013" s="21"/>
      <c r="F1013" s="21">
        <f>(0)</f>
      </c>
      <c r="G1013" s="21">
        <f>(C1013 * E1013 + C1013 * E1013 * F1013)</f>
      </c>
    </row>
    <row r="1014">
      <c r="A1014" s="4"/>
      <c r="B1014" s="16" t="s">
        <v>954</v>
      </c>
      <c r="C1014" s="21"/>
      <c r="D1014" s="21"/>
      <c r="E1014" s="21"/>
      <c r="F1014" s="21"/>
      <c r="G1014" s="21"/>
    </row>
    <row r="1015">
      <c r="A1015" s="4"/>
      <c r="B1015" s="17" t="s">
        <v>953</v>
      </c>
      <c r="C1015" s="21"/>
      <c r="D1015" s="21"/>
      <c r="E1015" s="21"/>
      <c r="F1015" s="21"/>
      <c r="G1015" s="21"/>
    </row>
    <row r="1016">
      <c r="A1016" s="4"/>
      <c r="B1016" s="18" t="s">
        <v>297</v>
      </c>
      <c r="C1016" s="21">
        <f>(3)*(1)*(1)*(1)*(1 + (0))</f>
      </c>
      <c r="D1016" s="21" t="s">
        <v>164</v>
      </c>
      <c r="E1016" s="21"/>
      <c r="F1016" s="21">
        <f>(0)</f>
      </c>
      <c r="G1016" s="21">
        <f>(C1016 * E1016 + C1016 * E1016 * F1016)</f>
      </c>
    </row>
    <row r="1017">
      <c r="A1017" s="4"/>
      <c r="B1017" s="17" t="s">
        <v>940</v>
      </c>
      <c r="C1017" s="21"/>
      <c r="D1017" s="21"/>
      <c r="E1017" s="21"/>
      <c r="F1017" s="21"/>
      <c r="G1017" s="21"/>
    </row>
    <row r="1018">
      <c r="A1018" s="4"/>
      <c r="B1018" s="18" t="s">
        <v>297</v>
      </c>
      <c r="C1018" s="21">
        <f>(13)*(1)*(1)*(1)*(1 + (0))</f>
      </c>
      <c r="D1018" s="21" t="s">
        <v>164</v>
      </c>
      <c r="E1018" s="21"/>
      <c r="F1018" s="21">
        <f>(0)</f>
      </c>
      <c r="G1018" s="21">
        <f>(C1018 * E1018 + C1018 * E1018 * F1018)</f>
      </c>
    </row>
    <row r="1019">
      <c r="A1019" s="4"/>
      <c r="B1019" s="16" t="s">
        <v>955</v>
      </c>
      <c r="C1019" s="21"/>
      <c r="D1019" s="21"/>
      <c r="E1019" s="21"/>
      <c r="F1019" s="21"/>
      <c r="G1019" s="21"/>
    </row>
    <row r="1020">
      <c r="A1020" s="4"/>
      <c r="B1020" s="17" t="s">
        <v>942</v>
      </c>
      <c r="C1020" s="21"/>
      <c r="D1020" s="21"/>
      <c r="E1020" s="21"/>
      <c r="F1020" s="21"/>
      <c r="G1020" s="21"/>
    </row>
    <row r="1021">
      <c r="A1021" s="4"/>
      <c r="B1021" s="18" t="s">
        <v>318</v>
      </c>
      <c r="C1021" s="21">
        <f>(2)*(1)*(1)*(1)*(1 + (0))</f>
      </c>
      <c r="D1021" s="21" t="s">
        <v>164</v>
      </c>
      <c r="E1021" s="21"/>
      <c r="F1021" s="21">
        <f>(0)</f>
      </c>
      <c r="G1021" s="21">
        <f>(C1021 * E1021 + C1021 * E1021 * F1021)</f>
      </c>
    </row>
    <row r="1022">
      <c r="A1022" s="4"/>
      <c r="B1022" s="16" t="s">
        <v>956</v>
      </c>
      <c r="C1022" s="21"/>
      <c r="D1022" s="21"/>
      <c r="E1022" s="21"/>
      <c r="F1022" s="21"/>
      <c r="G1022" s="21"/>
    </row>
    <row r="1023">
      <c r="A1023" s="4"/>
      <c r="B1023" s="17" t="s">
        <v>942</v>
      </c>
      <c r="C1023" s="21"/>
      <c r="D1023" s="21"/>
      <c r="E1023" s="21"/>
      <c r="F1023" s="21"/>
      <c r="G1023" s="21"/>
    </row>
    <row r="1024">
      <c r="A1024" s="4"/>
      <c r="B1024" s="18" t="s">
        <v>318</v>
      </c>
      <c r="C1024" s="21">
        <f>(2)*(1)*(1)*(1)*(1 + (0))</f>
      </c>
      <c r="D1024" s="21" t="s">
        <v>164</v>
      </c>
      <c r="E1024" s="21"/>
      <c r="F1024" s="21">
        <f>(0)</f>
      </c>
      <c r="G1024" s="21">
        <f>(C1024 * E1024 + C1024 * E1024 * F1024)</f>
      </c>
    </row>
    <row r="1025">
      <c r="A1025" s="4"/>
      <c r="B1025" s="16" t="s">
        <v>957</v>
      </c>
      <c r="C1025" s="21"/>
      <c r="D1025" s="21"/>
      <c r="E1025" s="21"/>
      <c r="F1025" s="21"/>
      <c r="G1025" s="21"/>
    </row>
    <row r="1026">
      <c r="A1026" s="4"/>
      <c r="B1026" s="17" t="s">
        <v>942</v>
      </c>
      <c r="C1026" s="21"/>
      <c r="D1026" s="21"/>
      <c r="E1026" s="21"/>
      <c r="F1026" s="21"/>
      <c r="G1026" s="21"/>
    </row>
    <row r="1027">
      <c r="A1027" s="4"/>
      <c r="B1027" s="18" t="s">
        <v>318</v>
      </c>
      <c r="C1027" s="21">
        <f>(1)*(1)*(1)*(1)*(1 + (0))</f>
      </c>
      <c r="D1027" s="21" t="s">
        <v>164</v>
      </c>
      <c r="E1027" s="21"/>
      <c r="F1027" s="21">
        <f>(0)</f>
      </c>
      <c r="G1027" s="21">
        <f>(C1027 * E1027 + C1027 * E1027 * F1027)</f>
      </c>
    </row>
    <row r="1028">
      <c r="A1028" s="5"/>
      <c r="B1028" s="13" t="s">
        <v>958</v>
      </c>
      <c r="C1028" s="22"/>
      <c r="D1028" s="22"/>
      <c r="E1028" s="22"/>
      <c r="F1028" s="22"/>
      <c r="G1028" s="22"/>
    </row>
    <row r="1029">
      <c r="A1029" s="6"/>
      <c r="B1029" s="15" t="s">
        <v>959</v>
      </c>
      <c r="C1029" s="23"/>
      <c r="D1029" s="23"/>
      <c r="E1029" s="23"/>
      <c r="F1029" s="23"/>
      <c r="G1029" s="23"/>
    </row>
    <row r="1030">
      <c r="A1030" s="4"/>
      <c r="B1030" s="16" t="s">
        <v>960</v>
      </c>
      <c r="C1030" s="21"/>
      <c r="D1030" s="21"/>
      <c r="E1030" s="21"/>
      <c r="F1030" s="21"/>
      <c r="G1030" s="21"/>
    </row>
    <row r="1031">
      <c r="A1031" s="4"/>
      <c r="B1031" s="17" t="s">
        <v>297</v>
      </c>
      <c r="C1031" s="21">
        <f>(22)*(1)*(1)*(1)*(1 + (0))</f>
      </c>
      <c r="D1031" s="21" t="s">
        <v>167</v>
      </c>
      <c r="E1031" s="21"/>
      <c r="F1031" s="21">
        <f>(0)</f>
      </c>
      <c r="G1031" s="21">
        <f>(C1031 * E1031 + C1031 * E1031 * F1031)</f>
      </c>
    </row>
    <row r="1032">
      <c r="A1032" s="4"/>
      <c r="B1032" s="17" t="s">
        <v>318</v>
      </c>
      <c r="C1032" s="21">
        <f>(2)*(1)*(1)*(1)*(1 + (0))</f>
      </c>
      <c r="D1032" s="21" t="s">
        <v>167</v>
      </c>
      <c r="E1032" s="21"/>
      <c r="F1032" s="21">
        <f>(0)</f>
      </c>
      <c r="G1032" s="21">
        <f>(C1032 * E1032 + C1032 * E1032 * F1032)</f>
      </c>
    </row>
    <row r="1033">
      <c r="A1033" s="4"/>
      <c r="B1033" s="16" t="s">
        <v>961</v>
      </c>
      <c r="C1033" s="21"/>
      <c r="D1033" s="21"/>
      <c r="E1033" s="21"/>
      <c r="F1033" s="21"/>
      <c r="G1033" s="21"/>
    </row>
    <row r="1034">
      <c r="A1034" s="4"/>
      <c r="B1034" s="17" t="s">
        <v>297</v>
      </c>
      <c r="C1034" s="21">
        <f>(28)*(1)*(1)*(1)*(1 + (0))</f>
      </c>
      <c r="D1034" s="21" t="s">
        <v>167</v>
      </c>
      <c r="E1034" s="21"/>
      <c r="F1034" s="21">
        <f>(0)</f>
      </c>
      <c r="G1034" s="21">
        <f>(C1034 * E1034 + C1034 * E1034 * F1034)</f>
      </c>
    </row>
    <row r="1035">
      <c r="A1035" s="4"/>
      <c r="B1035" s="17" t="s">
        <v>318</v>
      </c>
      <c r="C1035" s="21">
        <f>(21)*(1)*(1)*(1)*(1 + (0))</f>
      </c>
      <c r="D1035" s="21" t="s">
        <v>167</v>
      </c>
      <c r="E1035" s="21"/>
      <c r="F1035" s="21">
        <f>(0)</f>
      </c>
      <c r="G1035" s="21">
        <f>(C1035 * E1035 + C1035 * E1035 * F1035)</f>
      </c>
    </row>
    <row r="1036">
      <c r="A1036" s="5"/>
      <c r="B1036" s="13" t="s">
        <v>468</v>
      </c>
      <c r="C1036" s="22"/>
      <c r="D1036" s="22"/>
      <c r="E1036" s="22"/>
      <c r="F1036" s="22"/>
      <c r="G1036" s="22"/>
    </row>
    <row r="1037">
      <c r="A1037" s="6"/>
      <c r="B1037" s="15" t="s">
        <v>962</v>
      </c>
      <c r="C1037" s="23"/>
      <c r="D1037" s="23"/>
      <c r="E1037" s="23"/>
      <c r="F1037" s="23"/>
      <c r="G1037" s="23"/>
    </row>
    <row r="1038">
      <c r="A1038" s="4"/>
      <c r="B1038" s="16" t="s">
        <v>963</v>
      </c>
      <c r="C1038" s="21"/>
      <c r="D1038" s="21"/>
      <c r="E1038" s="21"/>
      <c r="F1038" s="21"/>
      <c r="G1038" s="21"/>
    </row>
    <row r="1039">
      <c r="A1039" s="4"/>
      <c r="B1039" s="17" t="s">
        <v>964</v>
      </c>
      <c r="C1039" s="21"/>
      <c r="D1039" s="21"/>
      <c r="E1039" s="21"/>
      <c r="F1039" s="21"/>
      <c r="G1039" s="21"/>
    </row>
    <row r="1040">
      <c r="A1040" s="4"/>
      <c r="B1040" s="18" t="s">
        <v>297</v>
      </c>
      <c r="C1040" s="21">
        <f>(0.205052376)*(1)*(1)*(1)*(1 + (0))</f>
      </c>
      <c r="D1040" s="21" t="s">
        <v>495</v>
      </c>
      <c r="E1040" s="21"/>
      <c r="F1040" s="21">
        <f>(0)</f>
      </c>
      <c r="G1040" s="21">
        <f>(C1040 * E1040 + C1040 * E1040 * F1040)</f>
      </c>
    </row>
    <row r="1041">
      <c r="A1041" s="4"/>
      <c r="B1041" s="17" t="s">
        <v>965</v>
      </c>
      <c r="C1041" s="21"/>
      <c r="D1041" s="21"/>
      <c r="E1041" s="21"/>
      <c r="F1041" s="21"/>
      <c r="G1041" s="21"/>
    </row>
    <row r="1042">
      <c r="A1042" s="4"/>
      <c r="B1042" s="18" t="s">
        <v>270</v>
      </c>
      <c r="C1042" s="21">
        <f>(1.19797515992357)*(1)*(1)*(1)*(1 + (0))</f>
      </c>
      <c r="D1042" s="21" t="s">
        <v>495</v>
      </c>
      <c r="E1042" s="21"/>
      <c r="F1042" s="21">
        <f>(0)</f>
      </c>
      <c r="G1042" s="21">
        <f>(C1042 * E1042 + C1042 * E1042 * F1042)</f>
      </c>
    </row>
    <row r="1043">
      <c r="A1043" s="4"/>
      <c r="B1043" s="18" t="s">
        <v>297</v>
      </c>
      <c r="C1043" s="21">
        <f>(0.836944913530165)*(1)*(1)*(1)*(1 + (0))</f>
      </c>
      <c r="D1043" s="21" t="s">
        <v>495</v>
      </c>
      <c r="E1043" s="21"/>
      <c r="F1043" s="21">
        <f>(0)</f>
      </c>
      <c r="G1043" s="21">
        <f>(C1043 * E1043 + C1043 * E1043 * F1043)</f>
      </c>
    </row>
    <row r="1044">
      <c r="A1044" s="4"/>
      <c r="B1044" s="17" t="s">
        <v>966</v>
      </c>
      <c r="C1044" s="21"/>
      <c r="D1044" s="21"/>
      <c r="E1044" s="21"/>
      <c r="F1044" s="21"/>
      <c r="G1044" s="21"/>
    </row>
    <row r="1045">
      <c r="A1045" s="4"/>
      <c r="B1045" s="18" t="s">
        <v>270</v>
      </c>
      <c r="C1045" s="21">
        <f>(2.92898159)*(1)*(1)*(1)*(1 + (0))</f>
      </c>
      <c r="D1045" s="21" t="s">
        <v>495</v>
      </c>
      <c r="E1045" s="21"/>
      <c r="F1045" s="21">
        <f>(0)</f>
      </c>
      <c r="G1045" s="21">
        <f>(C1045 * E1045 + C1045 * E1045 * F1045)</f>
      </c>
    </row>
    <row r="1046">
      <c r="A1046" s="4"/>
      <c r="B1046" s="17" t="s">
        <v>967</v>
      </c>
      <c r="C1046" s="21"/>
      <c r="D1046" s="21"/>
      <c r="E1046" s="21"/>
      <c r="F1046" s="21"/>
      <c r="G1046" s="21"/>
    </row>
    <row r="1047">
      <c r="A1047" s="4"/>
      <c r="B1047" s="18" t="s">
        <v>297</v>
      </c>
      <c r="C1047" s="21">
        <f>(0.275072251720686)*(1)*(1)*(1)*(1 + (0))</f>
      </c>
      <c r="D1047" s="21" t="s">
        <v>495</v>
      </c>
      <c r="E1047" s="21"/>
      <c r="F1047" s="21">
        <f>(0)</f>
      </c>
      <c r="G1047" s="21">
        <f>(C1047 * E1047 + C1047 * E1047 * F1047)</f>
      </c>
    </row>
    <row r="1048">
      <c r="A1048" s="4"/>
      <c r="B1048" s="17" t="s">
        <v>968</v>
      </c>
      <c r="C1048" s="21"/>
      <c r="D1048" s="21"/>
      <c r="E1048" s="21"/>
      <c r="F1048" s="21"/>
      <c r="G1048" s="21"/>
    </row>
    <row r="1049">
      <c r="A1049" s="4"/>
      <c r="B1049" s="18" t="s">
        <v>270</v>
      </c>
      <c r="C1049" s="21">
        <f>(0.17350623)*(1)*(1)*(1)*(1 + (0))</f>
      </c>
      <c r="D1049" s="21" t="s">
        <v>495</v>
      </c>
      <c r="E1049" s="21"/>
      <c r="F1049" s="21">
        <f>(0)</f>
      </c>
      <c r="G1049" s="21">
        <f>(C1049 * E1049 + C1049 * E1049 * F1049)</f>
      </c>
    </row>
    <row r="1050">
      <c r="A1050" s="4"/>
      <c r="B1050" s="17" t="s">
        <v>969</v>
      </c>
      <c r="C1050" s="21"/>
      <c r="D1050" s="21"/>
      <c r="E1050" s="21"/>
      <c r="F1050" s="21"/>
      <c r="G1050" s="21"/>
    </row>
    <row r="1051">
      <c r="A1051" s="4"/>
      <c r="B1051" s="18" t="s">
        <v>270</v>
      </c>
      <c r="C1051" s="21">
        <f>(3.434083152)*(1)*(1)*(1)*(1 + (0))</f>
      </c>
      <c r="D1051" s="21" t="s">
        <v>495</v>
      </c>
      <c r="E1051" s="21"/>
      <c r="F1051" s="21">
        <f>(0)</f>
      </c>
      <c r="G1051" s="21">
        <f>(C1051 * E1051 + C1051 * E1051 * F1051)</f>
      </c>
    </row>
    <row r="1052">
      <c r="A1052" s="4"/>
      <c r="B1052" s="16" t="s">
        <v>970</v>
      </c>
      <c r="C1052" s="21"/>
      <c r="D1052" s="21"/>
      <c r="E1052" s="21"/>
      <c r="F1052" s="21"/>
      <c r="G1052" s="21"/>
    </row>
    <row r="1053">
      <c r="A1053" s="4"/>
      <c r="B1053" s="17" t="s">
        <v>971</v>
      </c>
      <c r="C1053" s="21"/>
      <c r="D1053" s="21"/>
      <c r="E1053" s="21"/>
      <c r="F1053" s="21"/>
      <c r="G1053" s="21"/>
    </row>
    <row r="1054">
      <c r="A1054" s="4"/>
      <c r="B1054" s="18" t="s">
        <v>318</v>
      </c>
      <c r="C1054" s="21">
        <f>(1.50834454606573)*(1)*(1)*(1)*(1 + (0))</f>
      </c>
      <c r="D1054" s="21" t="s">
        <v>495</v>
      </c>
      <c r="E1054" s="21"/>
      <c r="F1054" s="21">
        <f>(0)</f>
      </c>
      <c r="G1054" s="21">
        <f>(C1054 * E1054 + C1054 * E1054 * F1054)</f>
      </c>
    </row>
    <row r="1055">
      <c r="A1055" s="4"/>
      <c r="B1055" s="17" t="s">
        <v>967</v>
      </c>
      <c r="C1055" s="21"/>
      <c r="D1055" s="21"/>
      <c r="E1055" s="21"/>
      <c r="F1055" s="21"/>
      <c r="G1055" s="21"/>
    </row>
    <row r="1056">
      <c r="A1056" s="4"/>
      <c r="B1056" s="18" t="s">
        <v>297</v>
      </c>
      <c r="C1056" s="21">
        <f>(0.145478916266036)*(1)*(1)*(1)*(1 + (0))</f>
      </c>
      <c r="D1056" s="21" t="s">
        <v>495</v>
      </c>
      <c r="E1056" s="21"/>
      <c r="F1056" s="21">
        <f>(0)</f>
      </c>
      <c r="G1056" s="21">
        <f>(C1056 * E1056 + C1056 * E1056 * F1056)</f>
      </c>
    </row>
    <row r="1057">
      <c r="A1057" s="4"/>
      <c r="B1057" s="16" t="s">
        <v>972</v>
      </c>
      <c r="C1057" s="21"/>
      <c r="D1057" s="21"/>
      <c r="E1057" s="21"/>
      <c r="F1057" s="21"/>
      <c r="G1057" s="21"/>
    </row>
    <row r="1058">
      <c r="A1058" s="4"/>
      <c r="B1058" s="17" t="s">
        <v>965</v>
      </c>
      <c r="C1058" s="21"/>
      <c r="D1058" s="21"/>
      <c r="E1058" s="21"/>
      <c r="F1058" s="21"/>
      <c r="G1058" s="21"/>
    </row>
    <row r="1059">
      <c r="A1059" s="4"/>
      <c r="B1059" s="18" t="s">
        <v>297</v>
      </c>
      <c r="C1059" s="21">
        <f>(5.91052125745306)*(1)*(1)*(1)*(1 + (0))</f>
      </c>
      <c r="D1059" s="21" t="s">
        <v>495</v>
      </c>
      <c r="E1059" s="21"/>
      <c r="F1059" s="21">
        <f>(0)</f>
      </c>
      <c r="G1059" s="21">
        <f>(C1059 * E1059 + C1059 * E1059 * F1059)</f>
      </c>
    </row>
    <row r="1060">
      <c r="A1060" s="4"/>
      <c r="B1060" s="17" t="s">
        <v>973</v>
      </c>
      <c r="C1060" s="21"/>
      <c r="D1060" s="21"/>
      <c r="E1060" s="21"/>
      <c r="F1060" s="21"/>
      <c r="G1060" s="21"/>
    </row>
    <row r="1061">
      <c r="A1061" s="4"/>
      <c r="B1061" s="18" t="s">
        <v>318</v>
      </c>
      <c r="C1061" s="21">
        <f>(0.212946136406593)*(1)*(1)*(1)*(1 + (0))</f>
      </c>
      <c r="D1061" s="21" t="s">
        <v>495</v>
      </c>
      <c r="E1061" s="21"/>
      <c r="F1061" s="21">
        <f>(0)</f>
      </c>
      <c r="G1061" s="21">
        <f>(C1061 * E1061 + C1061 * E1061 * F1061)</f>
      </c>
    </row>
    <row r="1062">
      <c r="A1062" s="4"/>
      <c r="B1062" s="16" t="s">
        <v>974</v>
      </c>
      <c r="C1062" s="21"/>
      <c r="D1062" s="21"/>
      <c r="E1062" s="21"/>
      <c r="F1062" s="21"/>
      <c r="G1062" s="21"/>
    </row>
    <row r="1063">
      <c r="A1063" s="4"/>
      <c r="B1063" s="17" t="s">
        <v>973</v>
      </c>
      <c r="C1063" s="21"/>
      <c r="D1063" s="21"/>
      <c r="E1063" s="21"/>
      <c r="F1063" s="21"/>
      <c r="G1063" s="21"/>
    </row>
    <row r="1064">
      <c r="A1064" s="4"/>
      <c r="B1064" s="18" t="s">
        <v>318</v>
      </c>
      <c r="C1064" s="21">
        <f>(0.366154869849481)*(1)*(1)*(1)*(1 + (0))</f>
      </c>
      <c r="D1064" s="21" t="s">
        <v>495</v>
      </c>
      <c r="E1064" s="21"/>
      <c r="F1064" s="21">
        <f>(0)</f>
      </c>
      <c r="G1064" s="21">
        <f>(C1064 * E1064 + C1064 * E1064 * F1064)</f>
      </c>
    </row>
    <row r="1065">
      <c r="A1065" s="4"/>
      <c r="B1065" s="16" t="s">
        <v>975</v>
      </c>
      <c r="C1065" s="21"/>
      <c r="D1065" s="21"/>
      <c r="E1065" s="21"/>
      <c r="F1065" s="21"/>
      <c r="G1065" s="21"/>
    </row>
    <row r="1066">
      <c r="A1066" s="4"/>
      <c r="B1066" s="17" t="s">
        <v>973</v>
      </c>
      <c r="C1066" s="21"/>
      <c r="D1066" s="21"/>
      <c r="E1066" s="21"/>
      <c r="F1066" s="21"/>
      <c r="G1066" s="21"/>
    </row>
    <row r="1067">
      <c r="A1067" s="4"/>
      <c r="B1067" s="18" t="s">
        <v>318</v>
      </c>
      <c r="C1067" s="21">
        <f>(0.610335359722253)*(1)*(1)*(1)*(1 + (0))</f>
      </c>
      <c r="D1067" s="21" t="s">
        <v>495</v>
      </c>
      <c r="E1067" s="21"/>
      <c r="F1067" s="21">
        <f>(0)</f>
      </c>
      <c r="G1067" s="21">
        <f>(C1067 * E1067 + C1067 * E1067 * F1067)</f>
      </c>
    </row>
    <row r="1068">
      <c r="A1068" s="6"/>
      <c r="B1068" s="15" t="s">
        <v>976</v>
      </c>
      <c r="C1068" s="23"/>
      <c r="D1068" s="23"/>
      <c r="E1068" s="23"/>
      <c r="F1068" s="23"/>
      <c r="G1068" s="23"/>
    </row>
    <row r="1069">
      <c r="A1069" s="4"/>
      <c r="B1069" s="16" t="s">
        <v>977</v>
      </c>
      <c r="C1069" s="21"/>
      <c r="D1069" s="21"/>
      <c r="E1069" s="21"/>
      <c r="F1069" s="21"/>
      <c r="G1069" s="21"/>
    </row>
    <row r="1070">
      <c r="A1070" s="4"/>
      <c r="B1070" s="17" t="s">
        <v>978</v>
      </c>
      <c r="C1070" s="21"/>
      <c r="D1070" s="21"/>
      <c r="E1070" s="21"/>
      <c r="F1070" s="21"/>
      <c r="G1070" s="21"/>
    </row>
    <row r="1071">
      <c r="A1071" s="4"/>
      <c r="B1071" s="18" t="s">
        <v>297</v>
      </c>
      <c r="C1071" s="21">
        <f>(0.249891523736217)*(1)*(1)*(1)*(1 + (0))</f>
      </c>
      <c r="D1071" s="21" t="s">
        <v>495</v>
      </c>
      <c r="E1071" s="21"/>
      <c r="F1071" s="21">
        <f>(0)</f>
      </c>
      <c r="G1071" s="21">
        <f>(C1071 * E1071 + C1071 * E1071 * F1071)</f>
      </c>
    </row>
    <row r="1072">
      <c r="A1072" s="4"/>
      <c r="B1072" s="17" t="s">
        <v>967</v>
      </c>
      <c r="C1072" s="21"/>
      <c r="D1072" s="21"/>
      <c r="E1072" s="21"/>
      <c r="F1072" s="21"/>
      <c r="G1072" s="21"/>
    </row>
    <row r="1073">
      <c r="A1073" s="4"/>
      <c r="B1073" s="18" t="s">
        <v>270</v>
      </c>
      <c r="C1073" s="21">
        <f>(0.0970380524691283)*(1)*(1)*(1)*(1 + (0))</f>
      </c>
      <c r="D1073" s="21" t="s">
        <v>495</v>
      </c>
      <c r="E1073" s="21"/>
      <c r="F1073" s="21">
        <f>(0)</f>
      </c>
      <c r="G1073" s="21">
        <f>(C1073 * E1073 + C1073 * E1073 * F1073)</f>
      </c>
    </row>
    <row r="1074">
      <c r="A1074" s="4"/>
      <c r="B1074" s="18" t="s">
        <v>297</v>
      </c>
      <c r="C1074" s="21">
        <f>(0.10628525131055)*(1)*(1)*(1)*(1 + (0))</f>
      </c>
      <c r="D1074" s="21" t="s">
        <v>495</v>
      </c>
      <c r="E1074" s="21"/>
      <c r="F1074" s="21">
        <f>(0)</f>
      </c>
      <c r="G1074" s="21">
        <f>(C1074 * E1074 + C1074 * E1074 * F1074)</f>
      </c>
    </row>
    <row r="1075">
      <c r="A1075" s="4"/>
      <c r="B1075" s="17" t="s">
        <v>979</v>
      </c>
      <c r="C1075" s="21"/>
      <c r="D1075" s="21"/>
      <c r="E1075" s="21"/>
      <c r="F1075" s="21"/>
      <c r="G1075" s="21"/>
    </row>
    <row r="1076">
      <c r="A1076" s="4"/>
      <c r="B1076" s="18" t="s">
        <v>270</v>
      </c>
      <c r="C1076" s="21">
        <f>(0.116709576)*(1)*(1)*(1)*(1 + (0))</f>
      </c>
      <c r="D1076" s="21" t="s">
        <v>495</v>
      </c>
      <c r="E1076" s="21"/>
      <c r="F1076" s="21">
        <f>(0)</f>
      </c>
      <c r="G1076" s="21">
        <f>(C1076 * E1076 + C1076 * E1076 * F1076)</f>
      </c>
    </row>
    <row r="1077">
      <c r="A1077" s="4"/>
      <c r="B1077" s="16" t="s">
        <v>980</v>
      </c>
      <c r="C1077" s="21"/>
      <c r="D1077" s="21"/>
      <c r="E1077" s="21"/>
      <c r="F1077" s="21"/>
      <c r="G1077" s="21"/>
    </row>
    <row r="1078">
      <c r="A1078" s="4"/>
      <c r="B1078" s="17" t="s">
        <v>971</v>
      </c>
      <c r="C1078" s="21"/>
      <c r="D1078" s="21"/>
      <c r="E1078" s="21"/>
      <c r="F1078" s="21"/>
      <c r="G1078" s="21"/>
    </row>
    <row r="1079">
      <c r="A1079" s="4"/>
      <c r="B1079" s="18" t="s">
        <v>318</v>
      </c>
      <c r="C1079" s="21">
        <f>(0.488943682466166)*(1)*(1)*(1)*(1 + (0))</f>
      </c>
      <c r="D1079" s="21" t="s">
        <v>495</v>
      </c>
      <c r="E1079" s="21"/>
      <c r="F1079" s="21">
        <f>(0)</f>
      </c>
      <c r="G1079" s="21">
        <f>(C1079 * E1079 + C1079 * E1079 * F1079)</f>
      </c>
    </row>
    <row r="1080">
      <c r="A1080" s="4"/>
      <c r="B1080" s="17" t="s">
        <v>967</v>
      </c>
      <c r="C1080" s="21"/>
      <c r="D1080" s="21"/>
      <c r="E1080" s="21"/>
      <c r="F1080" s="21"/>
      <c r="G1080" s="21"/>
    </row>
    <row r="1081">
      <c r="A1081" s="4"/>
      <c r="B1081" s="18" t="s">
        <v>297</v>
      </c>
      <c r="C1081" s="21">
        <f>(0.0957842229769761)*(1)*(1)*(1)*(1 + (0))</f>
      </c>
      <c r="D1081" s="21" t="s">
        <v>495</v>
      </c>
      <c r="E1081" s="21"/>
      <c r="F1081" s="21">
        <f>(0)</f>
      </c>
      <c r="G1081" s="21">
        <f>(C1081 * E1081 + C1081 * E1081 * F1081)</f>
      </c>
    </row>
    <row r="1082">
      <c r="A1082" s="4"/>
      <c r="B1082" s="17" t="s">
        <v>981</v>
      </c>
      <c r="C1082" s="21"/>
      <c r="D1082" s="21"/>
      <c r="E1082" s="21"/>
      <c r="F1082" s="21"/>
      <c r="G1082" s="21"/>
    </row>
    <row r="1083">
      <c r="A1083" s="4"/>
      <c r="B1083" s="18" t="s">
        <v>297</v>
      </c>
      <c r="C1083" s="21">
        <f>(0.093598064)*(1)*(1)*(1)*(1 + (0))</f>
      </c>
      <c r="D1083" s="21" t="s">
        <v>495</v>
      </c>
      <c r="E1083" s="21"/>
      <c r="F1083" s="21">
        <f>(0)</f>
      </c>
      <c r="G1083" s="21">
        <f>(C1083 * E1083 + C1083 * E1083 * F1083)</f>
      </c>
    </row>
    <row r="1084">
      <c r="A1084" s="4"/>
      <c r="B1084" s="18" t="s">
        <v>318</v>
      </c>
      <c r="C1084" s="21">
        <f>(0.327081936)*(1)*(1)*(1)*(1 + (0))</f>
      </c>
      <c r="D1084" s="21" t="s">
        <v>495</v>
      </c>
      <c r="E1084" s="21"/>
      <c r="F1084" s="21">
        <f>(0)</f>
      </c>
      <c r="G1084" s="21">
        <f>(C1084 * E1084 + C1084 * E1084 * F1084)</f>
      </c>
    </row>
    <row r="1085">
      <c r="A1085" s="4"/>
      <c r="B1085" s="16" t="s">
        <v>982</v>
      </c>
      <c r="C1085" s="21"/>
      <c r="D1085" s="21"/>
      <c r="E1085" s="21"/>
      <c r="F1085" s="21"/>
      <c r="G1085" s="21"/>
    </row>
    <row r="1086">
      <c r="A1086" s="4"/>
      <c r="B1086" s="17" t="s">
        <v>981</v>
      </c>
      <c r="C1086" s="21"/>
      <c r="D1086" s="21"/>
      <c r="E1086" s="21"/>
      <c r="F1086" s="21"/>
      <c r="G1086" s="21"/>
    </row>
    <row r="1087">
      <c r="A1087" s="4"/>
      <c r="B1087" s="18" t="s">
        <v>297</v>
      </c>
      <c r="C1087" s="21">
        <f>(0.222924804)*(1)*(1)*(1)*(1 + (0))</f>
      </c>
      <c r="D1087" s="21" t="s">
        <v>495</v>
      </c>
      <c r="E1087" s="21"/>
      <c r="F1087" s="21">
        <f>(0)</f>
      </c>
      <c r="G1087" s="21">
        <f>(C1087 * E1087 + C1087 * E1087 * F1087)</f>
      </c>
    </row>
    <row r="1088">
      <c r="A1088" s="4"/>
      <c r="B1088" s="17" t="s">
        <v>965</v>
      </c>
      <c r="C1088" s="21"/>
      <c r="D1088" s="21"/>
      <c r="E1088" s="21"/>
      <c r="F1088" s="21"/>
      <c r="G1088" s="21"/>
    </row>
    <row r="1089">
      <c r="A1089" s="4"/>
      <c r="B1089" s="18" t="s">
        <v>297</v>
      </c>
      <c r="C1089" s="21">
        <f>(1.63757193486683)*(1)*(1)*(1)*(1 + (0))</f>
      </c>
      <c r="D1089" s="21" t="s">
        <v>495</v>
      </c>
      <c r="E1089" s="21"/>
      <c r="F1089" s="21">
        <f>(0)</f>
      </c>
      <c r="G1089" s="21">
        <f>(C1089 * E1089 + C1089 * E1089 * F1089)</f>
      </c>
    </row>
    <row r="1090">
      <c r="A1090" s="4"/>
      <c r="B1090" s="16" t="s">
        <v>983</v>
      </c>
      <c r="C1090" s="21"/>
      <c r="D1090" s="21"/>
      <c r="E1090" s="21"/>
      <c r="F1090" s="21"/>
      <c r="G1090" s="21"/>
    </row>
    <row r="1091">
      <c r="A1091" s="4"/>
      <c r="B1091" s="17" t="s">
        <v>973</v>
      </c>
      <c r="C1091" s="21"/>
      <c r="D1091" s="21"/>
      <c r="E1091" s="21"/>
      <c r="F1091" s="21"/>
      <c r="G1091" s="21"/>
    </row>
    <row r="1092">
      <c r="A1092" s="4"/>
      <c r="B1092" s="18" t="s">
        <v>318</v>
      </c>
      <c r="C1092" s="21">
        <f>(0.205774850197525)*(1)*(1)*(1)*(1 + (0))</f>
      </c>
      <c r="D1092" s="21" t="s">
        <v>495</v>
      </c>
      <c r="E1092" s="21"/>
      <c r="F1092" s="21">
        <f>(0)</f>
      </c>
      <c r="G1092" s="21">
        <f>(C1092 * E1092 + C1092 * E1092 * F1092)</f>
      </c>
    </row>
    <row r="1093">
      <c r="A1093" s="4"/>
      <c r="B1093" s="16" t="s">
        <v>984</v>
      </c>
      <c r="C1093" s="21"/>
      <c r="D1093" s="21"/>
      <c r="E1093" s="21"/>
      <c r="F1093" s="21"/>
      <c r="G1093" s="21"/>
    </row>
    <row r="1094">
      <c r="A1094" s="4"/>
      <c r="B1094" s="17" t="s">
        <v>973</v>
      </c>
      <c r="C1094" s="21"/>
      <c r="D1094" s="21"/>
      <c r="E1094" s="21"/>
      <c r="F1094" s="21"/>
      <c r="G1094" s="21"/>
    </row>
    <row r="1095">
      <c r="A1095" s="4"/>
      <c r="B1095" s="18" t="s">
        <v>318</v>
      </c>
      <c r="C1095" s="21">
        <f>(0.177835029174791)*(1)*(1)*(1)*(1 + (0))</f>
      </c>
      <c r="D1095" s="21" t="s">
        <v>495</v>
      </c>
      <c r="E1095" s="21"/>
      <c r="F1095" s="21">
        <f>(0)</f>
      </c>
      <c r="G1095" s="21">
        <f>(C1095 * E1095 + C1095 * E1095 * F1095)</f>
      </c>
    </row>
    <row r="1096">
      <c r="A1096" s="4"/>
      <c r="B1096" s="16" t="s">
        <v>985</v>
      </c>
      <c r="C1096" s="21"/>
      <c r="D1096" s="21"/>
      <c r="E1096" s="21"/>
      <c r="F1096" s="21"/>
      <c r="G1096" s="21"/>
    </row>
    <row r="1097">
      <c r="A1097" s="4"/>
      <c r="B1097" s="17" t="s">
        <v>973</v>
      </c>
      <c r="C1097" s="21"/>
      <c r="D1097" s="21"/>
      <c r="E1097" s="21"/>
      <c r="F1097" s="21"/>
      <c r="G1097" s="21"/>
    </row>
    <row r="1098">
      <c r="A1098" s="4"/>
      <c r="B1098" s="18" t="s">
        <v>318</v>
      </c>
      <c r="C1098" s="21">
        <f>(0.101640056213167)*(1)*(1)*(1)*(1 + (0))</f>
      </c>
      <c r="D1098" s="21" t="s">
        <v>495</v>
      </c>
      <c r="E1098" s="21"/>
      <c r="F1098" s="21">
        <f>(0)</f>
      </c>
      <c r="G1098" s="21">
        <f>(C1098 * E1098 + C1098 * E1098 * F1098)</f>
      </c>
    </row>
    <row r="1099">
      <c r="A1099" s="6"/>
      <c r="B1099" s="15" t="s">
        <v>986</v>
      </c>
      <c r="C1099" s="23"/>
      <c r="D1099" s="23"/>
      <c r="E1099" s="23"/>
      <c r="F1099" s="23"/>
      <c r="G1099" s="23"/>
    </row>
    <row r="1100">
      <c r="A1100" s="4"/>
      <c r="B1100" s="16" t="s">
        <v>987</v>
      </c>
      <c r="C1100" s="21"/>
      <c r="D1100" s="21"/>
      <c r="E1100" s="21"/>
      <c r="F1100" s="21"/>
      <c r="G1100" s="21"/>
    </row>
    <row r="1101">
      <c r="A1101" s="4"/>
      <c r="B1101" s="17" t="s">
        <v>297</v>
      </c>
      <c r="C1101" s="21">
        <f>(0.1064288)*(1)*(1)*(1)*(1 + (0))</f>
      </c>
      <c r="D1101" s="21" t="s">
        <v>495</v>
      </c>
      <c r="E1101" s="21"/>
      <c r="F1101" s="21">
        <f>(0)</f>
      </c>
      <c r="G1101" s="21">
        <f>(C1101 * E1101 + C1101 * E1101 * F1101)</f>
      </c>
    </row>
    <row r="1102">
      <c r="A1102" s="4"/>
      <c r="B1102" s="17" t="s">
        <v>318</v>
      </c>
      <c r="C1102" s="21">
        <f>(0.00768512)*(1)*(1)*(1)*(1 + (0))</f>
      </c>
      <c r="D1102" s="21" t="s">
        <v>495</v>
      </c>
      <c r="E1102" s="21"/>
      <c r="F1102" s="21">
        <f>(0)</f>
      </c>
      <c r="G1102" s="21">
        <f>(C1102 * E1102 + C1102 * E1102 * F1102)</f>
      </c>
    </row>
    <row r="1103">
      <c r="A1103" s="4"/>
      <c r="B1103" s="16" t="s">
        <v>988</v>
      </c>
      <c r="C1103" s="21"/>
      <c r="D1103" s="21"/>
      <c r="E1103" s="21"/>
      <c r="F1103" s="21"/>
      <c r="G1103" s="21"/>
    </row>
    <row r="1104">
      <c r="A1104" s="4"/>
      <c r="B1104" s="17" t="s">
        <v>297</v>
      </c>
      <c r="C1104" s="21">
        <f>(0.13861544)*(1)*(1)*(1)*(1 + (0))</f>
      </c>
      <c r="D1104" s="21" t="s">
        <v>495</v>
      </c>
      <c r="E1104" s="21"/>
      <c r="F1104" s="21">
        <f>(0)</f>
      </c>
      <c r="G1104" s="21">
        <f>(C1104 * E1104 + C1104 * E1104 * F1104)</f>
      </c>
    </row>
    <row r="1105">
      <c r="A1105" s="4"/>
      <c r="B1105" s="17" t="s">
        <v>318</v>
      </c>
      <c r="C1105" s="21">
        <f>(0.10526592)*(1)*(1)*(1)*(1 + (0))</f>
      </c>
      <c r="D1105" s="21" t="s">
        <v>495</v>
      </c>
      <c r="E1105" s="21"/>
      <c r="F1105" s="21">
        <f>(0)</f>
      </c>
      <c r="G1105" s="21">
        <f>(C1105 * E1105 + C1105 * E1105 * F1105)</f>
      </c>
    </row>
    <row r="1106">
      <c r="A1106" s="5"/>
      <c r="B1106" s="13" t="s">
        <v>989</v>
      </c>
      <c r="C1106" s="22"/>
      <c r="D1106" s="22"/>
      <c r="E1106" s="22"/>
      <c r="F1106" s="22"/>
      <c r="G1106" s="22"/>
    </row>
    <row r="1107">
      <c r="A1107" s="4"/>
      <c r="B1107" s="14" t="s">
        <v>990</v>
      </c>
      <c r="C1107" s="21">
        <f>(9)*(1)*(1)*(1)*(1 + (0))</f>
      </c>
      <c r="D1107" s="21" t="s">
        <v>167</v>
      </c>
      <c r="E1107" s="21"/>
      <c r="F1107" s="21">
        <f>(0)</f>
      </c>
      <c r="G1107" s="21">
        <f>(C1107 * E1107 + C1107 * E1107 * F1107)</f>
      </c>
    </row>
    <row r="1108">
      <c r="A1108" s="4"/>
      <c r="B1108" s="14" t="s">
        <v>991</v>
      </c>
      <c r="C1108" s="21">
        <f>(49)*(1)*(1)*(1)*(1 + (0))</f>
      </c>
      <c r="D1108" s="21" t="s">
        <v>167</v>
      </c>
      <c r="E1108" s="21"/>
      <c r="F1108" s="21">
        <f>(0)</f>
      </c>
      <c r="G1108" s="21">
        <f>(C1108 * E1108 + C1108 * E1108 * F1108)</f>
      </c>
    </row>
    <row r="1109">
      <c r="A1109" s="4"/>
      <c r="B1109" s="14" t="s">
        <v>992</v>
      </c>
      <c r="C1109" s="21">
        <f>(49)*(1)*(1)*(1)*(1 + (0))</f>
      </c>
      <c r="D1109" s="21" t="s">
        <v>167</v>
      </c>
      <c r="E1109" s="21"/>
      <c r="F1109" s="21">
        <f>(0)</f>
      </c>
      <c r="G1109" s="21">
        <f>(C1109 * E1109 + C1109 * E1109 * F1109)</f>
      </c>
    </row>
    <row r="1110">
      <c r="A1110" s="4"/>
      <c r="B1110" s="14" t="s">
        <v>993</v>
      </c>
      <c r="C1110" s="21">
        <f>(395)*(1)*(1)*(1)*(1 + (0))</f>
      </c>
      <c r="D1110" s="21" t="s">
        <v>9</v>
      </c>
      <c r="E1110" s="21"/>
      <c r="F1110" s="21">
        <f>(0)</f>
      </c>
      <c r="G1110" s="21">
        <f>(C1110 * E1110 + C1110 * E1110 * F1110)</f>
      </c>
    </row>
    <row r="1111">
      <c r="A1111" s="4"/>
      <c r="B1111" s="14" t="s">
        <v>994</v>
      </c>
      <c r="C1111" s="21">
        <f>(266)*(1)*(1)*(1)*(1 + (0))</f>
      </c>
      <c r="D1111" s="21" t="s">
        <v>167</v>
      </c>
      <c r="E1111" s="21"/>
      <c r="F1111" s="21">
        <f>(0)</f>
      </c>
      <c r="G1111" s="21">
        <f>(C1111 * E1111 + C1111 * E1111 * F1111)</f>
      </c>
    </row>
    <row r="1112">
      <c r="A1112" s="3"/>
      <c r="B1112" s="11" t="s">
        <v>995</v>
      </c>
      <c r="C1112" s="20"/>
      <c r="D1112" s="20"/>
      <c r="E1112" s="20"/>
      <c r="F1112" s="20"/>
      <c r="G1112" s="20"/>
    </row>
    <row r="1113">
      <c r="A1113" s="5"/>
      <c r="B1113" s="13" t="s">
        <v>996</v>
      </c>
      <c r="C1113" s="22"/>
      <c r="D1113" s="22"/>
      <c r="E1113" s="22"/>
      <c r="F1113" s="22"/>
      <c r="G1113" s="22"/>
    </row>
    <row r="1114">
      <c r="A1114" s="4"/>
      <c r="B1114" s="14" t="s">
        <v>997</v>
      </c>
      <c r="C1114" s="21">
        <f>(66)*(1)*(1)*(1)*(1 + (0))</f>
      </c>
      <c r="D1114" s="21" t="s">
        <v>9</v>
      </c>
      <c r="E1114" s="21"/>
      <c r="F1114" s="21">
        <f>(0)</f>
      </c>
      <c r="G1114" s="21">
        <f>(C1114 * E1114 + C1114 * E1114 * F1114)</f>
      </c>
    </row>
    <row r="1115">
      <c r="A1115" s="5"/>
      <c r="B1115" s="13" t="s">
        <v>998</v>
      </c>
      <c r="C1115" s="22"/>
      <c r="D1115" s="22"/>
      <c r="E1115" s="22"/>
      <c r="F1115" s="22"/>
      <c r="G1115" s="22"/>
    </row>
    <row r="1116">
      <c r="A1116" s="4"/>
      <c r="B1116" s="14" t="s">
        <v>999</v>
      </c>
      <c r="C1116" s="21">
        <f>(209)*(1)*(1)*(1)*(1 + (0))</f>
      </c>
      <c r="D1116" s="21" t="s">
        <v>9</v>
      </c>
      <c r="E1116" s="21"/>
      <c r="F1116" s="21">
        <f>(0)</f>
      </c>
      <c r="G1116" s="21">
        <f>(C1116 * E1116 + C1116 * E1116 * F1116)</f>
      </c>
    </row>
    <row r="1117">
      <c r="A1117" s="2"/>
      <c r="B1117" s="10" t="s">
        <v>1000</v>
      </c>
      <c r="C1117" s="19"/>
      <c r="D1117" s="19"/>
      <c r="E1117" s="19"/>
      <c r="F1117" s="19"/>
      <c r="G1117" s="19"/>
    </row>
    <row r="1118">
      <c r="A1118" s="3"/>
      <c r="B1118" s="11" t="s">
        <v>14</v>
      </c>
      <c r="C1118" s="20"/>
      <c r="D1118" s="20"/>
      <c r="E1118" s="20"/>
      <c r="F1118" s="20"/>
      <c r="G1118" s="20"/>
    </row>
    <row r="1119">
      <c r="A1119" s="4" t="s">
        <v>1001</v>
      </c>
      <c r="B1119" s="12" t="s">
        <v>16</v>
      </c>
      <c r="C1119" s="21"/>
      <c r="D1119" s="21" t="s">
        <v>17</v>
      </c>
      <c r="E1119" s="21"/>
      <c r="F1119" s="21">
        <f>(0)</f>
      </c>
      <c r="G1119" s="21">
        <f>(C1119 * E1119 + C1119 * E1119 * F1119)</f>
      </c>
    </row>
    <row r="1120">
      <c r="A1120" s="4" t="s">
        <v>1002</v>
      </c>
      <c r="B1120" s="12" t="s">
        <v>19</v>
      </c>
      <c r="C1120" s="21"/>
      <c r="D1120" s="21" t="s">
        <v>17</v>
      </c>
      <c r="E1120" s="21"/>
      <c r="F1120" s="21">
        <f>(0)</f>
      </c>
      <c r="G1120" s="21">
        <f>(C1120 * E1120 + C1120 * E1120 * F1120)</f>
      </c>
    </row>
    <row r="1121">
      <c r="A1121" s="3"/>
      <c r="B1121" s="11" t="s">
        <v>22</v>
      </c>
      <c r="C1121" s="20"/>
      <c r="D1121" s="20"/>
      <c r="E1121" s="20"/>
      <c r="F1121" s="20"/>
      <c r="G1121" s="20"/>
    </row>
    <row r="1122">
      <c r="A1122" s="4"/>
      <c r="B1122" s="12" t="s">
        <v>1003</v>
      </c>
      <c r="C1122" s="21"/>
      <c r="D1122" s="21" t="s">
        <v>17</v>
      </c>
      <c r="E1122" s="21"/>
      <c r="F1122" s="21">
        <f>(0)</f>
      </c>
      <c r="G1122" s="21">
        <f>(C1122 * E1122 + C1122 * E1122 * F1122)</f>
      </c>
    </row>
    <row r="1123">
      <c r="A1123" s="4"/>
      <c r="B1123" s="12" t="s">
        <v>803</v>
      </c>
      <c r="C1123" s="21"/>
      <c r="D1123" s="21" t="s">
        <v>17</v>
      </c>
      <c r="E1123" s="21"/>
      <c r="F1123" s="21">
        <f>(0)</f>
      </c>
      <c r="G1123" s="21">
        <f>(C1123 * E1123 + C1123 * E1123 * F1123)</f>
      </c>
    </row>
    <row r="1124">
      <c r="A1124" s="4"/>
      <c r="B1124" s="12" t="s">
        <v>1004</v>
      </c>
      <c r="C1124" s="21"/>
      <c r="D1124" s="21" t="s">
        <v>17</v>
      </c>
      <c r="E1124" s="21"/>
      <c r="F1124" s="21">
        <f>(0)</f>
      </c>
      <c r="G1124" s="21">
        <f>(C1124 * E1124 + C1124 * E1124 * F1124)</f>
      </c>
    </row>
    <row r="1125">
      <c r="A1125" s="4"/>
      <c r="B1125" s="12" t="s">
        <v>1005</v>
      </c>
      <c r="C1125" s="21"/>
      <c r="D1125" s="21" t="s">
        <v>17</v>
      </c>
      <c r="E1125" s="21"/>
      <c r="F1125" s="21">
        <f>(0)</f>
      </c>
      <c r="G1125" s="21">
        <f>(C1125 * E1125 + C1125 * E1125 * F1125)</f>
      </c>
    </row>
    <row r="1126">
      <c r="A1126" s="3"/>
      <c r="B1126" s="11" t="s">
        <v>24</v>
      </c>
      <c r="C1126" s="20"/>
      <c r="D1126" s="20"/>
      <c r="E1126" s="20"/>
      <c r="F1126" s="20"/>
      <c r="G1126" s="20"/>
    </row>
    <row r="1127">
      <c r="A1127" s="5"/>
      <c r="B1127" s="13" t="s">
        <v>25</v>
      </c>
      <c r="C1127" s="22"/>
      <c r="D1127" s="22"/>
      <c r="E1127" s="22"/>
      <c r="F1127" s="22"/>
      <c r="G1127" s="22"/>
    </row>
    <row r="1128">
      <c r="A1128" s="4" t="s">
        <v>1006</v>
      </c>
      <c r="B1128" s="14" t="s">
        <v>617</v>
      </c>
      <c r="C1128" s="21"/>
      <c r="D1128" s="21" t="s">
        <v>17</v>
      </c>
      <c r="E1128" s="21"/>
      <c r="F1128" s="21">
        <f>(0)</f>
      </c>
      <c r="G1128" s="21">
        <f>(C1128 * E1128 + C1128 * E1128 * F1128)</f>
      </c>
    </row>
    <row r="1129">
      <c r="A1129" s="4" t="s">
        <v>1007</v>
      </c>
      <c r="B1129" s="14" t="s">
        <v>619</v>
      </c>
      <c r="C1129" s="21"/>
      <c r="D1129" s="21" t="s">
        <v>17</v>
      </c>
      <c r="E1129" s="21"/>
      <c r="F1129" s="21">
        <f>(0)</f>
      </c>
      <c r="G1129" s="21">
        <f>(C1129 * E1129 + C1129 * E1129 * F1129)</f>
      </c>
    </row>
    <row r="1130">
      <c r="A1130" s="4" t="s">
        <v>1008</v>
      </c>
      <c r="B1130" s="14" t="s">
        <v>1009</v>
      </c>
      <c r="C1130" s="21"/>
      <c r="D1130" s="21" t="s">
        <v>17</v>
      </c>
      <c r="E1130" s="21"/>
      <c r="F1130" s="21">
        <f>(0)</f>
      </c>
      <c r="G1130" s="21">
        <f>(C1130 * E1130 + C1130 * E1130 * F1130)</f>
      </c>
    </row>
    <row r="1131">
      <c r="A1131" s="4" t="s">
        <v>1010</v>
      </c>
      <c r="B1131" s="14" t="s">
        <v>1011</v>
      </c>
      <c r="C1131" s="21"/>
      <c r="D1131" s="21" t="s">
        <v>17</v>
      </c>
      <c r="E1131" s="21"/>
      <c r="F1131" s="21">
        <f>(0)</f>
      </c>
      <c r="G1131" s="21">
        <f>(C1131 * E1131 + C1131 * E1131 * F1131)</f>
      </c>
    </row>
    <row r="1132">
      <c r="A1132" s="4" t="s">
        <v>1012</v>
      </c>
      <c r="B1132" s="14" t="s">
        <v>627</v>
      </c>
      <c r="C1132" s="21"/>
      <c r="D1132" s="21" t="s">
        <v>17</v>
      </c>
      <c r="E1132" s="21"/>
      <c r="F1132" s="21">
        <f>(0)</f>
      </c>
      <c r="G1132" s="21">
        <f>(C1132 * E1132 + C1132 * E1132 * F1132)</f>
      </c>
    </row>
    <row r="1133">
      <c r="A1133" s="4" t="s">
        <v>1013</v>
      </c>
      <c r="B1133" s="14" t="s">
        <v>194</v>
      </c>
      <c r="C1133" s="21"/>
      <c r="D1133" s="21" t="s">
        <v>17</v>
      </c>
      <c r="E1133" s="21"/>
      <c r="F1133" s="21">
        <f>(0)</f>
      </c>
      <c r="G1133" s="21">
        <f>(C1133 * E1133 + C1133 * E1133 * F1133)</f>
      </c>
    </row>
    <row r="1134">
      <c r="A1134" s="3"/>
      <c r="B1134" s="11" t="s">
        <v>42</v>
      </c>
      <c r="C1134" s="20"/>
      <c r="D1134" s="20"/>
      <c r="E1134" s="20"/>
      <c r="F1134" s="20"/>
      <c r="G1134" s="20"/>
    </row>
    <row r="1135">
      <c r="A1135" s="4" t="s">
        <v>1014</v>
      </c>
      <c r="B1135" s="12" t="s">
        <v>632</v>
      </c>
      <c r="C1135" s="21">
        <f>(1)*(1)*(1)*(1)*(1 + (0))</f>
      </c>
      <c r="D1135" s="21" t="s">
        <v>45</v>
      </c>
      <c r="E1135" s="21"/>
      <c r="F1135" s="21">
        <f>(0)</f>
      </c>
      <c r="G1135" s="21">
        <f>(C1135 * E1135 + C1135 * E1135 * F1135)</f>
      </c>
    </row>
    <row r="1136">
      <c r="A1136" s="4" t="s">
        <v>1015</v>
      </c>
      <c r="B1136" s="12" t="s">
        <v>207</v>
      </c>
      <c r="C1136" s="21">
        <f>(1)*(1)*(1)*(1)*(1 + (0))</f>
      </c>
      <c r="D1136" s="21" t="s">
        <v>45</v>
      </c>
      <c r="E1136" s="21"/>
      <c r="F1136" s="21">
        <f>(0)</f>
      </c>
      <c r="G1136" s="21">
        <f>(C1136 * E1136 + C1136 * E1136 * F1136)</f>
      </c>
    </row>
    <row r="1137">
      <c r="A1137" s="4" t="s">
        <v>1016</v>
      </c>
      <c r="B1137" s="12" t="s">
        <v>1017</v>
      </c>
      <c r="C1137" s="21">
        <f>(1)*(1)*(1)*(1)*(1 + (0))</f>
      </c>
      <c r="D1137" s="21" t="s">
        <v>45</v>
      </c>
      <c r="E1137" s="21"/>
      <c r="F1137" s="21">
        <f>(0)</f>
      </c>
      <c r="G1137" s="21">
        <f>(C1137 * E1137 + C1137 * E1137 * F1137)</f>
      </c>
    </row>
    <row r="1138">
      <c r="A1138" s="4" t="s">
        <v>1018</v>
      </c>
      <c r="B1138" s="12" t="s">
        <v>1019</v>
      </c>
      <c r="C1138" s="21">
        <f>(1)*(1)*(1)*(1)*(1 + (0))</f>
      </c>
      <c r="D1138" s="21" t="s">
        <v>45</v>
      </c>
      <c r="E1138" s="21"/>
      <c r="F1138" s="21">
        <f>(0)</f>
      </c>
      <c r="G1138" s="21">
        <f>(C1138 * E1138 + C1138 * E1138 * F1138)</f>
      </c>
    </row>
    <row r="1139">
      <c r="A1139" s="4" t="s">
        <v>1020</v>
      </c>
      <c r="B1139" s="12" t="s">
        <v>59</v>
      </c>
      <c r="C1139" s="21">
        <f>(1)*(1)*(1)*(1)*(1 + (0))</f>
      </c>
      <c r="D1139" s="21" t="s">
        <v>45</v>
      </c>
      <c r="E1139" s="21"/>
      <c r="F1139" s="21">
        <f>(0)</f>
      </c>
      <c r="G1139" s="21">
        <f>(C1139 * E1139 + C1139 * E1139 * F1139)</f>
      </c>
    </row>
    <row r="1140">
      <c r="A1140" s="4" t="s">
        <v>1021</v>
      </c>
      <c r="B1140" s="12" t="s">
        <v>832</v>
      </c>
      <c r="C1140" s="21">
        <f>(1)*(1)*(1)*(1)*(1 + (0))</f>
      </c>
      <c r="D1140" s="21" t="s">
        <v>45</v>
      </c>
      <c r="E1140" s="21"/>
      <c r="F1140" s="21">
        <f>(0)</f>
      </c>
      <c r="G1140" s="21">
        <f>(C1140 * E1140 + C1140 * E1140 * F1140)</f>
      </c>
    </row>
    <row r="1141">
      <c r="A1141" s="3"/>
      <c r="B1141" s="11" t="s">
        <v>1022</v>
      </c>
      <c r="C1141" s="20"/>
      <c r="D1141" s="20"/>
      <c r="E1141" s="20"/>
      <c r="F1141" s="20"/>
      <c r="G1141" s="20"/>
    </row>
    <row r="1142">
      <c r="A1142" s="5"/>
      <c r="B1142" s="13" t="s">
        <v>1023</v>
      </c>
      <c r="C1142" s="22"/>
      <c r="D1142" s="22"/>
      <c r="E1142" s="22"/>
      <c r="F1142" s="22"/>
      <c r="G1142" s="22"/>
    </row>
    <row r="1143">
      <c r="A1143" s="4"/>
      <c r="B1143" s="14" t="s">
        <v>1024</v>
      </c>
      <c r="C1143" s="21">
        <f>(25)*(1)*(1)*(1)*(1 + (0))</f>
      </c>
      <c r="D1143" s="21" t="s">
        <v>167</v>
      </c>
      <c r="E1143" s="21"/>
      <c r="F1143" s="21">
        <f>(0)</f>
      </c>
      <c r="G1143" s="21">
        <f>(C1143 * E1143 + C1143 * E1143 * F1143)</f>
      </c>
    </row>
    <row r="1144">
      <c r="A1144" s="5"/>
      <c r="B1144" s="13" t="s">
        <v>1025</v>
      </c>
      <c r="C1144" s="22"/>
      <c r="D1144" s="22"/>
      <c r="E1144" s="22"/>
      <c r="F1144" s="22"/>
      <c r="G1144" s="22"/>
    </row>
    <row r="1145">
      <c r="A1145" s="4"/>
      <c r="B1145" s="14" t="s">
        <v>1024</v>
      </c>
      <c r="C1145" s="21">
        <f>(127)*(1)*(1)*(1)*(1 + (0))</f>
      </c>
      <c r="D1145" s="21" t="s">
        <v>167</v>
      </c>
      <c r="E1145" s="21"/>
      <c r="F1145" s="21">
        <f>(0)</f>
      </c>
      <c r="G1145" s="21">
        <f>(C1145 * E1145 + C1145 * E1145 * F1145)</f>
      </c>
    </row>
    <row r="1146">
      <c r="A1146" s="5"/>
      <c r="B1146" s="13" t="s">
        <v>1026</v>
      </c>
      <c r="C1146" s="22"/>
      <c r="D1146" s="22"/>
      <c r="E1146" s="22"/>
      <c r="F1146" s="22"/>
      <c r="G1146" s="22"/>
    </row>
    <row r="1147">
      <c r="A1147" s="4"/>
      <c r="B1147" s="14" t="s">
        <v>1024</v>
      </c>
      <c r="C1147" s="21">
        <f>(64)*(1)*(1)*(1)*(1 + (0))</f>
      </c>
      <c r="D1147" s="21" t="s">
        <v>167</v>
      </c>
      <c r="E1147" s="21"/>
      <c r="F1147" s="21">
        <f>(0)</f>
      </c>
      <c r="G1147" s="21">
        <f>(C1147 * E1147 + C1147 * E1147 * F1147)</f>
      </c>
    </row>
    <row r="1148">
      <c r="A1148" s="5"/>
      <c r="B1148" s="13" t="s">
        <v>1027</v>
      </c>
      <c r="C1148" s="22"/>
      <c r="D1148" s="22"/>
      <c r="E1148" s="22"/>
      <c r="F1148" s="22"/>
      <c r="G1148" s="22"/>
    </row>
    <row r="1149">
      <c r="A1149" s="4"/>
      <c r="B1149" s="14" t="s">
        <v>1024</v>
      </c>
      <c r="C1149" s="21">
        <f>(43)*(1)*(1)*(1)*(1 + (0))</f>
      </c>
      <c r="D1149" s="21" t="s">
        <v>167</v>
      </c>
      <c r="E1149" s="21"/>
      <c r="F1149" s="21">
        <f>(0)</f>
      </c>
      <c r="G1149" s="21">
        <f>(C1149 * E1149 + C1149 * E1149 * F1149)</f>
      </c>
    </row>
    <row r="1150">
      <c r="A1150" s="5"/>
      <c r="B1150" s="13" t="s">
        <v>1028</v>
      </c>
      <c r="C1150" s="22"/>
      <c r="D1150" s="22"/>
      <c r="E1150" s="22"/>
      <c r="F1150" s="22"/>
      <c r="G1150" s="22"/>
    </row>
    <row r="1151">
      <c r="A1151" s="4"/>
      <c r="B1151" s="14" t="s">
        <v>1029</v>
      </c>
      <c r="C1151" s="21">
        <f>(7)*(1)*(1)*(1)*(1 + (0))</f>
      </c>
      <c r="D1151" s="21" t="s">
        <v>167</v>
      </c>
      <c r="E1151" s="21"/>
      <c r="F1151" s="21">
        <f>(0)</f>
      </c>
      <c r="G1151" s="21">
        <f>(C1151 * E1151 + C1151 * E1151 * F1151)</f>
      </c>
    </row>
    <row r="1152">
      <c r="A1152" s="5"/>
      <c r="B1152" s="13" t="s">
        <v>1030</v>
      </c>
      <c r="C1152" s="22"/>
      <c r="D1152" s="22"/>
      <c r="E1152" s="22"/>
      <c r="F1152" s="22"/>
      <c r="G1152" s="22"/>
    </row>
    <row r="1153">
      <c r="A1153" s="4"/>
      <c r="B1153" s="14" t="s">
        <v>1024</v>
      </c>
      <c r="C1153" s="21">
        <f>(9)*(1)*(1)*(1)*(1 + (0))</f>
      </c>
      <c r="D1153" s="21" t="s">
        <v>167</v>
      </c>
      <c r="E1153" s="21"/>
      <c r="F1153" s="21">
        <f>(0)</f>
      </c>
      <c r="G1153" s="21">
        <f>(C1153 * E1153 + C1153 * E1153 * F1153)</f>
      </c>
    </row>
    <row r="1154">
      <c r="A1154" s="5"/>
      <c r="B1154" s="13" t="s">
        <v>1031</v>
      </c>
      <c r="C1154" s="22"/>
      <c r="D1154" s="22"/>
      <c r="E1154" s="22"/>
      <c r="F1154" s="22"/>
      <c r="G1154" s="22"/>
    </row>
    <row r="1155">
      <c r="A1155" s="4"/>
      <c r="B1155" s="14" t="s">
        <v>1024</v>
      </c>
      <c r="C1155" s="21">
        <f>(14)*(1)*(1)*(1)*(1 + (0))</f>
      </c>
      <c r="D1155" s="21" t="s">
        <v>167</v>
      </c>
      <c r="E1155" s="21"/>
      <c r="F1155" s="21">
        <f>(0)</f>
      </c>
      <c r="G1155" s="21">
        <f>(C1155 * E1155 + C1155 * E1155 * F1155)</f>
      </c>
    </row>
    <row r="1156">
      <c r="A1156" s="5"/>
      <c r="B1156" s="13" t="s">
        <v>1032</v>
      </c>
      <c r="C1156" s="22"/>
      <c r="D1156" s="22"/>
      <c r="E1156" s="22"/>
      <c r="F1156" s="22"/>
      <c r="G1156" s="22"/>
    </row>
    <row r="1157">
      <c r="A1157" s="4"/>
      <c r="B1157" s="14" t="s">
        <v>1024</v>
      </c>
      <c r="C1157" s="21">
        <f>(18)*(1)*(1)*(1)*(1 + (0))</f>
      </c>
      <c r="D1157" s="21" t="s">
        <v>167</v>
      </c>
      <c r="E1157" s="21"/>
      <c r="F1157" s="21">
        <f>(0)</f>
      </c>
      <c r="G1157" s="21">
        <f>(C1157 * E1157 + C1157 * E1157 * F1157)</f>
      </c>
    </row>
    <row r="1158">
      <c r="A1158" s="3"/>
      <c r="B1158" s="11" t="s">
        <v>1033</v>
      </c>
      <c r="C1158" s="20"/>
      <c r="D1158" s="20"/>
      <c r="E1158" s="20"/>
      <c r="F1158" s="20"/>
      <c r="G1158" s="20"/>
    </row>
    <row r="1159">
      <c r="A1159" s="5"/>
      <c r="B1159" s="13" t="s">
        <v>1034</v>
      </c>
      <c r="C1159" s="22"/>
      <c r="D1159" s="22"/>
      <c r="E1159" s="22"/>
      <c r="F1159" s="22"/>
      <c r="G1159" s="22"/>
    </row>
    <row r="1160">
      <c r="A1160" s="4"/>
      <c r="B1160" s="14" t="s">
        <v>1024</v>
      </c>
      <c r="C1160" s="21">
        <f>(2)*(1)*(1)*(1)*(1 + (0))</f>
      </c>
      <c r="D1160" s="21" t="s">
        <v>1035</v>
      </c>
      <c r="E1160" s="21"/>
      <c r="F1160" s="21">
        <f>(0)</f>
      </c>
      <c r="G1160" s="21">
        <f>(C1160 * E1160 + C1160 * E1160 * F1160)</f>
      </c>
    </row>
    <row r="1161">
      <c r="A1161" s="5"/>
      <c r="B1161" s="13" t="s">
        <v>1036</v>
      </c>
      <c r="C1161" s="22"/>
      <c r="D1161" s="22"/>
      <c r="E1161" s="22"/>
      <c r="F1161" s="22"/>
      <c r="G1161" s="22"/>
    </row>
    <row r="1162">
      <c r="A1162" s="4"/>
      <c r="B1162" s="14" t="s">
        <v>1029</v>
      </c>
      <c r="C1162" s="21">
        <f>(1)*(1)*(1)*(1)*(1 + (0))</f>
      </c>
      <c r="D1162" s="21" t="s">
        <v>1035</v>
      </c>
      <c r="E1162" s="21"/>
      <c r="F1162" s="21">
        <f>(0)</f>
      </c>
      <c r="G1162" s="21">
        <f>(C1162 * E1162 + C1162 * E1162 * F1162)</f>
      </c>
    </row>
    <row r="1163">
      <c r="A1163" s="3"/>
      <c r="B1163" s="11" t="s">
        <v>1037</v>
      </c>
      <c r="C1163" s="20"/>
      <c r="D1163" s="20"/>
      <c r="E1163" s="20"/>
      <c r="F1163" s="20"/>
      <c r="G1163" s="20"/>
    </row>
    <row r="1164">
      <c r="A1164" s="5"/>
      <c r="B1164" s="13" t="s">
        <v>1038</v>
      </c>
      <c r="C1164" s="22"/>
      <c r="D1164" s="22"/>
      <c r="E1164" s="22"/>
      <c r="F1164" s="22"/>
      <c r="G1164" s="22"/>
    </row>
    <row r="1165">
      <c r="A1165" s="4"/>
      <c r="B1165" s="14" t="s">
        <v>1024</v>
      </c>
      <c r="C1165" s="21">
        <f>(57)*(1)*(1)*(1)*(1 + (0))</f>
      </c>
      <c r="D1165" s="21" t="s">
        <v>167</v>
      </c>
      <c r="E1165" s="21"/>
      <c r="F1165" s="21">
        <f>(0)</f>
      </c>
      <c r="G1165" s="21">
        <f>(C1165 * E1165 + C1165 * E1165 * F1165)</f>
      </c>
    </row>
    <row r="1166">
      <c r="A1166" s="5"/>
      <c r="B1166" s="13" t="s">
        <v>1039</v>
      </c>
      <c r="C1166" s="22"/>
      <c r="D1166" s="22"/>
      <c r="E1166" s="22"/>
      <c r="F1166" s="22"/>
      <c r="G1166" s="22"/>
    </row>
    <row r="1167">
      <c r="A1167" s="4"/>
      <c r="B1167" s="14" t="s">
        <v>1024</v>
      </c>
      <c r="C1167" s="21">
        <f>(10)*(1)*(1)*(1)*(1 + (0))</f>
      </c>
      <c r="D1167" s="21" t="s">
        <v>167</v>
      </c>
      <c r="E1167" s="21"/>
      <c r="F1167" s="21">
        <f>(0)</f>
      </c>
      <c r="G1167" s="21">
        <f>(C1167 * E1167 + C1167 * E1167 * F1167)</f>
      </c>
    </row>
    <row r="1168">
      <c r="A1168" s="3"/>
      <c r="B1168" s="11" t="s">
        <v>1040</v>
      </c>
      <c r="C1168" s="20"/>
      <c r="D1168" s="20"/>
      <c r="E1168" s="20"/>
      <c r="F1168" s="20"/>
      <c r="G1168" s="20"/>
    </row>
    <row r="1169">
      <c r="A1169" s="5"/>
      <c r="B1169" s="13" t="s">
        <v>1041</v>
      </c>
      <c r="C1169" s="22"/>
      <c r="D1169" s="22"/>
      <c r="E1169" s="22"/>
      <c r="F1169" s="22"/>
      <c r="G1169" s="22"/>
    </row>
    <row r="1170">
      <c r="A1170" s="4"/>
      <c r="B1170" s="14" t="s">
        <v>1029</v>
      </c>
      <c r="C1170" s="21">
        <f>(63)*(1)*(1)*(1)*(1 + (0))</f>
      </c>
      <c r="D1170" s="21" t="s">
        <v>9</v>
      </c>
      <c r="E1170" s="21"/>
      <c r="F1170" s="21">
        <f>(0)</f>
      </c>
      <c r="G1170" s="21">
        <f>(C1170 * E1170 + C1170 * E1170 * F1170)</f>
      </c>
    </row>
    <row r="1171">
      <c r="A1171" s="3"/>
      <c r="B1171" s="11" t="s">
        <v>1042</v>
      </c>
      <c r="C1171" s="20"/>
      <c r="D1171" s="20"/>
      <c r="E1171" s="20"/>
      <c r="F1171" s="20"/>
      <c r="G1171" s="20"/>
    </row>
    <row r="1172">
      <c r="A1172" s="5"/>
      <c r="B1172" s="13" t="s">
        <v>1043</v>
      </c>
      <c r="C1172" s="22"/>
      <c r="D1172" s="22"/>
      <c r="E1172" s="22"/>
      <c r="F1172" s="22"/>
      <c r="G1172" s="22"/>
    </row>
    <row r="1173">
      <c r="A1173" s="4"/>
      <c r="B1173" s="14" t="s">
        <v>1024</v>
      </c>
      <c r="C1173" s="21">
        <f>(14)*(1)*(1)*(1)*(1 + (0))</f>
      </c>
      <c r="D1173" s="21" t="s">
        <v>167</v>
      </c>
      <c r="E1173" s="21"/>
      <c r="F1173" s="21">
        <f>(0)</f>
      </c>
      <c r="G1173" s="21">
        <f>(C1173 * E1173 + C1173 * E1173 * F1173)</f>
      </c>
    </row>
    <row r="1174">
      <c r="A1174" s="3"/>
      <c r="B1174" s="11" t="s">
        <v>1044</v>
      </c>
      <c r="C1174" s="20"/>
      <c r="D1174" s="20"/>
      <c r="E1174" s="20"/>
      <c r="F1174" s="20"/>
      <c r="G1174" s="20"/>
    </row>
    <row r="1175">
      <c r="A1175" s="5"/>
      <c r="B1175" s="13" t="s">
        <v>1045</v>
      </c>
      <c r="C1175" s="22"/>
      <c r="D1175" s="22"/>
      <c r="E1175" s="22"/>
      <c r="F1175" s="22"/>
      <c r="G1175" s="22"/>
    </row>
    <row r="1176">
      <c r="A1176" s="6"/>
      <c r="B1176" s="15" t="s">
        <v>840</v>
      </c>
      <c r="C1176" s="23"/>
      <c r="D1176" s="23"/>
      <c r="E1176" s="23"/>
      <c r="F1176" s="23"/>
      <c r="G1176" s="23"/>
    </row>
    <row r="1177">
      <c r="A1177" s="4"/>
      <c r="B1177" s="16" t="s">
        <v>1046</v>
      </c>
      <c r="C1177" s="21">
        <f>(10)*(1)*(1)*(1)*(1 + (0))</f>
      </c>
      <c r="D1177" s="21" t="s">
        <v>167</v>
      </c>
      <c r="E1177" s="21"/>
      <c r="F1177" s="21">
        <f>(0)</f>
      </c>
      <c r="G1177" s="21">
        <f>(C1177 * E1177 + C1177 * E1177 * F1177)</f>
      </c>
    </row>
    <row r="1178">
      <c r="A1178" s="6"/>
      <c r="B1178" s="15" t="s">
        <v>841</v>
      </c>
      <c r="C1178" s="23"/>
      <c r="D1178" s="23"/>
      <c r="E1178" s="23"/>
      <c r="F1178" s="23"/>
      <c r="G1178" s="23"/>
    </row>
    <row r="1179">
      <c r="A1179" s="4"/>
      <c r="B1179" s="16" t="s">
        <v>1046</v>
      </c>
      <c r="C1179" s="21">
        <f>(3)*(1)*(1)*(1)*(1 + (0))</f>
      </c>
      <c r="D1179" s="21" t="s">
        <v>167</v>
      </c>
      <c r="E1179" s="21"/>
      <c r="F1179" s="21">
        <f>(0)</f>
      </c>
      <c r="G1179" s="21">
        <f>(C1179 * E1179 + C1179 * E1179 * F1179)</f>
      </c>
    </row>
    <row r="1180">
      <c r="A1180" s="3"/>
      <c r="B1180" s="11" t="s">
        <v>1047</v>
      </c>
      <c r="C1180" s="20"/>
      <c r="D1180" s="20"/>
      <c r="E1180" s="20"/>
      <c r="F1180" s="20"/>
      <c r="G1180" s="20"/>
    </row>
    <row r="1181">
      <c r="A1181" s="5"/>
      <c r="B1181" s="13" t="s">
        <v>1048</v>
      </c>
      <c r="C1181" s="22"/>
      <c r="D1181" s="22"/>
      <c r="E1181" s="22"/>
      <c r="F1181" s="22"/>
      <c r="G1181" s="22"/>
    </row>
    <row r="1182">
      <c r="A1182" s="6"/>
      <c r="B1182" s="15" t="s">
        <v>1049</v>
      </c>
      <c r="C1182" s="23"/>
      <c r="D1182" s="23"/>
      <c r="E1182" s="23"/>
      <c r="F1182" s="23"/>
      <c r="G1182" s="23"/>
    </row>
    <row r="1183">
      <c r="A1183" s="4"/>
      <c r="B1183" s="16" t="s">
        <v>840</v>
      </c>
      <c r="C1183" s="21">
        <f>(2)*(1)*(1)*(1)*(1 + (0))</f>
      </c>
      <c r="D1183" s="21" t="s">
        <v>167</v>
      </c>
      <c r="E1183" s="21"/>
      <c r="F1183" s="21">
        <f>(0)</f>
      </c>
      <c r="G1183" s="21">
        <f>(C1183 * E1183 + C1183 * E1183 * F1183)</f>
      </c>
    </row>
    <row r="1184">
      <c r="A1184" s="6"/>
      <c r="B1184" s="15" t="s">
        <v>1050</v>
      </c>
      <c r="C1184" s="23"/>
      <c r="D1184" s="23"/>
      <c r="E1184" s="23"/>
      <c r="F1184" s="23"/>
      <c r="G1184" s="23"/>
    </row>
    <row r="1185">
      <c r="A1185" s="4"/>
      <c r="B1185" s="16" t="s">
        <v>840</v>
      </c>
      <c r="C1185" s="21">
        <f>(1)*(1)*(1)*(1)*(1 + (0))</f>
      </c>
      <c r="D1185" s="21" t="s">
        <v>167</v>
      </c>
      <c r="E1185" s="21"/>
      <c r="F1185" s="21">
        <f>(0)</f>
      </c>
      <c r="G1185" s="21">
        <f>(C1185 * E1185 + C1185 * E1185 * F1185)</f>
      </c>
    </row>
    <row r="1186">
      <c r="A1186" s="6"/>
      <c r="B1186" s="15" t="s">
        <v>1051</v>
      </c>
      <c r="C1186" s="23"/>
      <c r="D1186" s="23"/>
      <c r="E1186" s="23"/>
      <c r="F1186" s="23"/>
      <c r="G1186" s="23"/>
    </row>
    <row r="1187">
      <c r="A1187" s="4"/>
      <c r="B1187" s="16" t="s">
        <v>840</v>
      </c>
      <c r="C1187" s="21">
        <f>(1)*(1)*(1)*(1)*(1 + (0))</f>
      </c>
      <c r="D1187" s="21" t="s">
        <v>167</v>
      </c>
      <c r="E1187" s="21"/>
      <c r="F1187" s="21">
        <f>(0)</f>
      </c>
      <c r="G1187" s="21">
        <f>(C1187 * E1187 + C1187 * E1187 * F1187)</f>
      </c>
    </row>
    <row r="1188">
      <c r="A1188" s="6"/>
      <c r="B1188" s="15" t="s">
        <v>1052</v>
      </c>
      <c r="C1188" s="23"/>
      <c r="D1188" s="23"/>
      <c r="E1188" s="23"/>
      <c r="F1188" s="23"/>
      <c r="G1188" s="23"/>
    </row>
    <row r="1189">
      <c r="A1189" s="4"/>
      <c r="B1189" s="16" t="s">
        <v>840</v>
      </c>
      <c r="C1189" s="21">
        <f>(4)*(1)*(1)*(1)*(1 + (0))</f>
      </c>
      <c r="D1189" s="21" t="s">
        <v>167</v>
      </c>
      <c r="E1189" s="21"/>
      <c r="F1189" s="21">
        <f>(0)</f>
      </c>
      <c r="G1189" s="21">
        <f>(C1189 * E1189 + C1189 * E1189 * F1189)</f>
      </c>
    </row>
    <row r="1190">
      <c r="A1190" s="6"/>
      <c r="B1190" s="15" t="s">
        <v>1053</v>
      </c>
      <c r="C1190" s="23"/>
      <c r="D1190" s="23"/>
      <c r="E1190" s="23"/>
      <c r="F1190" s="23"/>
      <c r="G1190" s="23"/>
    </row>
    <row r="1191">
      <c r="A1191" s="4"/>
      <c r="B1191" s="16" t="s">
        <v>840</v>
      </c>
      <c r="C1191" s="21">
        <f>(4)*(1)*(1)*(1)*(1 + (0))</f>
      </c>
      <c r="D1191" s="21" t="s">
        <v>167</v>
      </c>
      <c r="E1191" s="21"/>
      <c r="F1191" s="21">
        <f>(0)</f>
      </c>
      <c r="G1191" s="21">
        <f>(C1191 * E1191 + C1191 * E1191 * F1191)</f>
      </c>
    </row>
    <row r="1192">
      <c r="A1192" s="6"/>
      <c r="B1192" s="15" t="s">
        <v>1054</v>
      </c>
      <c r="C1192" s="23"/>
      <c r="D1192" s="23"/>
      <c r="E1192" s="23"/>
      <c r="F1192" s="23"/>
      <c r="G1192" s="23"/>
    </row>
    <row r="1193">
      <c r="A1193" s="4"/>
      <c r="B1193" s="16" t="s">
        <v>841</v>
      </c>
      <c r="C1193" s="21">
        <f>(1)*(1)*(1)*(1)*(1 + (0))</f>
      </c>
      <c r="D1193" s="21" t="s">
        <v>167</v>
      </c>
      <c r="E1193" s="21"/>
      <c r="F1193" s="21">
        <f>(0)</f>
      </c>
      <c r="G1193" s="21">
        <f>(C1193 * E1193 + C1193 * E1193 * F1193)</f>
      </c>
    </row>
    <row r="1194">
      <c r="A1194" s="3"/>
      <c r="B1194" s="11" t="s">
        <v>1055</v>
      </c>
      <c r="C1194" s="20"/>
      <c r="D1194" s="20"/>
      <c r="E1194" s="20"/>
      <c r="F1194" s="20"/>
      <c r="G1194" s="20"/>
    </row>
    <row r="1195">
      <c r="A1195" s="5"/>
      <c r="B1195" s="13" t="s">
        <v>1056</v>
      </c>
      <c r="C1195" s="22"/>
      <c r="D1195" s="22"/>
      <c r="E1195" s="22"/>
      <c r="F1195" s="22"/>
      <c r="G1195" s="22"/>
    </row>
    <row r="1196">
      <c r="A1196" s="4"/>
      <c r="B1196" s="14" t="s">
        <v>1024</v>
      </c>
      <c r="C1196" s="21">
        <f>(9)*(1)*(1)*(1)*(1 + (0))</f>
      </c>
      <c r="D1196" s="21" t="s">
        <v>167</v>
      </c>
      <c r="E1196" s="21"/>
      <c r="F1196" s="21">
        <f>(0)</f>
      </c>
      <c r="G1196" s="21">
        <f>(C1196 * E1196 + C1196 * E1196 * F1196)</f>
      </c>
    </row>
    <row r="1197">
      <c r="A1197" s="2"/>
      <c r="B1197" s="10" t="s">
        <v>1057</v>
      </c>
      <c r="C1197" s="19"/>
      <c r="D1197" s="19"/>
      <c r="E1197" s="19"/>
      <c r="F1197" s="19"/>
      <c r="G1197" s="19"/>
    </row>
    <row r="1198">
      <c r="A1198" s="3"/>
      <c r="B1198" s="11" t="s">
        <v>14</v>
      </c>
      <c r="C1198" s="20"/>
      <c r="D1198" s="20"/>
      <c r="E1198" s="20"/>
      <c r="F1198" s="20"/>
      <c r="G1198" s="20"/>
    </row>
    <row r="1199">
      <c r="A1199" s="4" t="s">
        <v>1058</v>
      </c>
      <c r="B1199" s="12" t="s">
        <v>16</v>
      </c>
      <c r="C1199" s="21"/>
      <c r="D1199" s="21" t="s">
        <v>17</v>
      </c>
      <c r="E1199" s="21"/>
      <c r="F1199" s="21">
        <f>(0)</f>
      </c>
      <c r="G1199" s="21">
        <f>(C1199 * E1199 + C1199 * E1199 * F1199)</f>
      </c>
    </row>
    <row r="1200">
      <c r="A1200" s="4" t="s">
        <v>1059</v>
      </c>
      <c r="B1200" s="12" t="s">
        <v>19</v>
      </c>
      <c r="C1200" s="21"/>
      <c r="D1200" s="21" t="s">
        <v>17</v>
      </c>
      <c r="E1200" s="21"/>
      <c r="F1200" s="21">
        <f>(0)</f>
      </c>
      <c r="G1200" s="21">
        <f>(C1200 * E1200 + C1200 * E1200 * F1200)</f>
      </c>
    </row>
    <row r="1201">
      <c r="A1201" s="3"/>
      <c r="B1201" s="11" t="s">
        <v>22</v>
      </c>
      <c r="C1201" s="20"/>
      <c r="D1201" s="20"/>
      <c r="E1201" s="20"/>
      <c r="F1201" s="20"/>
      <c r="G1201" s="20"/>
    </row>
    <row r="1202">
      <c r="A1202" s="4"/>
      <c r="B1202" s="12" t="s">
        <v>1060</v>
      </c>
      <c r="C1202" s="21"/>
      <c r="D1202" s="21" t="s">
        <v>17</v>
      </c>
      <c r="E1202" s="21"/>
      <c r="F1202" s="21">
        <f>(0)</f>
      </c>
      <c r="G1202" s="21">
        <f>(C1202 * E1202 + C1202 * E1202 * F1202)</f>
      </c>
    </row>
    <row r="1203">
      <c r="A1203" s="4"/>
      <c r="B1203" s="12" t="s">
        <v>1061</v>
      </c>
      <c r="C1203" s="21"/>
      <c r="D1203" s="21" t="s">
        <v>17</v>
      </c>
      <c r="E1203" s="21"/>
      <c r="F1203" s="21">
        <f>(0)</f>
      </c>
      <c r="G1203" s="21">
        <f>(C1203 * E1203 + C1203 * E1203 * F1203)</f>
      </c>
    </row>
    <row r="1204">
      <c r="A1204" s="3"/>
      <c r="B1204" s="11" t="s">
        <v>24</v>
      </c>
      <c r="C1204" s="20"/>
      <c r="D1204" s="20"/>
      <c r="E1204" s="20"/>
      <c r="F1204" s="20"/>
      <c r="G1204" s="20"/>
    </row>
    <row r="1205">
      <c r="A1205" s="5"/>
      <c r="B1205" s="13" t="s">
        <v>25</v>
      </c>
      <c r="C1205" s="22"/>
      <c r="D1205" s="22"/>
      <c r="E1205" s="22"/>
      <c r="F1205" s="22"/>
      <c r="G1205" s="22"/>
    </row>
    <row r="1206">
      <c r="A1206" s="4" t="s">
        <v>1062</v>
      </c>
      <c r="B1206" s="14" t="s">
        <v>1063</v>
      </c>
      <c r="C1206" s="21"/>
      <c r="D1206" s="21" t="s">
        <v>17</v>
      </c>
      <c r="E1206" s="21"/>
      <c r="F1206" s="21">
        <f>(0)</f>
      </c>
      <c r="G1206" s="21">
        <f>(C1206 * E1206 + C1206 * E1206 * F1206)</f>
      </c>
    </row>
    <row r="1207">
      <c r="A1207" s="4" t="s">
        <v>1064</v>
      </c>
      <c r="B1207" s="14" t="s">
        <v>1065</v>
      </c>
      <c r="C1207" s="21"/>
      <c r="D1207" s="21" t="s">
        <v>17</v>
      </c>
      <c r="E1207" s="21"/>
      <c r="F1207" s="21">
        <f>(0)</f>
      </c>
      <c r="G1207" s="21">
        <f>(C1207 * E1207 + C1207 * E1207 * F1207)</f>
      </c>
    </row>
    <row r="1208">
      <c r="A1208" s="4" t="s">
        <v>1066</v>
      </c>
      <c r="B1208" s="14" t="s">
        <v>1067</v>
      </c>
      <c r="C1208" s="21"/>
      <c r="D1208" s="21" t="s">
        <v>17</v>
      </c>
      <c r="E1208" s="21"/>
      <c r="F1208" s="21">
        <f>(0)</f>
      </c>
      <c r="G1208" s="21">
        <f>(C1208 * E1208 + C1208 * E1208 * F1208)</f>
      </c>
    </row>
    <row r="1209">
      <c r="A1209" s="4" t="s">
        <v>1068</v>
      </c>
      <c r="B1209" s="14" t="s">
        <v>814</v>
      </c>
      <c r="C1209" s="21"/>
      <c r="D1209" s="21" t="s">
        <v>17</v>
      </c>
      <c r="E1209" s="21"/>
      <c r="F1209" s="21">
        <f>(0)</f>
      </c>
      <c r="G1209" s="21">
        <f>(C1209 * E1209 + C1209 * E1209 * F1209)</f>
      </c>
    </row>
    <row r="1210">
      <c r="A1210" s="4" t="s">
        <v>1069</v>
      </c>
      <c r="B1210" s="14" t="s">
        <v>816</v>
      </c>
      <c r="C1210" s="21"/>
      <c r="D1210" s="21" t="s">
        <v>17</v>
      </c>
      <c r="E1210" s="21"/>
      <c r="F1210" s="21">
        <f>(0)</f>
      </c>
      <c r="G1210" s="21">
        <f>(C1210 * E1210 + C1210 * E1210 * F1210)</f>
      </c>
    </row>
    <row r="1211">
      <c r="A1211" s="4" t="s">
        <v>1070</v>
      </c>
      <c r="B1211" s="14" t="s">
        <v>1071</v>
      </c>
      <c r="C1211" s="21"/>
      <c r="D1211" s="21" t="s">
        <v>17</v>
      </c>
      <c r="E1211" s="21"/>
      <c r="F1211" s="21">
        <f>(0)</f>
      </c>
      <c r="G1211" s="21">
        <f>(C1211 * E1211 + C1211 * E1211 * F1211)</f>
      </c>
    </row>
    <row r="1212">
      <c r="A1212" s="4" t="s">
        <v>1072</v>
      </c>
      <c r="B1212" s="14" t="s">
        <v>194</v>
      </c>
      <c r="C1212" s="21"/>
      <c r="D1212" s="21" t="s">
        <v>17</v>
      </c>
      <c r="E1212" s="21"/>
      <c r="F1212" s="21">
        <f>(0)</f>
      </c>
      <c r="G1212" s="21">
        <f>(C1212 * E1212 + C1212 * E1212 * F1212)</f>
      </c>
    </row>
    <row r="1213">
      <c r="A1213" s="3"/>
      <c r="B1213" s="11" t="s">
        <v>42</v>
      </c>
      <c r="C1213" s="20"/>
      <c r="D1213" s="20"/>
      <c r="E1213" s="20"/>
      <c r="F1213" s="20"/>
      <c r="G1213" s="20"/>
    </row>
    <row r="1214">
      <c r="A1214" s="4" t="s">
        <v>1073</v>
      </c>
      <c r="B1214" s="12" t="s">
        <v>1074</v>
      </c>
      <c r="C1214" s="21">
        <f>(1)*(1)*(1)*(1)*(1 + (0))</f>
      </c>
      <c r="D1214" s="21" t="s">
        <v>45</v>
      </c>
      <c r="E1214" s="21"/>
      <c r="F1214" s="21">
        <f>(0)</f>
      </c>
      <c r="G1214" s="21">
        <f>(C1214 * E1214 + C1214 * E1214 * F1214)</f>
      </c>
    </row>
    <row r="1215">
      <c r="A1215" s="4" t="s">
        <v>1075</v>
      </c>
      <c r="B1215" s="12" t="s">
        <v>1076</v>
      </c>
      <c r="C1215" s="21">
        <f>(1)*(1)*(1)*(1)*(1 + (0))</f>
      </c>
      <c r="D1215" s="21" t="s">
        <v>45</v>
      </c>
      <c r="E1215" s="21"/>
      <c r="F1215" s="21">
        <f>(0)</f>
      </c>
      <c r="G1215" s="21">
        <f>(C1215 * E1215 + C1215 * E1215 * F1215)</f>
      </c>
    </row>
    <row r="1216">
      <c r="A1216" s="4" t="s">
        <v>1077</v>
      </c>
      <c r="B1216" s="12" t="s">
        <v>1078</v>
      </c>
      <c r="C1216" s="21">
        <f>(1)*(1)*(1)*(1)*(1 + (0))</f>
      </c>
      <c r="D1216" s="21" t="s">
        <v>45</v>
      </c>
      <c r="E1216" s="21"/>
      <c r="F1216" s="21">
        <f>(0)</f>
      </c>
      <c r="G1216" s="21">
        <f>(C1216 * E1216 + C1216 * E1216 * F1216)</f>
      </c>
    </row>
    <row r="1217">
      <c r="A1217" s="4" t="s">
        <v>1079</v>
      </c>
      <c r="B1217" s="12" t="s">
        <v>132</v>
      </c>
      <c r="C1217" s="21">
        <f>(1)*(1)*(1)*(1)*(1 + (0))</f>
      </c>
      <c r="D1217" s="21" t="s">
        <v>45</v>
      </c>
      <c r="E1217" s="21"/>
      <c r="F1217" s="21">
        <f>(0)</f>
      </c>
      <c r="G1217" s="21">
        <f>(C1217 * E1217 + C1217 * E1217 * F1217)</f>
      </c>
    </row>
    <row r="1218">
      <c r="A1218" s="4" t="s">
        <v>1080</v>
      </c>
      <c r="B1218" s="12" t="s">
        <v>1081</v>
      </c>
      <c r="C1218" s="21">
        <f>(1)*(1)*(1)*(1)*(1 + (0))</f>
      </c>
      <c r="D1218" s="21" t="s">
        <v>45</v>
      </c>
      <c r="E1218" s="21"/>
      <c r="F1218" s="21">
        <f>(0)</f>
      </c>
      <c r="G1218" s="21">
        <f>(C1218 * E1218 + C1218 * E1218 * F1218)</f>
      </c>
    </row>
    <row r="1219">
      <c r="A1219" s="4" t="s">
        <v>1082</v>
      </c>
      <c r="B1219" s="12" t="s">
        <v>1083</v>
      </c>
      <c r="C1219" s="21">
        <f>(1)*(1)*(1)*(1)*(1 + (0))</f>
      </c>
      <c r="D1219" s="21" t="s">
        <v>45</v>
      </c>
      <c r="E1219" s="21"/>
      <c r="F1219" s="21">
        <f>(0)</f>
      </c>
      <c r="G1219" s="21">
        <f>(C1219 * E1219 + C1219 * E1219 * F1219)</f>
      </c>
    </row>
    <row r="1220">
      <c r="A1220" s="4" t="s">
        <v>1084</v>
      </c>
      <c r="B1220" s="12" t="s">
        <v>1085</v>
      </c>
      <c r="C1220" s="21">
        <f>(1)*(1)*(1)*(1)*(1 + (0))</f>
      </c>
      <c r="D1220" s="21" t="s">
        <v>45</v>
      </c>
      <c r="E1220" s="21"/>
      <c r="F1220" s="21">
        <f>(0)</f>
      </c>
      <c r="G1220" s="21">
        <f>(C1220 * E1220 + C1220 * E1220 * F1220)</f>
      </c>
    </row>
    <row r="1221">
      <c r="A1221" s="4" t="s">
        <v>1086</v>
      </c>
      <c r="B1221" s="12" t="s">
        <v>1087</v>
      </c>
      <c r="C1221" s="21">
        <f>(1)*(1)*(1)*(1)*(1 + (0))</f>
      </c>
      <c r="D1221" s="21" t="s">
        <v>45</v>
      </c>
      <c r="E1221" s="21"/>
      <c r="F1221" s="21">
        <f>(0)</f>
      </c>
      <c r="G1221" s="21">
        <f>(C1221 * E1221 + C1221 * E1221 * F1221)</f>
      </c>
    </row>
    <row r="1222">
      <c r="A1222" s="3"/>
      <c r="B1222" s="11" t="s">
        <v>82</v>
      </c>
      <c r="C1222" s="20"/>
      <c r="D1222" s="20"/>
      <c r="E1222" s="20"/>
      <c r="F1222" s="20"/>
      <c r="G1222" s="20"/>
    </row>
    <row r="1223">
      <c r="A1223" s="4"/>
      <c r="B1223" s="12" t="s">
        <v>1088</v>
      </c>
      <c r="C1223" s="21"/>
      <c r="D1223" s="21" t="s">
        <v>17</v>
      </c>
      <c r="E1223" s="21"/>
      <c r="F1223" s="21">
        <f>(0)</f>
      </c>
      <c r="G1223" s="21">
        <f>(C1223 * E1223 + C1223 * E1223 * F1223)</f>
      </c>
    </row>
    <row r="1224">
      <c r="A1224" s="3"/>
      <c r="B1224" s="11" t="s">
        <v>1089</v>
      </c>
      <c r="C1224" s="20"/>
      <c r="D1224" s="20"/>
      <c r="E1224" s="20"/>
      <c r="F1224" s="20"/>
      <c r="G1224" s="20"/>
    </row>
    <row r="1225">
      <c r="A1225" s="4"/>
      <c r="B1225" s="12" t="s">
        <v>1090</v>
      </c>
      <c r="C1225" s="21">
        <f>(309)*(1)*(1)*(1)*(1 + (0))</f>
      </c>
      <c r="D1225" s="21" t="s">
        <v>9</v>
      </c>
      <c r="E1225" s="21"/>
      <c r="F1225" s="21">
        <f>(0)</f>
      </c>
      <c r="G1225" s="21">
        <f>(C1225 * E1225 + C1225 * E1225 * F1225)</f>
      </c>
    </row>
    <row r="1226">
      <c r="A1226" s="4"/>
      <c r="B1226" s="12" t="s">
        <v>1091</v>
      </c>
      <c r="C1226" s="21">
        <f>(1427)*(1)*(1)*(1)*(1 + (0))</f>
      </c>
      <c r="D1226" s="21" t="s">
        <v>9</v>
      </c>
      <c r="E1226" s="21"/>
      <c r="F1226" s="21">
        <f>(0)</f>
      </c>
      <c r="G1226" s="21">
        <f>(C1226 * E1226 + C1226 * E1226 * F1226)</f>
      </c>
    </row>
    <row r="1227">
      <c r="A1227" s="4"/>
      <c r="B1227" s="12" t="s">
        <v>1092</v>
      </c>
      <c r="C1227" s="21">
        <f>(999)*(1)*(1)*(1)*(1 + (0))</f>
      </c>
      <c r="D1227" s="21" t="s">
        <v>9</v>
      </c>
      <c r="E1227" s="21"/>
      <c r="F1227" s="21">
        <f>(0)</f>
      </c>
      <c r="G1227" s="21">
        <f>(C1227 * E1227 + C1227 * E1227 * F1227)</f>
      </c>
    </row>
    <row r="1228">
      <c r="A1228" s="3"/>
      <c r="B1228" s="11" t="s">
        <v>1093</v>
      </c>
      <c r="C1228" s="20"/>
      <c r="D1228" s="20"/>
      <c r="E1228" s="20"/>
      <c r="F1228" s="20"/>
      <c r="G1228" s="20"/>
    </row>
    <row r="1229">
      <c r="A1229" s="4"/>
      <c r="B1229" s="12" t="s">
        <v>1094</v>
      </c>
      <c r="C1229" s="21">
        <f>(312)*(1)*(1)*(1)*(1 + (0))</f>
      </c>
      <c r="D1229" s="21" t="s">
        <v>9</v>
      </c>
      <c r="E1229" s="21"/>
      <c r="F1229" s="21">
        <f>(0)</f>
      </c>
      <c r="G1229" s="21">
        <f>(C1229 * E1229 + C1229 * E1229 * F1229)</f>
      </c>
    </row>
    <row r="1230">
      <c r="A1230" s="4"/>
      <c r="B1230" s="12" t="s">
        <v>1095</v>
      </c>
      <c r="C1230" s="21">
        <f>(386)*(1)*(1)*(1)*(1 + (0))</f>
      </c>
      <c r="D1230" s="21" t="s">
        <v>9</v>
      </c>
      <c r="E1230" s="21"/>
      <c r="F1230" s="21">
        <f>(0)</f>
      </c>
      <c r="G1230" s="21">
        <f>(C1230 * E1230 + C1230 * E1230 * F1230)</f>
      </c>
    </row>
    <row r="1231">
      <c r="A1231" s="4"/>
      <c r="B1231" s="12" t="s">
        <v>1096</v>
      </c>
      <c r="C1231" s="21">
        <f>(370)*(1)*(1)*(1)*(1 + (0))</f>
      </c>
      <c r="D1231" s="21" t="s">
        <v>9</v>
      </c>
      <c r="E1231" s="21"/>
      <c r="F1231" s="21">
        <f>(0)</f>
      </c>
      <c r="G1231" s="21">
        <f>(C1231 * E1231 + C1231 * E1231 * F1231)</f>
      </c>
    </row>
    <row r="1232">
      <c r="A1232" s="4"/>
      <c r="B1232" s="12" t="s">
        <v>1097</v>
      </c>
      <c r="C1232" s="21">
        <f>(67)*(1)*(1)*(1)*(1 + (0))</f>
      </c>
      <c r="D1232" s="21" t="s">
        <v>9</v>
      </c>
      <c r="E1232" s="21"/>
      <c r="F1232" s="21">
        <f>(0)</f>
      </c>
      <c r="G1232" s="21">
        <f>(C1232 * E1232 + C1232 * E1232 * F1232)</f>
      </c>
    </row>
    <row r="1233">
      <c r="A1233" s="4"/>
      <c r="B1233" s="12" t="s">
        <v>1098</v>
      </c>
      <c r="C1233" s="21">
        <f>(71)*(1)*(1)*(1)*(1 + (0))</f>
      </c>
      <c r="D1233" s="21" t="s">
        <v>167</v>
      </c>
      <c r="E1233" s="21"/>
      <c r="F1233" s="21">
        <f>(0)</f>
      </c>
      <c r="G1233" s="21">
        <f>(C1233 * E1233 + C1233 * E1233 * F1233)</f>
      </c>
    </row>
    <row r="1234">
      <c r="A1234" s="3"/>
      <c r="B1234" s="11" t="s">
        <v>1099</v>
      </c>
      <c r="C1234" s="20"/>
      <c r="D1234" s="20"/>
      <c r="E1234" s="20"/>
      <c r="F1234" s="20"/>
      <c r="G1234" s="20"/>
    </row>
    <row r="1235">
      <c r="A1235" s="4"/>
      <c r="B1235" s="12" t="s">
        <v>1100</v>
      </c>
      <c r="C1235" s="21">
        <f>(312)*(1)*(1)*(1)*(1 + (0))</f>
      </c>
      <c r="D1235" s="21" t="s">
        <v>9</v>
      </c>
      <c r="E1235" s="21"/>
      <c r="F1235" s="21">
        <f>(0)</f>
      </c>
      <c r="G1235" s="21">
        <f>(C1235 * E1235 + C1235 * E1235 * F1235)</f>
      </c>
    </row>
    <row r="1236">
      <c r="A1236" s="4"/>
      <c r="B1236" s="12" t="s">
        <v>1101</v>
      </c>
      <c r="C1236" s="21">
        <f>(256)*(1)*(1)*(1)*(1 + (0))</f>
      </c>
      <c r="D1236" s="21" t="s">
        <v>9</v>
      </c>
      <c r="E1236" s="21"/>
      <c r="F1236" s="21">
        <f>(0)</f>
      </c>
      <c r="G1236" s="21">
        <f>(C1236 * E1236 + C1236 * E1236 * F1236)</f>
      </c>
    </row>
    <row r="1237">
      <c r="A1237" s="3"/>
      <c r="B1237" s="11" t="s">
        <v>1102</v>
      </c>
      <c r="C1237" s="20"/>
      <c r="D1237" s="20"/>
      <c r="E1237" s="20"/>
      <c r="F1237" s="20"/>
      <c r="G1237" s="20"/>
    </row>
    <row r="1238">
      <c r="A1238" s="4"/>
      <c r="B1238" s="12" t="s">
        <v>1103</v>
      </c>
      <c r="C1238" s="21">
        <f>(312)*(1)*(1)*(1)*(1 + (0))</f>
      </c>
      <c r="D1238" s="21" t="s">
        <v>9</v>
      </c>
      <c r="E1238" s="21"/>
      <c r="F1238" s="21">
        <f>(0)</f>
      </c>
      <c r="G1238" s="21">
        <f>(C1238 * E1238 + C1238 * E1238 * F1238)</f>
      </c>
    </row>
    <row r="1239">
      <c r="A1239" s="3"/>
      <c r="B1239" s="11" t="s">
        <v>1104</v>
      </c>
      <c r="C1239" s="20"/>
      <c r="D1239" s="20"/>
      <c r="E1239" s="20"/>
      <c r="F1239" s="20"/>
      <c r="G1239" s="20"/>
    </row>
    <row r="1240">
      <c r="A1240" s="5"/>
      <c r="B1240" s="13" t="s">
        <v>1105</v>
      </c>
      <c r="C1240" s="22"/>
      <c r="D1240" s="22"/>
      <c r="E1240" s="22"/>
      <c r="F1240" s="22"/>
      <c r="G1240" s="22"/>
    </row>
    <row r="1241">
      <c r="A1241" s="6"/>
      <c r="B1241" s="15" t="s">
        <v>1106</v>
      </c>
      <c r="C1241" s="23"/>
      <c r="D1241" s="23"/>
      <c r="E1241" s="23"/>
      <c r="F1241" s="23"/>
      <c r="G1241" s="23"/>
    </row>
    <row r="1242">
      <c r="A1242" s="4"/>
      <c r="B1242" s="16" t="s">
        <v>1107</v>
      </c>
      <c r="C1242" s="21">
        <f>(108)*(1)*(1)*(1)*(1 + (0))</f>
      </c>
      <c r="D1242" s="21" t="s">
        <v>167</v>
      </c>
      <c r="E1242" s="21"/>
      <c r="F1242" s="21">
        <f>(0)</f>
      </c>
      <c r="G1242" s="21">
        <f>(C1242 * E1242 + C1242 * E1242 * F1242)</f>
      </c>
    </row>
    <row r="1243">
      <c r="A1243" s="6"/>
      <c r="B1243" s="15" t="s">
        <v>1108</v>
      </c>
      <c r="C1243" s="23"/>
      <c r="D1243" s="23"/>
      <c r="E1243" s="23"/>
      <c r="F1243" s="23"/>
      <c r="G1243" s="23"/>
    </row>
    <row r="1244">
      <c r="A1244" s="4"/>
      <c r="B1244" s="16" t="s">
        <v>1109</v>
      </c>
      <c r="C1244" s="21">
        <f>(166)*(1)*(1)*(1)*(1 + (0))</f>
      </c>
      <c r="D1244" s="21" t="s">
        <v>167</v>
      </c>
      <c r="E1244" s="21"/>
      <c r="F1244" s="21">
        <f>(0)</f>
      </c>
      <c r="G1244" s="21">
        <f>(C1244 * E1244 + C1244 * E1244 * F1244)</f>
      </c>
    </row>
    <row r="1245">
      <c r="A1245" s="4"/>
      <c r="B1245" s="16" t="s">
        <v>1110</v>
      </c>
      <c r="C1245" s="21">
        <f>(122)*(1)*(1)*(1)*(1 + (0))</f>
      </c>
      <c r="D1245" s="21" t="s">
        <v>167</v>
      </c>
      <c r="E1245" s="21"/>
      <c r="F1245" s="21">
        <f>(0)</f>
      </c>
      <c r="G1245" s="21">
        <f>(C1245 * E1245 + C1245 * E1245 * F1245)</f>
      </c>
    </row>
    <row r="1246">
      <c r="A1246" s="4"/>
      <c r="B1246" s="16" t="s">
        <v>1111</v>
      </c>
      <c r="C1246" s="21">
        <f>(71)*(1)*(1)*(1)*(1 + (0))</f>
      </c>
      <c r="D1246" s="21" t="s">
        <v>167</v>
      </c>
      <c r="E1246" s="21"/>
      <c r="F1246" s="21">
        <f>(0)</f>
      </c>
      <c r="G1246" s="21">
        <f>(C1246 * E1246 + C1246 * E1246 * F1246)</f>
      </c>
    </row>
    <row r="1247">
      <c r="A1247" s="4"/>
      <c r="B1247" s="16" t="s">
        <v>1112</v>
      </c>
      <c r="C1247" s="21">
        <f>(80)*(1)*(1)*(1)*(1 + (0))</f>
      </c>
      <c r="D1247" s="21" t="s">
        <v>167</v>
      </c>
      <c r="E1247" s="21"/>
      <c r="F1247" s="21">
        <f>(0)</f>
      </c>
      <c r="G1247" s="21">
        <f>(C1247 * E1247 + C1247 * E1247 * F1247)</f>
      </c>
    </row>
    <row r="1248">
      <c r="A1248" s="4"/>
      <c r="B1248" s="16" t="s">
        <v>1113</v>
      </c>
      <c r="C1248" s="21">
        <f>(9)*(1)*(1)*(1)*(1 + (0))</f>
      </c>
      <c r="D1248" s="21" t="s">
        <v>167</v>
      </c>
      <c r="E1248" s="21"/>
      <c r="F1248" s="21">
        <f>(0)</f>
      </c>
      <c r="G1248" s="21">
        <f>(C1248 * E1248 + C1248 * E1248 * F1248)</f>
      </c>
    </row>
    <row r="1249">
      <c r="A1249" s="5"/>
      <c r="B1249" s="13" t="s">
        <v>1114</v>
      </c>
      <c r="C1249" s="22"/>
      <c r="D1249" s="22"/>
      <c r="E1249" s="22"/>
      <c r="F1249" s="22"/>
      <c r="G1249" s="22"/>
    </row>
    <row r="1250">
      <c r="A1250" s="4"/>
      <c r="B1250" s="14" t="s">
        <v>1115</v>
      </c>
      <c r="C1250" s="21">
        <f>(87)*(1)*(1)*(1)*(1 + (0))</f>
      </c>
      <c r="D1250" s="21" t="s">
        <v>167</v>
      </c>
      <c r="E1250" s="21"/>
      <c r="F1250" s="21">
        <f>(0)</f>
      </c>
      <c r="G1250" s="21">
        <f>(C1250 * E1250 + C1250 * E1250 * F1250)</f>
      </c>
    </row>
    <row r="1251">
      <c r="A1251" s="3"/>
      <c r="B1251" s="11" t="s">
        <v>1116</v>
      </c>
      <c r="C1251" s="20"/>
      <c r="D1251" s="20"/>
      <c r="E1251" s="20"/>
      <c r="F1251" s="20"/>
      <c r="G1251" s="20"/>
    </row>
    <row r="1252">
      <c r="A1252" s="4"/>
      <c r="B1252" s="12" t="s">
        <v>1117</v>
      </c>
      <c r="C1252" s="21">
        <f>(87)*(1)*(1)*(1)*(1 + (0))</f>
      </c>
      <c r="D1252" s="21" t="s">
        <v>167</v>
      </c>
      <c r="E1252" s="21"/>
      <c r="F1252" s="21">
        <f>(0)</f>
      </c>
      <c r="G1252" s="21">
        <f>(C1252 * E1252 + C1252 * E1252 * F1252)</f>
      </c>
    </row>
    <row r="1253">
      <c r="A1253" s="4"/>
      <c r="B1253" s="12" t="s">
        <v>1118</v>
      </c>
      <c r="C1253" s="21">
        <f>(7)*(1)*(1)*(1)*(1 + (0))</f>
      </c>
      <c r="D1253" s="21" t="s">
        <v>167</v>
      </c>
      <c r="E1253" s="21"/>
      <c r="F1253" s="21">
        <f>(0)</f>
      </c>
      <c r="G1253" s="21">
        <f>(C1253 * E1253 + C1253 * E1253 * F1253)</f>
      </c>
    </row>
    <row r="1254">
      <c r="A1254" s="4"/>
      <c r="B1254" s="12" t="s">
        <v>1119</v>
      </c>
      <c r="C1254" s="21">
        <f>(35)*(1)*(1)*(1)*(1 + (0))</f>
      </c>
      <c r="D1254" s="21" t="s">
        <v>167</v>
      </c>
      <c r="E1254" s="21"/>
      <c r="F1254" s="21">
        <f>(0)</f>
      </c>
      <c r="G1254" s="21">
        <f>(C1254 * E1254 + C1254 * E1254 * F1254)</f>
      </c>
    </row>
    <row r="1255">
      <c r="A1255" s="4"/>
      <c r="B1255" s="12" t="s">
        <v>1120</v>
      </c>
      <c r="C1255" s="21">
        <f>(24)*(1)*(1)*(1)*(1 + (0))</f>
      </c>
      <c r="D1255" s="21" t="s">
        <v>167</v>
      </c>
      <c r="E1255" s="21"/>
      <c r="F1255" s="21">
        <f>(0)</f>
      </c>
      <c r="G1255" s="21">
        <f>(C1255 * E1255 + C1255 * E1255 * F1255)</f>
      </c>
    </row>
    <row r="1256">
      <c r="A1256" s="4"/>
      <c r="B1256" s="12" t="s">
        <v>1121</v>
      </c>
      <c r="C1256" s="21">
        <f>(24)*(1)*(1)*(1)*(1 + (0))</f>
      </c>
      <c r="D1256" s="21" t="s">
        <v>167</v>
      </c>
      <c r="E1256" s="21"/>
      <c r="F1256" s="21">
        <f>(0)</f>
      </c>
      <c r="G1256" s="21">
        <f>(C1256 * E1256 + C1256 * E1256 * F1256)</f>
      </c>
    </row>
    <row r="1257">
      <c r="A1257" s="4"/>
      <c r="B1257" s="12" t="s">
        <v>1122</v>
      </c>
      <c r="C1257" s="21">
        <f>(37)*(1)*(1)*(1)*(1 + (0))</f>
      </c>
      <c r="D1257" s="21" t="s">
        <v>167</v>
      </c>
      <c r="E1257" s="21"/>
      <c r="F1257" s="21">
        <f>(0)</f>
      </c>
      <c r="G1257" s="21">
        <f>(C1257 * E1257 + C1257 * E1257 * F1257)</f>
      </c>
    </row>
    <row r="1258">
      <c r="A1258" s="4"/>
      <c r="B1258" s="12" t="s">
        <v>1123</v>
      </c>
      <c r="C1258" s="21">
        <f>(13)*(1)*(1)*(1)*(1 + (0))</f>
      </c>
      <c r="D1258" s="21" t="s">
        <v>167</v>
      </c>
      <c r="E1258" s="21"/>
      <c r="F1258" s="21">
        <f>(0)</f>
      </c>
      <c r="G1258" s="21">
        <f>(C1258 * E1258 + C1258 * E1258 * F1258)</f>
      </c>
    </row>
    <row r="1259">
      <c r="A1259" s="4"/>
      <c r="B1259" s="12" t="s">
        <v>1124</v>
      </c>
      <c r="C1259" s="21">
        <f>(114)*(1)*(1)*(1)*(1 + (0))</f>
      </c>
      <c r="D1259" s="21" t="s">
        <v>167</v>
      </c>
      <c r="E1259" s="21"/>
      <c r="F1259" s="21">
        <f>(0)</f>
      </c>
      <c r="G1259" s="21">
        <f>(C1259 * E1259 + C1259 * E1259 * F1259)</f>
      </c>
    </row>
    <row r="1260">
      <c r="A1260" s="4"/>
      <c r="B1260" s="12" t="s">
        <v>1125</v>
      </c>
      <c r="C1260" s="21">
        <f>(45)*(1)*(1)*(1)*(1 + (0))</f>
      </c>
      <c r="D1260" s="21" t="s">
        <v>167</v>
      </c>
      <c r="E1260" s="21"/>
      <c r="F1260" s="21">
        <f>(0)</f>
      </c>
      <c r="G1260" s="21">
        <f>(C1260 * E1260 + C1260 * E1260 * F1260)</f>
      </c>
    </row>
    <row r="1261">
      <c r="A1261" s="4"/>
      <c r="B1261" s="12" t="s">
        <v>1126</v>
      </c>
      <c r="C1261" s="21">
        <f>(2)*(1)*(1)*(1)*(1 + (0))</f>
      </c>
      <c r="D1261" s="21" t="s">
        <v>170</v>
      </c>
      <c r="E1261" s="21"/>
      <c r="F1261" s="21">
        <f>(0)</f>
      </c>
      <c r="G1261" s="21">
        <f>(C1261 * E1261 + C1261 * E1261 * F1261)</f>
      </c>
    </row>
    <row r="1262">
      <c r="A1262" s="3"/>
      <c r="B1262" s="11" t="s">
        <v>1127</v>
      </c>
      <c r="C1262" s="20"/>
      <c r="D1262" s="20"/>
      <c r="E1262" s="20"/>
      <c r="F1262" s="20"/>
      <c r="G1262" s="20"/>
    </row>
    <row r="1263">
      <c r="A1263" s="4"/>
      <c r="B1263" s="12" t="s">
        <v>1128</v>
      </c>
      <c r="C1263" s="21">
        <f>(1)*(1)*(1)*(1)*(1 + (0))</f>
      </c>
      <c r="D1263" s="21" t="s">
        <v>45</v>
      </c>
      <c r="E1263" s="21"/>
      <c r="F1263" s="21">
        <f>(0)</f>
      </c>
      <c r="G1263" s="21">
        <f>(C1263 * E1263 + C1263 * E1263 * F1263)</f>
      </c>
    </row>
    <row r="1264">
      <c r="A1264" s="2"/>
      <c r="B1264" s="10" t="s">
        <v>1129</v>
      </c>
      <c r="C1264" s="19"/>
      <c r="D1264" s="19"/>
      <c r="E1264" s="19"/>
      <c r="F1264" s="19"/>
      <c r="G1264" s="19"/>
    </row>
    <row r="1265">
      <c r="A1265" s="3"/>
      <c r="B1265" s="11" t="s">
        <v>14</v>
      </c>
      <c r="C1265" s="20"/>
      <c r="D1265" s="20"/>
      <c r="E1265" s="20"/>
      <c r="F1265" s="20"/>
      <c r="G1265" s="20"/>
    </row>
    <row r="1266">
      <c r="A1266" s="4" t="s">
        <v>1130</v>
      </c>
      <c r="B1266" s="12" t="s">
        <v>1131</v>
      </c>
      <c r="C1266" s="21"/>
      <c r="D1266" s="21" t="s">
        <v>17</v>
      </c>
      <c r="E1266" s="21"/>
      <c r="F1266" s="21">
        <f>(0)</f>
      </c>
      <c r="G1266" s="21">
        <f>(C1266 * E1266 + C1266 * E1266 * F1266)</f>
      </c>
    </row>
    <row r="1267">
      <c r="A1267" s="4" t="s">
        <v>1132</v>
      </c>
      <c r="B1267" s="12" t="s">
        <v>19</v>
      </c>
      <c r="C1267" s="21"/>
      <c r="D1267" s="21" t="s">
        <v>17</v>
      </c>
      <c r="E1267" s="21"/>
      <c r="F1267" s="21">
        <f>(0)</f>
      </c>
      <c r="G1267" s="21">
        <f>(C1267 * E1267 + C1267 * E1267 * F1267)</f>
      </c>
    </row>
    <row r="1268">
      <c r="A1268" s="3"/>
      <c r="B1268" s="11" t="s">
        <v>22</v>
      </c>
      <c r="C1268" s="20"/>
      <c r="D1268" s="20"/>
      <c r="E1268" s="20"/>
      <c r="F1268" s="20"/>
      <c r="G1268" s="20"/>
    </row>
    <row r="1269">
      <c r="A1269" s="4"/>
      <c r="B1269" s="12" t="s">
        <v>1133</v>
      </c>
      <c r="C1269" s="21"/>
      <c r="D1269" s="21" t="s">
        <v>17</v>
      </c>
      <c r="E1269" s="21"/>
      <c r="F1269" s="21">
        <f>(0)</f>
      </c>
      <c r="G1269" s="21">
        <f>(C1269 * E1269 + C1269 * E1269 * F1269)</f>
      </c>
    </row>
    <row r="1270">
      <c r="A1270" s="4"/>
      <c r="B1270" s="12" t="s">
        <v>1134</v>
      </c>
      <c r="C1270" s="21"/>
      <c r="D1270" s="21" t="s">
        <v>17</v>
      </c>
      <c r="E1270" s="21"/>
      <c r="F1270" s="21">
        <f>(0)</f>
      </c>
      <c r="G1270" s="21">
        <f>(C1270 * E1270 + C1270 * E1270 * F1270)</f>
      </c>
    </row>
    <row r="1271">
      <c r="A1271" s="3"/>
      <c r="B1271" s="11" t="s">
        <v>24</v>
      </c>
      <c r="C1271" s="20"/>
      <c r="D1271" s="20"/>
      <c r="E1271" s="20"/>
      <c r="F1271" s="20"/>
      <c r="G1271" s="20"/>
    </row>
    <row r="1272">
      <c r="A1272" s="5"/>
      <c r="B1272" s="13" t="s">
        <v>25</v>
      </c>
      <c r="C1272" s="22"/>
      <c r="D1272" s="22"/>
      <c r="E1272" s="22"/>
      <c r="F1272" s="22"/>
      <c r="G1272" s="22"/>
    </row>
    <row r="1273">
      <c r="A1273" s="4" t="s">
        <v>1135</v>
      </c>
      <c r="B1273" s="14" t="s">
        <v>1063</v>
      </c>
      <c r="C1273" s="21"/>
      <c r="D1273" s="21" t="s">
        <v>17</v>
      </c>
      <c r="E1273" s="21"/>
      <c r="F1273" s="21">
        <f>(0)</f>
      </c>
      <c r="G1273" s="21">
        <f>(C1273 * E1273 + C1273 * E1273 * F1273)</f>
      </c>
    </row>
    <row r="1274">
      <c r="A1274" s="4" t="s">
        <v>1136</v>
      </c>
      <c r="B1274" s="14" t="s">
        <v>1137</v>
      </c>
      <c r="C1274" s="21"/>
      <c r="D1274" s="21" t="s">
        <v>17</v>
      </c>
      <c r="E1274" s="21"/>
      <c r="F1274" s="21">
        <f>(0)</f>
      </c>
      <c r="G1274" s="21">
        <f>(C1274 * E1274 + C1274 * E1274 * F1274)</f>
      </c>
    </row>
    <row r="1275">
      <c r="A1275" s="4" t="s">
        <v>1138</v>
      </c>
      <c r="B1275" s="14" t="s">
        <v>1139</v>
      </c>
      <c r="C1275" s="21"/>
      <c r="D1275" s="21" t="s">
        <v>17</v>
      </c>
      <c r="E1275" s="21"/>
      <c r="F1275" s="21">
        <f>(0)</f>
      </c>
      <c r="G1275" s="21">
        <f>(C1275 * E1275 + C1275 * E1275 * F1275)</f>
      </c>
    </row>
    <row r="1276">
      <c r="A1276" s="4" t="s">
        <v>1140</v>
      </c>
      <c r="B1276" s="14" t="s">
        <v>41</v>
      </c>
      <c r="C1276" s="21"/>
      <c r="D1276" s="21" t="s">
        <v>17</v>
      </c>
      <c r="E1276" s="21"/>
      <c r="F1276" s="21">
        <f>(0)</f>
      </c>
      <c r="G1276" s="21">
        <f>(C1276 * E1276 + C1276 * E1276 * F1276)</f>
      </c>
    </row>
    <row r="1277">
      <c r="A1277" s="6"/>
      <c r="B1277" s="15" t="s">
        <v>1141</v>
      </c>
      <c r="C1277" s="23"/>
      <c r="D1277" s="23"/>
      <c r="E1277" s="23"/>
      <c r="F1277" s="23"/>
      <c r="G1277" s="23"/>
    </row>
    <row r="1278">
      <c r="A1278" s="4" t="s">
        <v>1142</v>
      </c>
      <c r="B1278" s="16" t="s">
        <v>617</v>
      </c>
      <c r="C1278" s="21"/>
      <c r="D1278" s="21" t="s">
        <v>17</v>
      </c>
      <c r="E1278" s="21"/>
      <c r="F1278" s="21">
        <f>(0)</f>
      </c>
      <c r="G1278" s="21">
        <f>(C1278 * E1278 + C1278 * E1278 * F1278)</f>
      </c>
    </row>
    <row r="1279">
      <c r="A1279" s="4" t="s">
        <v>1143</v>
      </c>
      <c r="B1279" s="16" t="s">
        <v>619</v>
      </c>
      <c r="C1279" s="21"/>
      <c r="D1279" s="21" t="s">
        <v>17</v>
      </c>
      <c r="E1279" s="21"/>
      <c r="F1279" s="21">
        <f>(0)</f>
      </c>
      <c r="G1279" s="21">
        <f>(C1279 * E1279 + C1279 * E1279 * F1279)</f>
      </c>
    </row>
    <row r="1280">
      <c r="A1280" s="4" t="s">
        <v>1144</v>
      </c>
      <c r="B1280" s="16" t="s">
        <v>621</v>
      </c>
      <c r="C1280" s="21"/>
      <c r="D1280" s="21" t="s">
        <v>17</v>
      </c>
      <c r="E1280" s="21"/>
      <c r="F1280" s="21">
        <f>(0)</f>
      </c>
      <c r="G1280" s="21">
        <f>(C1280 * E1280 + C1280 * E1280 * F1280)</f>
      </c>
    </row>
    <row r="1281">
      <c r="A1281" s="4" t="s">
        <v>1145</v>
      </c>
      <c r="B1281" s="16" t="s">
        <v>625</v>
      </c>
      <c r="C1281" s="21"/>
      <c r="D1281" s="21" t="s">
        <v>17</v>
      </c>
      <c r="E1281" s="21"/>
      <c r="F1281" s="21">
        <f>(0)</f>
      </c>
      <c r="G1281" s="21">
        <f>(C1281 * E1281 + C1281 * E1281 * F1281)</f>
      </c>
    </row>
    <row r="1282">
      <c r="A1282" s="4" t="s">
        <v>1146</v>
      </c>
      <c r="B1282" s="16" t="s">
        <v>1147</v>
      </c>
      <c r="C1282" s="21"/>
      <c r="D1282" s="21" t="s">
        <v>17</v>
      </c>
      <c r="E1282" s="21"/>
      <c r="F1282" s="21">
        <f>(0)</f>
      </c>
      <c r="G1282" s="21">
        <f>(C1282 * E1282 + C1282 * E1282 * F1282)</f>
      </c>
    </row>
    <row r="1283">
      <c r="A1283" s="6"/>
      <c r="B1283" s="15" t="s">
        <v>1148</v>
      </c>
      <c r="C1283" s="23"/>
      <c r="D1283" s="23"/>
      <c r="E1283" s="23"/>
      <c r="F1283" s="23"/>
      <c r="G1283" s="23"/>
    </row>
    <row r="1284">
      <c r="A1284" s="4" t="s">
        <v>1149</v>
      </c>
      <c r="B1284" s="16" t="s">
        <v>1150</v>
      </c>
      <c r="C1284" s="21"/>
      <c r="D1284" s="21" t="s">
        <v>17</v>
      </c>
      <c r="E1284" s="21"/>
      <c r="F1284" s="21">
        <f>(0)</f>
      </c>
      <c r="G1284" s="21">
        <f>(C1284 * E1284 + C1284 * E1284 * F1284)</f>
      </c>
    </row>
    <row r="1285">
      <c r="A1285" s="4" t="s">
        <v>1151</v>
      </c>
      <c r="B1285" s="16" t="s">
        <v>1152</v>
      </c>
      <c r="C1285" s="21"/>
      <c r="D1285" s="21" t="s">
        <v>17</v>
      </c>
      <c r="E1285" s="21"/>
      <c r="F1285" s="21">
        <f>(0)</f>
      </c>
      <c r="G1285" s="21">
        <f>(C1285 * E1285 + C1285 * E1285 * F1285)</f>
      </c>
    </row>
    <row r="1286">
      <c r="A1286" s="4" t="s">
        <v>1153</v>
      </c>
      <c r="B1286" s="16" t="s">
        <v>1154</v>
      </c>
      <c r="C1286" s="21"/>
      <c r="D1286" s="21" t="s">
        <v>17</v>
      </c>
      <c r="E1286" s="21"/>
      <c r="F1286" s="21">
        <f>(0)</f>
      </c>
      <c r="G1286" s="21">
        <f>(C1286 * E1286 + C1286 * E1286 * F1286)</f>
      </c>
    </row>
    <row r="1287">
      <c r="A1287" s="4" t="s">
        <v>1155</v>
      </c>
      <c r="B1287" s="16" t="s">
        <v>1156</v>
      </c>
      <c r="C1287" s="21"/>
      <c r="D1287" s="21" t="s">
        <v>17</v>
      </c>
      <c r="E1287" s="21"/>
      <c r="F1287" s="21">
        <f>(0)</f>
      </c>
      <c r="G1287" s="21">
        <f>(C1287 * E1287 + C1287 * E1287 * F1287)</f>
      </c>
    </row>
    <row r="1288">
      <c r="A1288" s="4" t="s">
        <v>1157</v>
      </c>
      <c r="B1288" s="16" t="s">
        <v>1158</v>
      </c>
      <c r="C1288" s="21"/>
      <c r="D1288" s="21" t="s">
        <v>17</v>
      </c>
      <c r="E1288" s="21"/>
      <c r="F1288" s="21">
        <f>(0)</f>
      </c>
      <c r="G1288" s="21">
        <f>(C1288 * E1288 + C1288 * E1288 * F1288)</f>
      </c>
    </row>
    <row r="1289">
      <c r="A1289" s="4" t="s">
        <v>1159</v>
      </c>
      <c r="B1289" s="16" t="s">
        <v>1139</v>
      </c>
      <c r="C1289" s="21"/>
      <c r="D1289" s="21" t="s">
        <v>17</v>
      </c>
      <c r="E1289" s="21"/>
      <c r="F1289" s="21">
        <f>(0)</f>
      </c>
      <c r="G1289" s="21">
        <f>(C1289 * E1289 + C1289 * E1289 * F1289)</f>
      </c>
    </row>
    <row r="1290">
      <c r="A1290" s="6"/>
      <c r="B1290" s="15" t="s">
        <v>1160</v>
      </c>
      <c r="C1290" s="23"/>
      <c r="D1290" s="23"/>
      <c r="E1290" s="23"/>
      <c r="F1290" s="23"/>
      <c r="G1290" s="23"/>
    </row>
    <row r="1291">
      <c r="A1291" s="4" t="s">
        <v>1161</v>
      </c>
      <c r="B1291" s="16" t="s">
        <v>820</v>
      </c>
      <c r="C1291" s="21"/>
      <c r="D1291" s="21" t="s">
        <v>17</v>
      </c>
      <c r="E1291" s="21"/>
      <c r="F1291" s="21">
        <f>(0)</f>
      </c>
      <c r="G1291" s="21">
        <f>(C1291 * E1291 + C1291 * E1291 * F1291)</f>
      </c>
    </row>
    <row r="1292">
      <c r="A1292" s="4" t="s">
        <v>1162</v>
      </c>
      <c r="B1292" s="16" t="s">
        <v>1067</v>
      </c>
      <c r="C1292" s="21"/>
      <c r="D1292" s="21" t="s">
        <v>17</v>
      </c>
      <c r="E1292" s="21"/>
      <c r="F1292" s="21">
        <f>(0)</f>
      </c>
      <c r="G1292" s="21">
        <f>(C1292 * E1292 + C1292 * E1292 * F1292)</f>
      </c>
    </row>
    <row r="1293">
      <c r="A1293" s="4" t="s">
        <v>1163</v>
      </c>
      <c r="B1293" s="16" t="s">
        <v>818</v>
      </c>
      <c r="C1293" s="21"/>
      <c r="D1293" s="21" t="s">
        <v>17</v>
      </c>
      <c r="E1293" s="21"/>
      <c r="F1293" s="21">
        <f>(0)</f>
      </c>
      <c r="G1293" s="21">
        <f>(C1293 * E1293 + C1293 * E1293 * F1293)</f>
      </c>
    </row>
    <row r="1294">
      <c r="A1294" s="3"/>
      <c r="B1294" s="11" t="s">
        <v>42</v>
      </c>
      <c r="C1294" s="20"/>
      <c r="D1294" s="20"/>
      <c r="E1294" s="20"/>
      <c r="F1294" s="20"/>
      <c r="G1294" s="20"/>
    </row>
    <row r="1295">
      <c r="A1295" s="4" t="s">
        <v>1164</v>
      </c>
      <c r="B1295" s="12" t="s">
        <v>59</v>
      </c>
      <c r="C1295" s="21">
        <f>(1)*(1)*(1)*(1)*(1 + (0))</f>
      </c>
      <c r="D1295" s="21" t="s">
        <v>45</v>
      </c>
      <c r="E1295" s="21"/>
      <c r="F1295" s="21">
        <f>(0)</f>
      </c>
      <c r="G1295" s="21">
        <f>(C1295 * E1295 + C1295 * E1295 * F1295)</f>
      </c>
    </row>
    <row r="1296">
      <c r="A1296" s="4" t="s">
        <v>1165</v>
      </c>
      <c r="B1296" s="12" t="s">
        <v>1166</v>
      </c>
      <c r="C1296" s="21">
        <f>(1)*(1)*(1)*(1)*(1 + (0))</f>
      </c>
      <c r="D1296" s="21" t="s">
        <v>45</v>
      </c>
      <c r="E1296" s="21"/>
      <c r="F1296" s="21">
        <f>(0)</f>
      </c>
      <c r="G1296" s="21">
        <f>(C1296 * E1296 + C1296 * E1296 * F1296)</f>
      </c>
    </row>
    <row r="1297">
      <c r="A1297" s="4" t="s">
        <v>1167</v>
      </c>
      <c r="B1297" s="12" t="s">
        <v>1019</v>
      </c>
      <c r="C1297" s="21">
        <f>(1)*(1)*(1)*(1)*(1 + (0))</f>
      </c>
      <c r="D1297" s="21" t="s">
        <v>45</v>
      </c>
      <c r="E1297" s="21"/>
      <c r="F1297" s="21">
        <f>(0)</f>
      </c>
      <c r="G1297" s="21">
        <f>(C1297 * E1297 + C1297 * E1297 * F1297)</f>
      </c>
    </row>
    <row r="1298">
      <c r="A1298" s="4" t="s">
        <v>1168</v>
      </c>
      <c r="B1298" s="12" t="s">
        <v>1169</v>
      </c>
      <c r="C1298" s="21">
        <f>(1)*(1)*(1)*(1)*(1 + (0))</f>
      </c>
      <c r="D1298" s="21" t="s">
        <v>45</v>
      </c>
      <c r="E1298" s="21"/>
      <c r="F1298" s="21">
        <f>(0)</f>
      </c>
      <c r="G1298" s="21">
        <f>(C1298 * E1298 + C1298 * E1298 * F1298)</f>
      </c>
    </row>
    <row r="1299">
      <c r="A1299" s="4" t="s">
        <v>1170</v>
      </c>
      <c r="B1299" s="12" t="s">
        <v>61</v>
      </c>
      <c r="C1299" s="21">
        <f>(1)*(1)*(1)*(1)*(1 + (0))</f>
      </c>
      <c r="D1299" s="21" t="s">
        <v>45</v>
      </c>
      <c r="E1299" s="21"/>
      <c r="F1299" s="21">
        <f>(0)</f>
      </c>
      <c r="G1299" s="21">
        <f>(C1299 * E1299 + C1299 * E1299 * F1299)</f>
      </c>
    </row>
    <row r="1300">
      <c r="A1300" s="4" t="s">
        <v>1171</v>
      </c>
      <c r="B1300" s="12" t="s">
        <v>1172</v>
      </c>
      <c r="C1300" s="21">
        <f>(1)*(1)*(1)*(1)*(1 + (0))</f>
      </c>
      <c r="D1300" s="21" t="s">
        <v>45</v>
      </c>
      <c r="E1300" s="21"/>
      <c r="F1300" s="21">
        <f>(0)</f>
      </c>
      <c r="G1300" s="21">
        <f>(C1300 * E1300 + C1300 * E1300 * F1300)</f>
      </c>
    </row>
    <row r="1301">
      <c r="A1301" s="4" t="s">
        <v>1173</v>
      </c>
      <c r="B1301" s="12" t="s">
        <v>605</v>
      </c>
      <c r="C1301" s="21">
        <f>(1)*(1)*(1)*(1)*(1 + (0))</f>
      </c>
      <c r="D1301" s="21" t="s">
        <v>45</v>
      </c>
      <c r="E1301" s="21"/>
      <c r="F1301" s="21">
        <f>(0)</f>
      </c>
      <c r="G1301" s="21">
        <f>(C1301 * E1301 + C1301 * E1301 * F1301)</f>
      </c>
    </row>
    <row r="1302">
      <c r="A1302" s="4" t="s">
        <v>1174</v>
      </c>
      <c r="B1302" s="12" t="s">
        <v>251</v>
      </c>
      <c r="C1302" s="21">
        <f>(1)*(1)*(1)*(1)*(1 + (0))</f>
      </c>
      <c r="D1302" s="21" t="s">
        <v>45</v>
      </c>
      <c r="E1302" s="21"/>
      <c r="F1302" s="21">
        <f>(0)</f>
      </c>
      <c r="G1302" s="21">
        <f>(C1302 * E1302 + C1302 * E1302 * F1302)</f>
      </c>
    </row>
    <row r="1303">
      <c r="A1303" s="4" t="s">
        <v>1175</v>
      </c>
      <c r="B1303" s="12" t="s">
        <v>1176</v>
      </c>
      <c r="C1303" s="21">
        <f>(1)*(1)*(1)*(1)*(1 + (0))</f>
      </c>
      <c r="D1303" s="21" t="s">
        <v>45</v>
      </c>
      <c r="E1303" s="21"/>
      <c r="F1303" s="21">
        <f>(0)</f>
      </c>
      <c r="G1303" s="21">
        <f>(C1303 * E1303 + C1303 * E1303 * F1303)</f>
      </c>
    </row>
    <row r="1304">
      <c r="A1304" s="4" t="s">
        <v>1177</v>
      </c>
      <c r="B1304" s="12" t="s">
        <v>1178</v>
      </c>
      <c r="C1304" s="21">
        <f>(1)*(1)*(1)*(1)*(1 + (0))</f>
      </c>
      <c r="D1304" s="21" t="s">
        <v>45</v>
      </c>
      <c r="E1304" s="21"/>
      <c r="F1304" s="21">
        <f>(0)</f>
      </c>
      <c r="G1304" s="21">
        <f>(C1304 * E1304 + C1304 * E1304 * F1304)</f>
      </c>
    </row>
    <row r="1305">
      <c r="A1305" s="4" t="s">
        <v>1179</v>
      </c>
      <c r="B1305" s="12" t="s">
        <v>894</v>
      </c>
      <c r="C1305" s="21">
        <f>(1)*(1)*(1)*(1)*(1 + (0))</f>
      </c>
      <c r="D1305" s="21" t="s">
        <v>45</v>
      </c>
      <c r="E1305" s="21"/>
      <c r="F1305" s="21">
        <f>(0)</f>
      </c>
      <c r="G1305" s="21">
        <f>(C1305 * E1305 + C1305 * E1305 * F1305)</f>
      </c>
    </row>
    <row r="1306">
      <c r="A1306" s="4" t="s">
        <v>1180</v>
      </c>
      <c r="B1306" s="12" t="s">
        <v>1181</v>
      </c>
      <c r="C1306" s="21">
        <f>(1)*(1)*(1)*(1)*(1 + (0))</f>
      </c>
      <c r="D1306" s="21" t="s">
        <v>45</v>
      </c>
      <c r="E1306" s="21"/>
      <c r="F1306" s="21">
        <f>(0)</f>
      </c>
      <c r="G1306" s="21">
        <f>(C1306 * E1306 + C1306 * E1306 * F1306)</f>
      </c>
    </row>
    <row r="1307">
      <c r="A1307" s="4" t="s">
        <v>1182</v>
      </c>
      <c r="B1307" s="12" t="s">
        <v>1183</v>
      </c>
      <c r="C1307" s="21">
        <f>(1)*(1)*(1)*(1)*(1 + (0))</f>
      </c>
      <c r="D1307" s="21" t="s">
        <v>45</v>
      </c>
      <c r="E1307" s="21"/>
      <c r="F1307" s="21">
        <f>(0)</f>
      </c>
      <c r="G1307" s="21">
        <f>(C1307 * E1307 + C1307 * E1307 * F1307)</f>
      </c>
    </row>
    <row r="1308">
      <c r="A1308" s="4" t="s">
        <v>1184</v>
      </c>
      <c r="B1308" s="12" t="s">
        <v>834</v>
      </c>
      <c r="C1308" s="21">
        <f>(1)*(1)*(1)*(1)*(1 + (0))</f>
      </c>
      <c r="D1308" s="21" t="s">
        <v>45</v>
      </c>
      <c r="E1308" s="21"/>
      <c r="F1308" s="21">
        <f>(0)</f>
      </c>
      <c r="G1308" s="21">
        <f>(C1308 * E1308 + C1308 * E1308 * F1308)</f>
      </c>
    </row>
    <row r="1309">
      <c r="A1309" s="3"/>
      <c r="B1309" s="11" t="s">
        <v>1185</v>
      </c>
      <c r="C1309" s="20"/>
      <c r="D1309" s="20"/>
      <c r="E1309" s="20"/>
      <c r="F1309" s="20"/>
      <c r="G1309" s="20"/>
    </row>
    <row r="1310">
      <c r="A1310" s="5"/>
      <c r="B1310" s="13" t="s">
        <v>1186</v>
      </c>
      <c r="C1310" s="22"/>
      <c r="D1310" s="22"/>
      <c r="E1310" s="22"/>
      <c r="F1310" s="22"/>
      <c r="G1310" s="22"/>
    </row>
    <row r="1311">
      <c r="A1311" s="4"/>
      <c r="B1311" s="14" t="s">
        <v>841</v>
      </c>
      <c r="C1311" s="21">
        <f>(57)*(1)*(1)*(1)*(1 + (0))</f>
      </c>
      <c r="D1311" s="21" t="s">
        <v>9</v>
      </c>
      <c r="E1311" s="21"/>
      <c r="F1311" s="21">
        <f>(0)</f>
      </c>
      <c r="G1311" s="21">
        <f>(C1311 * E1311 + C1311 * E1311 * F1311)</f>
      </c>
    </row>
    <row r="1312">
      <c r="A1312" s="5"/>
      <c r="B1312" s="13" t="s">
        <v>1187</v>
      </c>
      <c r="C1312" s="22"/>
      <c r="D1312" s="22"/>
      <c r="E1312" s="22"/>
      <c r="F1312" s="22"/>
      <c r="G1312" s="22"/>
    </row>
    <row r="1313">
      <c r="A1313" s="4"/>
      <c r="B1313" s="14" t="s">
        <v>1188</v>
      </c>
      <c r="C1313" s="21">
        <f>(231)*(1)*(1)*(1)*(1 + (0))</f>
      </c>
      <c r="D1313" s="21" t="s">
        <v>9</v>
      </c>
      <c r="E1313" s="21"/>
      <c r="F1313" s="21">
        <f>(0)</f>
      </c>
      <c r="G1313" s="21">
        <f>(C1313 * E1313 + C1313 * E1313 * F1313)</f>
      </c>
    </row>
    <row r="1314">
      <c r="A1314" s="4"/>
      <c r="B1314" s="14" t="s">
        <v>841</v>
      </c>
      <c r="C1314" s="21">
        <f>(133)*(1)*(1)*(1)*(1 + (0))</f>
      </c>
      <c r="D1314" s="21" t="s">
        <v>9</v>
      </c>
      <c r="E1314" s="21"/>
      <c r="F1314" s="21">
        <f>(0)</f>
      </c>
      <c r="G1314" s="21">
        <f>(C1314 * E1314 + C1314 * E1314 * F1314)</f>
      </c>
    </row>
    <row r="1315">
      <c r="A1315" s="5"/>
      <c r="B1315" s="13" t="s">
        <v>1189</v>
      </c>
      <c r="C1315" s="22"/>
      <c r="D1315" s="22"/>
      <c r="E1315" s="22"/>
      <c r="F1315" s="22"/>
      <c r="G1315" s="22"/>
    </row>
    <row r="1316">
      <c r="A1316" s="4"/>
      <c r="B1316" s="14" t="s">
        <v>1188</v>
      </c>
      <c r="C1316" s="21">
        <f>(540)*(1)*(1)*(1)*(1 + (0))</f>
      </c>
      <c r="D1316" s="21" t="s">
        <v>9</v>
      </c>
      <c r="E1316" s="21"/>
      <c r="F1316" s="21">
        <f>(0)</f>
      </c>
      <c r="G1316" s="21">
        <f>(C1316 * E1316 + C1316 * E1316 * F1316)</f>
      </c>
    </row>
    <row r="1317">
      <c r="A1317" s="4"/>
      <c r="B1317" s="14" t="s">
        <v>841</v>
      </c>
      <c r="C1317" s="21">
        <f>(329)*(1)*(1)*(1)*(1 + (0))</f>
      </c>
      <c r="D1317" s="21" t="s">
        <v>9</v>
      </c>
      <c r="E1317" s="21"/>
      <c r="F1317" s="21">
        <f>(0)</f>
      </c>
      <c r="G1317" s="21">
        <f>(C1317 * E1317 + C1317 * E1317 * F1317)</f>
      </c>
    </row>
    <row r="1318">
      <c r="A1318" s="3"/>
      <c r="B1318" s="11" t="s">
        <v>1190</v>
      </c>
      <c r="C1318" s="20"/>
      <c r="D1318" s="20"/>
      <c r="E1318" s="20"/>
      <c r="F1318" s="20"/>
      <c r="G1318" s="20"/>
    </row>
    <row r="1319">
      <c r="A1319" s="5"/>
      <c r="B1319" s="13" t="s">
        <v>1191</v>
      </c>
      <c r="C1319" s="22"/>
      <c r="D1319" s="22"/>
      <c r="E1319" s="22"/>
      <c r="F1319" s="22"/>
      <c r="G1319" s="22"/>
    </row>
    <row r="1320">
      <c r="A1320" s="4"/>
      <c r="B1320" s="14" t="s">
        <v>1029</v>
      </c>
      <c r="C1320" s="21">
        <f>(6)*(1)*(1)*(1)*(1 + (0))</f>
      </c>
      <c r="D1320" s="21" t="s">
        <v>170</v>
      </c>
      <c r="E1320" s="21"/>
      <c r="F1320" s="21">
        <f>(0)</f>
      </c>
      <c r="G1320" s="21">
        <f>(C1320 * E1320 + C1320 * E1320 * F1320)</f>
      </c>
    </row>
    <row r="1321">
      <c r="A1321" s="5"/>
      <c r="B1321" s="13" t="s">
        <v>1192</v>
      </c>
      <c r="C1321" s="22"/>
      <c r="D1321" s="22"/>
      <c r="E1321" s="22"/>
      <c r="F1321" s="22"/>
      <c r="G1321" s="22"/>
    </row>
    <row r="1322">
      <c r="A1322" s="4"/>
      <c r="B1322" s="14" t="s">
        <v>1024</v>
      </c>
      <c r="C1322" s="21">
        <f>(1)*(1)*(1)*(1)*(1 + (0))</f>
      </c>
      <c r="D1322" s="21" t="s">
        <v>170</v>
      </c>
      <c r="E1322" s="21"/>
      <c r="F1322" s="21">
        <f>(0)</f>
      </c>
      <c r="G1322" s="21">
        <f>(C1322 * E1322 + C1322 * E1322 * F1322)</f>
      </c>
    </row>
    <row r="1323">
      <c r="A1323" s="5"/>
      <c r="B1323" s="13" t="s">
        <v>1193</v>
      </c>
      <c r="C1323" s="22"/>
      <c r="D1323" s="22"/>
      <c r="E1323" s="22"/>
      <c r="F1323" s="22"/>
      <c r="G1323" s="22"/>
    </row>
    <row r="1324">
      <c r="A1324" s="4"/>
      <c r="B1324" s="14" t="s">
        <v>1029</v>
      </c>
      <c r="C1324" s="21">
        <f>(1)*(1)*(1)*(1)*(1 + (0))</f>
      </c>
      <c r="D1324" s="21" t="s">
        <v>170</v>
      </c>
      <c r="E1324" s="21"/>
      <c r="F1324" s="21">
        <f>(0)</f>
      </c>
      <c r="G1324" s="21">
        <f>(C1324 * E1324 + C1324 * E1324 * F1324)</f>
      </c>
    </row>
    <row r="1325">
      <c r="A1325" s="5"/>
      <c r="B1325" s="13" t="s">
        <v>1194</v>
      </c>
      <c r="C1325" s="22"/>
      <c r="D1325" s="22"/>
      <c r="E1325" s="22"/>
      <c r="F1325" s="22"/>
      <c r="G1325" s="22"/>
    </row>
    <row r="1326">
      <c r="A1326" s="4"/>
      <c r="B1326" s="14" t="s">
        <v>1029</v>
      </c>
      <c r="C1326" s="21">
        <f>(6)*(1)*(1)*(1)*(1 + (0))</f>
      </c>
      <c r="D1326" s="21" t="s">
        <v>170</v>
      </c>
      <c r="E1326" s="21"/>
      <c r="F1326" s="21">
        <f>(0)</f>
      </c>
      <c r="G1326" s="21">
        <f>(C1326 * E1326 + C1326 * E1326 * F1326)</f>
      </c>
    </row>
    <row r="1327">
      <c r="A1327" s="5"/>
      <c r="B1327" s="13" t="s">
        <v>1195</v>
      </c>
      <c r="C1327" s="22"/>
      <c r="D1327" s="22"/>
      <c r="E1327" s="22"/>
      <c r="F1327" s="22"/>
      <c r="G1327" s="22"/>
    </row>
    <row r="1328">
      <c r="A1328" s="4"/>
      <c r="B1328" s="14" t="s">
        <v>1029</v>
      </c>
      <c r="C1328" s="21">
        <f>(1)*(1)*(1)*(1)*(1 + (0))</f>
      </c>
      <c r="D1328" s="21" t="s">
        <v>170</v>
      </c>
      <c r="E1328" s="21"/>
      <c r="F1328" s="21">
        <f>(0)</f>
      </c>
      <c r="G1328" s="21">
        <f>(C1328 * E1328 + C1328 * E1328 * F1328)</f>
      </c>
    </row>
    <row r="1329">
      <c r="A1329" s="5"/>
      <c r="B1329" s="13" t="s">
        <v>1196</v>
      </c>
      <c r="C1329" s="22"/>
      <c r="D1329" s="22"/>
      <c r="E1329" s="22"/>
      <c r="F1329" s="22"/>
      <c r="G1329" s="22"/>
    </row>
    <row r="1330">
      <c r="A1330" s="4"/>
      <c r="B1330" s="14" t="s">
        <v>1029</v>
      </c>
      <c r="C1330" s="21">
        <f>(4)*(1)*(1)*(1)*(1 + (0))</f>
      </c>
      <c r="D1330" s="21" t="s">
        <v>170</v>
      </c>
      <c r="E1330" s="21"/>
      <c r="F1330" s="21">
        <f>(0)</f>
      </c>
      <c r="G1330" s="21">
        <f>(C1330 * E1330 + C1330 * E1330 * F1330)</f>
      </c>
    </row>
    <row r="1331">
      <c r="A1331" s="5"/>
      <c r="B1331" s="13" t="s">
        <v>1197</v>
      </c>
      <c r="C1331" s="22"/>
      <c r="D1331" s="22"/>
      <c r="E1331" s="22"/>
      <c r="F1331" s="22"/>
      <c r="G1331" s="22"/>
    </row>
    <row r="1332">
      <c r="A1332" s="4"/>
      <c r="B1332" s="14" t="s">
        <v>1029</v>
      </c>
      <c r="C1332" s="21">
        <f>(1)*(1)*(1)*(1)*(1 + (0))</f>
      </c>
      <c r="D1332" s="21" t="s">
        <v>170</v>
      </c>
      <c r="E1332" s="21"/>
      <c r="F1332" s="21">
        <f>(0)</f>
      </c>
      <c r="G1332" s="21">
        <f>(C1332 * E1332 + C1332 * E1332 * F1332)</f>
      </c>
    </row>
    <row r="1333">
      <c r="A1333" s="2"/>
      <c r="B1333" s="10" t="s">
        <v>1198</v>
      </c>
      <c r="C1333" s="19"/>
      <c r="D1333" s="19"/>
      <c r="E1333" s="19"/>
      <c r="F1333" s="19"/>
      <c r="G1333" s="19"/>
    </row>
    <row r="1334">
      <c r="A1334" s="3"/>
      <c r="B1334" s="11" t="s">
        <v>22</v>
      </c>
      <c r="C1334" s="20"/>
      <c r="D1334" s="20"/>
      <c r="E1334" s="20"/>
      <c r="F1334" s="20"/>
      <c r="G1334" s="20"/>
    </row>
    <row r="1335">
      <c r="A1335" s="4"/>
      <c r="B1335" s="12" t="s">
        <v>1199</v>
      </c>
      <c r="C1335" s="21"/>
      <c r="D1335" s="21" t="s">
        <v>17</v>
      </c>
      <c r="E1335" s="21"/>
      <c r="F1335" s="21">
        <f>(0)</f>
      </c>
      <c r="G1335" s="21">
        <f>(C1335 * E1335 + C1335 * E1335 * F1335)</f>
      </c>
    </row>
    <row r="1336">
      <c r="A1336" s="4"/>
      <c r="B1336" s="12" t="s">
        <v>1200</v>
      </c>
      <c r="C1336" s="21"/>
      <c r="D1336" s="21" t="s">
        <v>17</v>
      </c>
      <c r="E1336" s="21"/>
      <c r="F1336" s="21">
        <f>(0)</f>
      </c>
      <c r="G1336" s="21">
        <f>(C1336 * E1336 + C1336 * E1336 * F1336)</f>
      </c>
    </row>
    <row r="1337">
      <c r="A1337" s="3"/>
      <c r="B1337" s="11" t="s">
        <v>14</v>
      </c>
      <c r="C1337" s="20"/>
      <c r="D1337" s="20"/>
      <c r="E1337" s="20"/>
      <c r="F1337" s="20"/>
      <c r="G1337" s="20"/>
    </row>
    <row r="1338">
      <c r="A1338" s="4" t="s">
        <v>1201</v>
      </c>
      <c r="B1338" s="12" t="s">
        <v>16</v>
      </c>
      <c r="C1338" s="21"/>
      <c r="D1338" s="21" t="s">
        <v>17</v>
      </c>
      <c r="E1338" s="21"/>
      <c r="F1338" s="21">
        <f>(0)</f>
      </c>
      <c r="G1338" s="21">
        <f>(C1338 * E1338 + C1338 * E1338 * F1338)</f>
      </c>
    </row>
    <row r="1339">
      <c r="A1339" s="4" t="s">
        <v>1202</v>
      </c>
      <c r="B1339" s="12" t="s">
        <v>19</v>
      </c>
      <c r="C1339" s="21"/>
      <c r="D1339" s="21" t="s">
        <v>17</v>
      </c>
      <c r="E1339" s="21"/>
      <c r="F1339" s="21">
        <f>(0)</f>
      </c>
      <c r="G1339" s="21">
        <f>(C1339 * E1339 + C1339 * E1339 * F1339)</f>
      </c>
    </row>
    <row r="1340">
      <c r="A1340" s="3"/>
      <c r="B1340" s="11" t="s">
        <v>24</v>
      </c>
      <c r="C1340" s="20"/>
      <c r="D1340" s="20"/>
      <c r="E1340" s="20"/>
      <c r="F1340" s="20"/>
      <c r="G1340" s="20"/>
    </row>
    <row r="1341">
      <c r="A1341" s="5"/>
      <c r="B1341" s="13" t="s">
        <v>25</v>
      </c>
      <c r="C1341" s="22"/>
      <c r="D1341" s="22"/>
      <c r="E1341" s="22"/>
      <c r="F1341" s="22"/>
      <c r="G1341" s="22"/>
    </row>
    <row r="1342">
      <c r="A1342" s="4" t="s">
        <v>1203</v>
      </c>
      <c r="B1342" s="14" t="s">
        <v>1204</v>
      </c>
      <c r="C1342" s="21"/>
      <c r="D1342" s="21" t="s">
        <v>17</v>
      </c>
      <c r="E1342" s="21"/>
      <c r="F1342" s="21">
        <f>(0)</f>
      </c>
      <c r="G1342" s="21">
        <f>(C1342 * E1342 + C1342 * E1342 * F1342)</f>
      </c>
    </row>
    <row r="1343">
      <c r="A1343" s="4" t="s">
        <v>1205</v>
      </c>
      <c r="B1343" s="14" t="s">
        <v>619</v>
      </c>
      <c r="C1343" s="21"/>
      <c r="D1343" s="21" t="s">
        <v>17</v>
      </c>
      <c r="E1343" s="21"/>
      <c r="F1343" s="21">
        <f>(0)</f>
      </c>
      <c r="G1343" s="21">
        <f>(C1343 * E1343 + C1343 * E1343 * F1343)</f>
      </c>
    </row>
    <row r="1344">
      <c r="A1344" s="4" t="s">
        <v>1206</v>
      </c>
      <c r="B1344" s="14" t="s">
        <v>1207</v>
      </c>
      <c r="C1344" s="21"/>
      <c r="D1344" s="21" t="s">
        <v>17</v>
      </c>
      <c r="E1344" s="21"/>
      <c r="F1344" s="21">
        <f>(0)</f>
      </c>
      <c r="G1344" s="21">
        <f>(C1344 * E1344 + C1344 * E1344 * F1344)</f>
      </c>
    </row>
    <row r="1345">
      <c r="A1345" s="4" t="s">
        <v>1208</v>
      </c>
      <c r="B1345" s="14" t="s">
        <v>1209</v>
      </c>
      <c r="C1345" s="21"/>
      <c r="D1345" s="21" t="s">
        <v>17</v>
      </c>
      <c r="E1345" s="21"/>
      <c r="F1345" s="21">
        <f>(0)</f>
      </c>
      <c r="G1345" s="21">
        <f>(C1345 * E1345 + C1345 * E1345 * F1345)</f>
      </c>
    </row>
    <row r="1346">
      <c r="A1346" s="4" t="s">
        <v>1210</v>
      </c>
      <c r="B1346" s="14" t="s">
        <v>1211</v>
      </c>
      <c r="C1346" s="21"/>
      <c r="D1346" s="21" t="s">
        <v>17</v>
      </c>
      <c r="E1346" s="21"/>
      <c r="F1346" s="21">
        <f>(0)</f>
      </c>
      <c r="G1346" s="21">
        <f>(C1346 * E1346 + C1346 * E1346 * F1346)</f>
      </c>
    </row>
    <row r="1347">
      <c r="A1347" s="4" t="s">
        <v>1212</v>
      </c>
      <c r="B1347" s="14" t="s">
        <v>1213</v>
      </c>
      <c r="C1347" s="21"/>
      <c r="D1347" s="21" t="s">
        <v>17</v>
      </c>
      <c r="E1347" s="21"/>
      <c r="F1347" s="21">
        <f>(0)</f>
      </c>
      <c r="G1347" s="21">
        <f>(C1347 * E1347 + C1347 * E1347 * F1347)</f>
      </c>
    </row>
    <row r="1348">
      <c r="A1348" s="4" t="s">
        <v>1214</v>
      </c>
      <c r="B1348" s="14" t="s">
        <v>1215</v>
      </c>
      <c r="C1348" s="21"/>
      <c r="D1348" s="21" t="s">
        <v>17</v>
      </c>
      <c r="E1348" s="21"/>
      <c r="F1348" s="21">
        <f>(0)</f>
      </c>
      <c r="G1348" s="21">
        <f>(C1348 * E1348 + C1348 * E1348 * F1348)</f>
      </c>
    </row>
    <row r="1349">
      <c r="A1349" s="4" t="s">
        <v>1216</v>
      </c>
      <c r="B1349" s="14" t="s">
        <v>1217</v>
      </c>
      <c r="C1349" s="21"/>
      <c r="D1349" s="21" t="s">
        <v>17</v>
      </c>
      <c r="E1349" s="21"/>
      <c r="F1349" s="21">
        <f>(0)</f>
      </c>
      <c r="G1349" s="21">
        <f>(C1349 * E1349 + C1349 * E1349 * F1349)</f>
      </c>
    </row>
    <row r="1350">
      <c r="A1350" s="4" t="s">
        <v>1218</v>
      </c>
      <c r="B1350" s="14" t="s">
        <v>1219</v>
      </c>
      <c r="C1350" s="21"/>
      <c r="D1350" s="21" t="s">
        <v>17</v>
      </c>
      <c r="E1350" s="21"/>
      <c r="F1350" s="21">
        <f>(0)</f>
      </c>
      <c r="G1350" s="21">
        <f>(C1350 * E1350 + C1350 * E1350 * F1350)</f>
      </c>
    </row>
    <row r="1351">
      <c r="A1351" s="4" t="s">
        <v>1220</v>
      </c>
      <c r="B1351" s="14" t="s">
        <v>1221</v>
      </c>
      <c r="C1351" s="21"/>
      <c r="D1351" s="21" t="s">
        <v>17</v>
      </c>
      <c r="E1351" s="21"/>
      <c r="F1351" s="21">
        <f>(0)</f>
      </c>
      <c r="G1351" s="21">
        <f>(C1351 * E1351 + C1351 * E1351 * F1351)</f>
      </c>
    </row>
    <row r="1352">
      <c r="A1352" s="4" t="s">
        <v>1222</v>
      </c>
      <c r="B1352" s="14" t="s">
        <v>1223</v>
      </c>
      <c r="C1352" s="21"/>
      <c r="D1352" s="21" t="s">
        <v>17</v>
      </c>
      <c r="E1352" s="21"/>
      <c r="F1352" s="21">
        <f>(0)</f>
      </c>
      <c r="G1352" s="21">
        <f>(C1352 * E1352 + C1352 * E1352 * F1352)</f>
      </c>
    </row>
    <row r="1353">
      <c r="A1353" s="4" t="s">
        <v>1224</v>
      </c>
      <c r="B1353" s="14" t="s">
        <v>1011</v>
      </c>
      <c r="C1353" s="21"/>
      <c r="D1353" s="21" t="s">
        <v>17</v>
      </c>
      <c r="E1353" s="21"/>
      <c r="F1353" s="21">
        <f>(0)</f>
      </c>
      <c r="G1353" s="21">
        <f>(C1353 * E1353 + C1353 * E1353 * F1353)</f>
      </c>
    </row>
    <row r="1354">
      <c r="A1354" s="4" t="s">
        <v>1225</v>
      </c>
      <c r="B1354" s="14" t="s">
        <v>194</v>
      </c>
      <c r="C1354" s="21"/>
      <c r="D1354" s="21" t="s">
        <v>17</v>
      </c>
      <c r="E1354" s="21"/>
      <c r="F1354" s="21">
        <f>(0)</f>
      </c>
      <c r="G1354" s="21">
        <f>(C1354 * E1354 + C1354 * E1354 * F1354)</f>
      </c>
    </row>
    <row r="1355">
      <c r="A1355" s="3"/>
      <c r="B1355" s="11" t="s">
        <v>42</v>
      </c>
      <c r="C1355" s="20"/>
      <c r="D1355" s="20"/>
      <c r="E1355" s="20"/>
      <c r="F1355" s="20"/>
      <c r="G1355" s="20"/>
    </row>
    <row r="1356">
      <c r="A1356" s="4" t="s">
        <v>1226</v>
      </c>
      <c r="B1356" s="12" t="s">
        <v>1227</v>
      </c>
      <c r="C1356" s="21">
        <f>(1)*(1)*(1)*(1)*(1 + (0))</f>
      </c>
      <c r="D1356" s="21" t="s">
        <v>45</v>
      </c>
      <c r="E1356" s="21"/>
      <c r="F1356" s="21">
        <f>(0)</f>
      </c>
      <c r="G1356" s="21">
        <f>(C1356 * E1356 + C1356 * E1356 * F1356)</f>
      </c>
    </row>
    <row r="1357">
      <c r="A1357" s="4" t="s">
        <v>1228</v>
      </c>
      <c r="B1357" s="12" t="s">
        <v>207</v>
      </c>
      <c r="C1357" s="21">
        <f>(1)*(1)*(1)*(1)*(1 + (0))</f>
      </c>
      <c r="D1357" s="21" t="s">
        <v>45</v>
      </c>
      <c r="E1357" s="21"/>
      <c r="F1357" s="21">
        <f>(0)</f>
      </c>
      <c r="G1357" s="21">
        <f>(C1357 * E1357 + C1357 * E1357 * F1357)</f>
      </c>
    </row>
    <row r="1358">
      <c r="A1358" s="4" t="s">
        <v>1229</v>
      </c>
      <c r="B1358" s="12" t="s">
        <v>130</v>
      </c>
      <c r="C1358" s="21">
        <f>(1)*(1)*(1)*(1)*(1 + (0))</f>
      </c>
      <c r="D1358" s="21" t="s">
        <v>45</v>
      </c>
      <c r="E1358" s="21"/>
      <c r="F1358" s="21">
        <f>(0)</f>
      </c>
      <c r="G1358" s="21">
        <f>(C1358 * E1358 + C1358 * E1358 * F1358)</f>
      </c>
    </row>
    <row r="1359">
      <c r="A1359" s="4" t="s">
        <v>1230</v>
      </c>
      <c r="B1359" s="12" t="s">
        <v>59</v>
      </c>
      <c r="C1359" s="21">
        <f>(1)*(1)*(1)*(1)*(1 + (0))</f>
      </c>
      <c r="D1359" s="21" t="s">
        <v>45</v>
      </c>
      <c r="E1359" s="21"/>
      <c r="F1359" s="21">
        <f>(0)</f>
      </c>
      <c r="G1359" s="21">
        <f>(C1359 * E1359 + C1359 * E1359 * F1359)</f>
      </c>
    </row>
    <row r="1360">
      <c r="A1360" s="4" t="s">
        <v>1231</v>
      </c>
      <c r="B1360" s="12" t="s">
        <v>1232</v>
      </c>
      <c r="C1360" s="21">
        <f>(1)*(1)*(1)*(1)*(1 + (0))</f>
      </c>
      <c r="D1360" s="21" t="s">
        <v>45</v>
      </c>
      <c r="E1360" s="21"/>
      <c r="F1360" s="21">
        <f>(0)</f>
      </c>
      <c r="G1360" s="21">
        <f>(C1360 * E1360 + C1360 * E1360 * F1360)</f>
      </c>
    </row>
    <row r="1361">
      <c r="A1361" s="4" t="s">
        <v>1233</v>
      </c>
      <c r="B1361" s="12" t="s">
        <v>1183</v>
      </c>
      <c r="C1361" s="21">
        <f>(1)*(1)*(1)*(1)*(1 + (0))</f>
      </c>
      <c r="D1361" s="21" t="s">
        <v>45</v>
      </c>
      <c r="E1361" s="21"/>
      <c r="F1361" s="21">
        <f>(0)</f>
      </c>
      <c r="G1361" s="21">
        <f>(C1361 * E1361 + C1361 * E1361 * F1361)</f>
      </c>
    </row>
    <row r="1362">
      <c r="A1362" s="4" t="s">
        <v>1234</v>
      </c>
      <c r="B1362" s="12" t="s">
        <v>1019</v>
      </c>
      <c r="C1362" s="21">
        <f>(1)*(1)*(1)*(1)*(1 + (0))</f>
      </c>
      <c r="D1362" s="21" t="s">
        <v>45</v>
      </c>
      <c r="E1362" s="21"/>
      <c r="F1362" s="21">
        <f>(0)</f>
      </c>
      <c r="G1362" s="21">
        <f>(C1362 * E1362 + C1362 * E1362 * F1362)</f>
      </c>
    </row>
    <row r="1363">
      <c r="A1363" s="4" t="s">
        <v>1235</v>
      </c>
      <c r="B1363" s="12" t="s">
        <v>251</v>
      </c>
      <c r="C1363" s="21">
        <f>(1)*(1)*(1)*(1)*(1 + (0))</f>
      </c>
      <c r="D1363" s="21" t="s">
        <v>45</v>
      </c>
      <c r="E1363" s="21"/>
      <c r="F1363" s="21">
        <f>(0)</f>
      </c>
      <c r="G1363" s="21">
        <f>(C1363 * E1363 + C1363 * E1363 * F1363)</f>
      </c>
    </row>
    <row r="1364">
      <c r="A1364" s="4" t="s">
        <v>1236</v>
      </c>
      <c r="B1364" s="12" t="s">
        <v>832</v>
      </c>
      <c r="C1364" s="21">
        <f>(1)*(1)*(1)*(1)*(1 + (0))</f>
      </c>
      <c r="D1364" s="21" t="s">
        <v>45</v>
      </c>
      <c r="E1364" s="21"/>
      <c r="F1364" s="21">
        <f>(0)</f>
      </c>
      <c r="G1364" s="21">
        <f>(C1364 * E1364 + C1364 * E1364 * F1364)</f>
      </c>
    </row>
    <row r="1365">
      <c r="A1365" s="3"/>
      <c r="B1365" s="11" t="s">
        <v>1237</v>
      </c>
      <c r="C1365" s="20"/>
      <c r="D1365" s="20"/>
      <c r="E1365" s="20"/>
      <c r="F1365" s="20"/>
      <c r="G1365" s="20"/>
    </row>
    <row r="1366">
      <c r="A1366" s="5"/>
      <c r="B1366" s="13" t="s">
        <v>1238</v>
      </c>
      <c r="C1366" s="22"/>
      <c r="D1366" s="22"/>
      <c r="E1366" s="22"/>
      <c r="F1366" s="22"/>
      <c r="G1366" s="22"/>
    </row>
    <row r="1367">
      <c r="A1367" s="6"/>
      <c r="B1367" s="15" t="s">
        <v>1239</v>
      </c>
      <c r="C1367" s="23"/>
      <c r="D1367" s="23"/>
      <c r="E1367" s="23"/>
      <c r="F1367" s="23"/>
      <c r="G1367" s="23"/>
    </row>
    <row r="1368">
      <c r="A1368" s="4"/>
      <c r="B1368" s="16" t="s">
        <v>1240</v>
      </c>
      <c r="C1368" s="21">
        <f>(1)*(1)*(1)*(1)*(1 + (0))</f>
      </c>
      <c r="D1368" s="21" t="s">
        <v>170</v>
      </c>
      <c r="E1368" s="21"/>
      <c r="F1368" s="21">
        <f>(0)</f>
      </c>
      <c r="G1368" s="21">
        <f>(C1368 * E1368 + C1368 * E1368 * F1368)</f>
      </c>
    </row>
    <row r="1369">
      <c r="A1369" s="4"/>
      <c r="B1369" s="16" t="s">
        <v>1241</v>
      </c>
      <c r="C1369" s="21">
        <f>(1)*(1)*(1)*(1)*(1 + (0))</f>
      </c>
      <c r="D1369" s="21" t="s">
        <v>170</v>
      </c>
      <c r="E1369" s="21"/>
      <c r="F1369" s="21">
        <f>(0)</f>
      </c>
      <c r="G1369" s="21">
        <f>(C1369 * E1369 + C1369 * E1369 * F1369)</f>
      </c>
    </row>
    <row r="1370">
      <c r="A1370" s="6"/>
      <c r="B1370" s="15" t="s">
        <v>1242</v>
      </c>
      <c r="C1370" s="23"/>
      <c r="D1370" s="23"/>
      <c r="E1370" s="23"/>
      <c r="F1370" s="23"/>
      <c r="G1370" s="23"/>
    </row>
    <row r="1371">
      <c r="A1371" s="4"/>
      <c r="B1371" s="16" t="s">
        <v>1243</v>
      </c>
      <c r="C1371" s="21">
        <f>(1)*(1)*(1)*(1)*(1 + (0))</f>
      </c>
      <c r="D1371" s="21" t="s">
        <v>170</v>
      </c>
      <c r="E1371" s="21"/>
      <c r="F1371" s="21">
        <f>(0)</f>
      </c>
      <c r="G1371" s="21">
        <f>(C1371 * E1371 + C1371 * E1371 * F1371)</f>
      </c>
    </row>
    <row r="1372">
      <c r="A1372" s="6"/>
      <c r="B1372" s="15" t="s">
        <v>1244</v>
      </c>
      <c r="C1372" s="23"/>
      <c r="D1372" s="23"/>
      <c r="E1372" s="23"/>
      <c r="F1372" s="23"/>
      <c r="G1372" s="23"/>
    </row>
    <row r="1373">
      <c r="A1373" s="4"/>
      <c r="B1373" s="16" t="s">
        <v>1245</v>
      </c>
      <c r="C1373" s="21">
        <f>(1)*(1)*(1)*(1)*(1 + (0))</f>
      </c>
      <c r="D1373" s="21" t="s">
        <v>170</v>
      </c>
      <c r="E1373" s="21"/>
      <c r="F1373" s="21">
        <f>(0)</f>
      </c>
      <c r="G1373" s="21">
        <f>(C1373 * E1373 + C1373 * E1373 * F1373)</f>
      </c>
    </row>
    <row r="1374">
      <c r="A1374" s="4"/>
      <c r="B1374" s="16" t="s">
        <v>1246</v>
      </c>
      <c r="C1374" s="21">
        <f>(1)*(1)*(1)*(1)*(1 + (0))</f>
      </c>
      <c r="D1374" s="21" t="s">
        <v>170</v>
      </c>
      <c r="E1374" s="21"/>
      <c r="F1374" s="21">
        <f>(0)</f>
      </c>
      <c r="G1374" s="21">
        <f>(C1374 * E1374 + C1374 * E1374 * F1374)</f>
      </c>
    </row>
    <row r="1375">
      <c r="A1375" s="4"/>
      <c r="B1375" s="16" t="s">
        <v>1247</v>
      </c>
      <c r="C1375" s="21">
        <f>(1)*(1)*(1)*(1)*(1 + (0))</f>
      </c>
      <c r="D1375" s="21" t="s">
        <v>170</v>
      </c>
      <c r="E1375" s="21"/>
      <c r="F1375" s="21">
        <f>(0)</f>
      </c>
      <c r="G1375" s="21">
        <f>(C1375 * E1375 + C1375 * E1375 * F1375)</f>
      </c>
    </row>
    <row r="1376">
      <c r="A1376" s="4"/>
      <c r="B1376" s="16" t="s">
        <v>1248</v>
      </c>
      <c r="C1376" s="21">
        <f>(1)*(1)*(1)*(1)*(1 + (0))</f>
      </c>
      <c r="D1376" s="21" t="s">
        <v>170</v>
      </c>
      <c r="E1376" s="21"/>
      <c r="F1376" s="21">
        <f>(0)</f>
      </c>
      <c r="G1376" s="21">
        <f>(C1376 * E1376 + C1376 * E1376 * F1376)</f>
      </c>
    </row>
    <row r="1377">
      <c r="A1377" s="4"/>
      <c r="B1377" s="16" t="s">
        <v>1249</v>
      </c>
      <c r="C1377" s="21">
        <f>(2)*(1)*(1)*(1)*(1 + (0))</f>
      </c>
      <c r="D1377" s="21" t="s">
        <v>170</v>
      </c>
      <c r="E1377" s="21"/>
      <c r="F1377" s="21">
        <f>(0)</f>
      </c>
      <c r="G1377" s="21">
        <f>(C1377 * E1377 + C1377 * E1377 * F1377)</f>
      </c>
    </row>
    <row r="1378">
      <c r="A1378" s="4"/>
      <c r="B1378" s="16" t="s">
        <v>1250</v>
      </c>
      <c r="C1378" s="21">
        <f>(1)*(1)*(1)*(1)*(1 + (0))</f>
      </c>
      <c r="D1378" s="21" t="s">
        <v>170</v>
      </c>
      <c r="E1378" s="21"/>
      <c r="F1378" s="21">
        <f>(0)</f>
      </c>
      <c r="G1378" s="21">
        <f>(C1378 * E1378 + C1378 * E1378 * F1378)</f>
      </c>
    </row>
    <row r="1379">
      <c r="A1379" s="4"/>
      <c r="B1379" s="16" t="s">
        <v>1251</v>
      </c>
      <c r="C1379" s="21">
        <f>(1)*(1)*(1)*(1)*(1 + (0))</f>
      </c>
      <c r="D1379" s="21" t="s">
        <v>170</v>
      </c>
      <c r="E1379" s="21"/>
      <c r="F1379" s="21">
        <f>(0)</f>
      </c>
      <c r="G1379" s="21">
        <f>(C1379 * E1379 + C1379 * E1379 * F1379)</f>
      </c>
    </row>
    <row r="1380">
      <c r="A1380" s="6"/>
      <c r="B1380" s="15" t="s">
        <v>1252</v>
      </c>
      <c r="C1380" s="23"/>
      <c r="D1380" s="23"/>
      <c r="E1380" s="23"/>
      <c r="F1380" s="23"/>
      <c r="G1380" s="23"/>
    </row>
    <row r="1381">
      <c r="A1381" s="4"/>
      <c r="B1381" s="16" t="s">
        <v>1253</v>
      </c>
      <c r="C1381" s="21">
        <f>(5)*(1)*(1)*(1)*(1 + (0))</f>
      </c>
      <c r="D1381" s="21" t="s">
        <v>170</v>
      </c>
      <c r="E1381" s="21"/>
      <c r="F1381" s="21">
        <f>(0)</f>
      </c>
      <c r="G1381" s="21">
        <f>(C1381 * E1381 + C1381 * E1381 * F1381)</f>
      </c>
    </row>
    <row r="1382">
      <c r="A1382" s="6"/>
      <c r="B1382" s="15" t="s">
        <v>1254</v>
      </c>
      <c r="C1382" s="23"/>
      <c r="D1382" s="23"/>
      <c r="E1382" s="23"/>
      <c r="F1382" s="23"/>
      <c r="G1382" s="23"/>
    </row>
    <row r="1383">
      <c r="A1383" s="4"/>
      <c r="B1383" s="16" t="s">
        <v>1255</v>
      </c>
      <c r="C1383" s="21">
        <f>(1)*(1)*(1)*(1)*(1 + (0))</f>
      </c>
      <c r="D1383" s="21" t="s">
        <v>170</v>
      </c>
      <c r="E1383" s="21"/>
      <c r="F1383" s="21">
        <f>(0)</f>
      </c>
      <c r="G1383" s="21">
        <f>(C1383 * E1383 + C1383 * E1383 * F1383)</f>
      </c>
    </row>
    <row r="1384">
      <c r="A1384" s="4"/>
      <c r="B1384" s="16" t="s">
        <v>1256</v>
      </c>
      <c r="C1384" s="21">
        <f>(6)*(1)*(1)*(1)*(1 + (0))</f>
      </c>
      <c r="D1384" s="21" t="s">
        <v>170</v>
      </c>
      <c r="E1384" s="21"/>
      <c r="F1384" s="21">
        <f>(0)</f>
      </c>
      <c r="G1384" s="21">
        <f>(C1384 * E1384 + C1384 * E1384 * F1384)</f>
      </c>
    </row>
    <row r="1385">
      <c r="A1385" s="5"/>
      <c r="B1385" s="13" t="s">
        <v>1257</v>
      </c>
      <c r="C1385" s="22"/>
      <c r="D1385" s="22"/>
      <c r="E1385" s="22"/>
      <c r="F1385" s="22"/>
      <c r="G1385" s="22"/>
    </row>
    <row r="1386">
      <c r="A1386" s="6"/>
      <c r="B1386" s="15" t="s">
        <v>1254</v>
      </c>
      <c r="C1386" s="23"/>
      <c r="D1386" s="23"/>
      <c r="E1386" s="23"/>
      <c r="F1386" s="23"/>
      <c r="G1386" s="23"/>
    </row>
    <row r="1387">
      <c r="A1387" s="4"/>
      <c r="B1387" s="16" t="s">
        <v>1258</v>
      </c>
      <c r="C1387" s="21">
        <f>(4)*(1)*(1)*(1)*(1 + (0))</f>
      </c>
      <c r="D1387" s="21" t="s">
        <v>170</v>
      </c>
      <c r="E1387" s="21"/>
      <c r="F1387" s="21">
        <f>(0)</f>
      </c>
      <c r="G1387" s="21">
        <f>(C1387 * E1387 + C1387 * E1387 * F1387)</f>
      </c>
    </row>
    <row r="1388">
      <c r="A1388" s="4"/>
      <c r="B1388" s="16" t="s">
        <v>1259</v>
      </c>
      <c r="C1388" s="21">
        <f>(1)*(1)*(1)*(1)*(1 + (0))</f>
      </c>
      <c r="D1388" s="21" t="s">
        <v>170</v>
      </c>
      <c r="E1388" s="21"/>
      <c r="F1388" s="21">
        <f>(0)</f>
      </c>
      <c r="G1388" s="21">
        <f>(C1388 * E1388 + C1388 * E1388 * F1388)</f>
      </c>
    </row>
    <row r="1389">
      <c r="A1389" s="4"/>
      <c r="B1389" s="16" t="s">
        <v>1260</v>
      </c>
      <c r="C1389" s="21">
        <f>(1)*(1)*(1)*(1)*(1 + (0))</f>
      </c>
      <c r="D1389" s="21" t="s">
        <v>170</v>
      </c>
      <c r="E1389" s="21"/>
      <c r="F1389" s="21">
        <f>(0)</f>
      </c>
      <c r="G1389" s="21">
        <f>(C1389 * E1389 + C1389 * E1389 * F1389)</f>
      </c>
    </row>
    <row r="1390">
      <c r="A1390" s="4"/>
      <c r="B1390" s="16" t="s">
        <v>1261</v>
      </c>
      <c r="C1390" s="21">
        <f>(1)*(1)*(1)*(1)*(1 + (0))</f>
      </c>
      <c r="D1390" s="21" t="s">
        <v>170</v>
      </c>
      <c r="E1390" s="21"/>
      <c r="F1390" s="21">
        <f>(0)</f>
      </c>
      <c r="G1390" s="21">
        <f>(C1390 * E1390 + C1390 * E1390 * F1390)</f>
      </c>
    </row>
    <row r="1391">
      <c r="A1391" s="6"/>
      <c r="B1391" s="15" t="s">
        <v>1244</v>
      </c>
      <c r="C1391" s="23"/>
      <c r="D1391" s="23"/>
      <c r="E1391" s="23"/>
      <c r="F1391" s="23"/>
      <c r="G1391" s="23"/>
    </row>
    <row r="1392">
      <c r="A1392" s="4"/>
      <c r="B1392" s="16" t="s">
        <v>1251</v>
      </c>
      <c r="C1392" s="21">
        <f>(1)*(1)*(1)*(1)*(1 + (0))</f>
      </c>
      <c r="D1392" s="21" t="s">
        <v>170</v>
      </c>
      <c r="E1392" s="21"/>
      <c r="F1392" s="21">
        <f>(0)</f>
      </c>
      <c r="G1392" s="21">
        <f>(C1392 * E1392 + C1392 * E1392 * F1392)</f>
      </c>
    </row>
    <row r="1393">
      <c r="A1393" s="4"/>
      <c r="B1393" s="16" t="s">
        <v>1262</v>
      </c>
      <c r="C1393" s="21">
        <f>(3)*(1)*(1)*(1)*(1 + (0))</f>
      </c>
      <c r="D1393" s="21" t="s">
        <v>170</v>
      </c>
      <c r="E1393" s="21"/>
      <c r="F1393" s="21">
        <f>(0)</f>
      </c>
      <c r="G1393" s="21">
        <f>(C1393 * E1393 + C1393 * E1393 * F1393)</f>
      </c>
    </row>
    <row r="1394">
      <c r="A1394" s="4"/>
      <c r="B1394" s="16" t="s">
        <v>1263</v>
      </c>
      <c r="C1394" s="21">
        <f>(1)*(1)*(1)*(1)*(1 + (0))</f>
      </c>
      <c r="D1394" s="21" t="s">
        <v>170</v>
      </c>
      <c r="E1394" s="21"/>
      <c r="F1394" s="21">
        <f>(0)</f>
      </c>
      <c r="G1394" s="21">
        <f>(C1394 * E1394 + C1394 * E1394 * F1394)</f>
      </c>
    </row>
    <row r="1395">
      <c r="A1395" s="4"/>
      <c r="B1395" s="16" t="s">
        <v>1264</v>
      </c>
      <c r="C1395" s="21">
        <f>(1)*(1)*(1)*(1)*(1 + (0))</f>
      </c>
      <c r="D1395" s="21" t="s">
        <v>170</v>
      </c>
      <c r="E1395" s="21"/>
      <c r="F1395" s="21">
        <f>(0)</f>
      </c>
      <c r="G1395" s="21">
        <f>(C1395 * E1395 + C1395 * E1395 * F1395)</f>
      </c>
    </row>
    <row r="1396">
      <c r="A1396" s="4"/>
      <c r="B1396" s="16" t="s">
        <v>1265</v>
      </c>
      <c r="C1396" s="21">
        <f>(1)*(1)*(1)*(1)*(1 + (0))</f>
      </c>
      <c r="D1396" s="21" t="s">
        <v>170</v>
      </c>
      <c r="E1396" s="21"/>
      <c r="F1396" s="21">
        <f>(0)</f>
      </c>
      <c r="G1396" s="21">
        <f>(C1396 * E1396 + C1396 * E1396 * F1396)</f>
      </c>
    </row>
    <row r="1397">
      <c r="A1397" s="6"/>
      <c r="B1397" s="15" t="s">
        <v>1266</v>
      </c>
      <c r="C1397" s="23"/>
      <c r="D1397" s="23"/>
      <c r="E1397" s="23"/>
      <c r="F1397" s="23"/>
      <c r="G1397" s="23"/>
    </row>
    <row r="1398">
      <c r="A1398" s="4"/>
      <c r="B1398" s="16" t="s">
        <v>1267</v>
      </c>
      <c r="C1398" s="21">
        <f>(1)*(1)*(1)*(1)*(1 + (0))</f>
      </c>
      <c r="D1398" s="21" t="s">
        <v>170</v>
      </c>
      <c r="E1398" s="21"/>
      <c r="F1398" s="21">
        <f>(0)</f>
      </c>
      <c r="G1398" s="21">
        <f>(C1398 * E1398 + C1398 * E1398 * F1398)</f>
      </c>
    </row>
    <row r="1399">
      <c r="A1399" s="3"/>
      <c r="B1399" s="11" t="s">
        <v>1268</v>
      </c>
      <c r="C1399" s="20"/>
      <c r="D1399" s="20"/>
      <c r="E1399" s="20"/>
      <c r="F1399" s="20"/>
      <c r="G1399" s="20"/>
    </row>
    <row r="1400">
      <c r="A1400" s="5"/>
      <c r="B1400" s="13" t="s">
        <v>1238</v>
      </c>
      <c r="C1400" s="22"/>
      <c r="D1400" s="22"/>
      <c r="E1400" s="22"/>
      <c r="F1400" s="22"/>
      <c r="G1400" s="22"/>
    </row>
    <row r="1401">
      <c r="A1401" s="6"/>
      <c r="B1401" s="15" t="s">
        <v>1244</v>
      </c>
      <c r="C1401" s="23"/>
      <c r="D1401" s="23"/>
      <c r="E1401" s="23"/>
      <c r="F1401" s="23"/>
      <c r="G1401" s="23"/>
    </row>
    <row r="1402">
      <c r="A1402" s="4"/>
      <c r="B1402" s="16" t="s">
        <v>1269</v>
      </c>
      <c r="C1402" s="21">
        <f>(1)*(1)*(1)*(1)*(1 + (0))</f>
      </c>
      <c r="D1402" s="21" t="s">
        <v>170</v>
      </c>
      <c r="E1402" s="21"/>
      <c r="F1402" s="21">
        <f>(0)</f>
      </c>
      <c r="G1402" s="21">
        <f>(C1402 * E1402 + C1402 * E1402 * F1402)</f>
      </c>
    </row>
    <row r="1403">
      <c r="A1403" s="4"/>
      <c r="B1403" s="16" t="s">
        <v>1270</v>
      </c>
      <c r="C1403" s="21">
        <f>(2)*(1)*(1)*(1)*(1 + (0))</f>
      </c>
      <c r="D1403" s="21" t="s">
        <v>170</v>
      </c>
      <c r="E1403" s="21"/>
      <c r="F1403" s="21">
        <f>(0)</f>
      </c>
      <c r="G1403" s="21">
        <f>(C1403 * E1403 + C1403 * E1403 * F1403)</f>
      </c>
    </row>
    <row r="1404">
      <c r="A1404" s="6"/>
      <c r="B1404" s="15" t="s">
        <v>1242</v>
      </c>
      <c r="C1404" s="23"/>
      <c r="D1404" s="23"/>
      <c r="E1404" s="23"/>
      <c r="F1404" s="23"/>
      <c r="G1404" s="23"/>
    </row>
    <row r="1405">
      <c r="A1405" s="4"/>
      <c r="B1405" s="16" t="s">
        <v>1243</v>
      </c>
      <c r="C1405" s="21">
        <f>(2)*(1)*(1)*(1)*(1 + (0))</f>
      </c>
      <c r="D1405" s="21" t="s">
        <v>170</v>
      </c>
      <c r="E1405" s="21"/>
      <c r="F1405" s="21">
        <f>(0)</f>
      </c>
      <c r="G1405" s="21">
        <f>(C1405 * E1405 + C1405 * E1405 * F1405)</f>
      </c>
    </row>
    <row r="1406">
      <c r="A1406" s="5"/>
      <c r="B1406" s="13" t="s">
        <v>1257</v>
      </c>
      <c r="C1406" s="22"/>
      <c r="D1406" s="22"/>
      <c r="E1406" s="22"/>
      <c r="F1406" s="22"/>
      <c r="G1406" s="22"/>
    </row>
    <row r="1407">
      <c r="A1407" s="6"/>
      <c r="B1407" s="15" t="s">
        <v>1271</v>
      </c>
      <c r="C1407" s="23"/>
      <c r="D1407" s="23"/>
      <c r="E1407" s="23"/>
      <c r="F1407" s="23"/>
      <c r="G1407" s="23"/>
    </row>
    <row r="1408">
      <c r="A1408" s="4"/>
      <c r="B1408" s="16" t="s">
        <v>1272</v>
      </c>
      <c r="C1408" s="21">
        <f>(1)*(1)*(1)*(1)*(1 + (0))</f>
      </c>
      <c r="D1408" s="21" t="s">
        <v>170</v>
      </c>
      <c r="E1408" s="21"/>
      <c r="F1408" s="21">
        <f>(0)</f>
      </c>
      <c r="G1408" s="21">
        <f>(C1408 * E1408 + C1408 * E1408 * F1408)</f>
      </c>
    </row>
    <row r="1409">
      <c r="A1409" s="6"/>
      <c r="B1409" s="15" t="s">
        <v>1244</v>
      </c>
      <c r="C1409" s="23"/>
      <c r="D1409" s="23"/>
      <c r="E1409" s="23"/>
      <c r="F1409" s="23"/>
      <c r="G1409" s="23"/>
    </row>
    <row r="1410">
      <c r="A1410" s="4"/>
      <c r="B1410" s="16" t="s">
        <v>1251</v>
      </c>
      <c r="C1410" s="21">
        <f>(1)*(1)*(1)*(1)*(1 + (0))</f>
      </c>
      <c r="D1410" s="21" t="s">
        <v>170</v>
      </c>
      <c r="E1410" s="21"/>
      <c r="F1410" s="21">
        <f>(0)</f>
      </c>
      <c r="G1410" s="21">
        <f>(C1410 * E1410 + C1410 * E1410 * F1410)</f>
      </c>
    </row>
    <row r="1411">
      <c r="A1411" s="4"/>
      <c r="B1411" s="16" t="s">
        <v>1262</v>
      </c>
      <c r="C1411" s="21">
        <f>(3)*(1)*(1)*(1)*(1 + (0))</f>
      </c>
      <c r="D1411" s="21" t="s">
        <v>170</v>
      </c>
      <c r="E1411" s="21"/>
      <c r="F1411" s="21">
        <f>(0)</f>
      </c>
      <c r="G1411" s="21">
        <f>(C1411 * E1411 + C1411 * E1411 * F1411)</f>
      </c>
    </row>
    <row r="1412">
      <c r="A1412" s="4"/>
      <c r="B1412" s="16" t="s">
        <v>1273</v>
      </c>
      <c r="C1412" s="21">
        <f>(1)*(1)*(1)*(1)*(1 + (0))</f>
      </c>
      <c r="D1412" s="21" t="s">
        <v>170</v>
      </c>
      <c r="E1412" s="21"/>
      <c r="F1412" s="21">
        <f>(0)</f>
      </c>
      <c r="G1412" s="21">
        <f>(C1412 * E1412 + C1412 * E1412 * F1412)</f>
      </c>
    </row>
    <row r="1413">
      <c r="A1413" s="4"/>
      <c r="B1413" s="16" t="s">
        <v>1274</v>
      </c>
      <c r="C1413" s="21">
        <f>(1)*(1)*(1)*(1)*(1 + (0))</f>
      </c>
      <c r="D1413" s="21" t="s">
        <v>170</v>
      </c>
      <c r="E1413" s="21"/>
      <c r="F1413" s="21">
        <f>(0)</f>
      </c>
      <c r="G1413" s="21">
        <f>(C1413 * E1413 + C1413 * E1413 * F1413)</f>
      </c>
    </row>
    <row r="1414">
      <c r="A1414" s="4"/>
      <c r="B1414" s="16" t="s">
        <v>1275</v>
      </c>
      <c r="C1414" s="21">
        <f>(1)*(1)*(1)*(1)*(1 + (0))</f>
      </c>
      <c r="D1414" s="21" t="s">
        <v>170</v>
      </c>
      <c r="E1414" s="21"/>
      <c r="F1414" s="21">
        <f>(0)</f>
      </c>
      <c r="G1414" s="21">
        <f>(C1414 * E1414 + C1414 * E1414 * F1414)</f>
      </c>
    </row>
    <row r="1415">
      <c r="A1415" s="4"/>
      <c r="B1415" s="16" t="s">
        <v>1276</v>
      </c>
      <c r="C1415" s="21">
        <f>(1)*(1)*(1)*(1)*(1 + (0))</f>
      </c>
      <c r="D1415" s="21" t="s">
        <v>170</v>
      </c>
      <c r="E1415" s="21"/>
      <c r="F1415" s="21">
        <f>(0)</f>
      </c>
      <c r="G1415" s="21">
        <f>(C1415 * E1415 + C1415 * E1415 * F1415)</f>
      </c>
    </row>
    <row r="1416">
      <c r="A1416" s="4"/>
      <c r="B1416" s="16" t="s">
        <v>1277</v>
      </c>
      <c r="C1416" s="21">
        <f>(3)*(1)*(1)*(1)*(1 + (0))</f>
      </c>
      <c r="D1416" s="21" t="s">
        <v>170</v>
      </c>
      <c r="E1416" s="21"/>
      <c r="F1416" s="21">
        <f>(0)</f>
      </c>
      <c r="G1416" s="21">
        <f>(C1416 * E1416 + C1416 * E1416 * F1416)</f>
      </c>
    </row>
    <row r="1417">
      <c r="A1417" s="4"/>
      <c r="B1417" s="16" t="s">
        <v>1278</v>
      </c>
      <c r="C1417" s="21">
        <f>(1)*(1)*(1)*(1)*(1 + (0))</f>
      </c>
      <c r="D1417" s="21" t="s">
        <v>170</v>
      </c>
      <c r="E1417" s="21"/>
      <c r="F1417" s="21">
        <f>(0)</f>
      </c>
      <c r="G1417" s="21">
        <f>(C1417 * E1417 + C1417 * E1417 * F1417)</f>
      </c>
    </row>
    <row r="1418">
      <c r="A1418" s="4"/>
      <c r="B1418" s="16" t="s">
        <v>1279</v>
      </c>
      <c r="C1418" s="21">
        <f>(1)*(1)*(1)*(1)*(1 + (0))</f>
      </c>
      <c r="D1418" s="21" t="s">
        <v>170</v>
      </c>
      <c r="E1418" s="21"/>
      <c r="F1418" s="21">
        <f>(0)</f>
      </c>
      <c r="G1418" s="21">
        <f>(C1418 * E1418 + C1418 * E1418 * F1418)</f>
      </c>
    </row>
    <row r="1419">
      <c r="A1419" s="4"/>
      <c r="B1419" s="16" t="s">
        <v>1280</v>
      </c>
      <c r="C1419" s="21">
        <f>(1)*(1)*(1)*(1)*(1 + (0))</f>
      </c>
      <c r="D1419" s="21" t="s">
        <v>170</v>
      </c>
      <c r="E1419" s="21"/>
      <c r="F1419" s="21">
        <f>(0)</f>
      </c>
      <c r="G1419" s="21">
        <f>(C1419 * E1419 + C1419 * E1419 * F1419)</f>
      </c>
    </row>
    <row r="1420">
      <c r="A1420" s="4"/>
      <c r="B1420" s="16" t="s">
        <v>1281</v>
      </c>
      <c r="C1420" s="21">
        <f>(1)*(1)*(1)*(1)*(1 + (0))</f>
      </c>
      <c r="D1420" s="21" t="s">
        <v>170</v>
      </c>
      <c r="E1420" s="21"/>
      <c r="F1420" s="21">
        <f>(0)</f>
      </c>
      <c r="G1420" s="21">
        <f>(C1420 * E1420 + C1420 * E1420 * F1420)</f>
      </c>
    </row>
    <row r="1421">
      <c r="A1421" s="4"/>
      <c r="B1421" s="16" t="s">
        <v>1282</v>
      </c>
      <c r="C1421" s="21">
        <f>(1)*(1)*(1)*(1)*(1 + (0))</f>
      </c>
      <c r="D1421" s="21" t="s">
        <v>170</v>
      </c>
      <c r="E1421" s="21"/>
      <c r="F1421" s="21">
        <f>(0)</f>
      </c>
      <c r="G1421" s="21">
        <f>(C1421 * E1421 + C1421 * E1421 * F1421)</f>
      </c>
    </row>
    <row r="1422">
      <c r="A1422" s="4"/>
      <c r="B1422" s="16" t="s">
        <v>1283</v>
      </c>
      <c r="C1422" s="21">
        <f>(2)*(1)*(1)*(1)*(1 + (0))</f>
      </c>
      <c r="D1422" s="21" t="s">
        <v>170</v>
      </c>
      <c r="E1422" s="21"/>
      <c r="F1422" s="21">
        <f>(0)</f>
      </c>
      <c r="G1422" s="21">
        <f>(C1422 * E1422 + C1422 * E1422 * F1422)</f>
      </c>
    </row>
    <row r="1423">
      <c r="A1423" s="4"/>
      <c r="B1423" s="16" t="s">
        <v>1284</v>
      </c>
      <c r="C1423" s="21">
        <f>(1)*(1)*(1)*(1)*(1 + (0))</f>
      </c>
      <c r="D1423" s="21" t="s">
        <v>170</v>
      </c>
      <c r="E1423" s="21"/>
      <c r="F1423" s="21">
        <f>(0)</f>
      </c>
      <c r="G1423" s="21">
        <f>(C1423 * E1423 + C1423 * E1423 * F1423)</f>
      </c>
    </row>
    <row r="1424">
      <c r="A1424" s="6"/>
      <c r="B1424" s="15" t="s">
        <v>1239</v>
      </c>
      <c r="C1424" s="23"/>
      <c r="D1424" s="23"/>
      <c r="E1424" s="23"/>
      <c r="F1424" s="23"/>
      <c r="G1424" s="23"/>
    </row>
    <row r="1425">
      <c r="A1425" s="4"/>
      <c r="B1425" s="16" t="s">
        <v>1285</v>
      </c>
      <c r="C1425" s="21">
        <f>(14)*(1)*(1)*(1)*(1 + (0))</f>
      </c>
      <c r="D1425" s="21" t="s">
        <v>170</v>
      </c>
      <c r="E1425" s="21"/>
      <c r="F1425" s="21">
        <f>(0)</f>
      </c>
      <c r="G1425" s="21">
        <f>(C1425 * E1425 + C1425 * E1425 * F1425)</f>
      </c>
    </row>
    <row r="1426">
      <c r="A1426" s="3"/>
      <c r="B1426" s="11" t="s">
        <v>1286</v>
      </c>
      <c r="C1426" s="20"/>
      <c r="D1426" s="20"/>
      <c r="E1426" s="20"/>
      <c r="F1426" s="20"/>
      <c r="G1426" s="20"/>
    </row>
    <row r="1427">
      <c r="A1427" s="5"/>
      <c r="B1427" s="13" t="s">
        <v>1238</v>
      </c>
      <c r="C1427" s="22"/>
      <c r="D1427" s="22"/>
      <c r="E1427" s="22"/>
      <c r="F1427" s="22"/>
      <c r="G1427" s="22"/>
    </row>
    <row r="1428">
      <c r="A1428" s="4"/>
      <c r="B1428" s="14" t="s">
        <v>1287</v>
      </c>
      <c r="C1428" s="21">
        <f>(6)*(1)*(1)*(1)*(1 + (0))</f>
      </c>
      <c r="D1428" s="21" t="s">
        <v>170</v>
      </c>
      <c r="E1428" s="21"/>
      <c r="F1428" s="21">
        <f>(0)</f>
      </c>
      <c r="G1428" s="21">
        <f>(C1428 * E1428 + C1428 * E1428 * F1428)</f>
      </c>
    </row>
    <row r="1429">
      <c r="A1429" s="3"/>
      <c r="B1429" s="11" t="s">
        <v>1288</v>
      </c>
      <c r="C1429" s="20"/>
      <c r="D1429" s="20"/>
      <c r="E1429" s="20"/>
      <c r="F1429" s="20"/>
      <c r="G1429" s="20"/>
    </row>
    <row r="1430">
      <c r="A1430" s="5"/>
      <c r="B1430" s="13" t="s">
        <v>1238</v>
      </c>
      <c r="C1430" s="22"/>
      <c r="D1430" s="22"/>
      <c r="E1430" s="22"/>
      <c r="F1430" s="22"/>
      <c r="G1430" s="22"/>
    </row>
    <row r="1431">
      <c r="A1431" s="4"/>
      <c r="B1431" s="14" t="s">
        <v>1289</v>
      </c>
      <c r="C1431" s="21">
        <f>(19)*(1)*(1)*(1)*(1 + (0))</f>
      </c>
      <c r="D1431" s="21" t="s">
        <v>170</v>
      </c>
      <c r="E1431" s="21"/>
      <c r="F1431" s="21">
        <f>(0)</f>
      </c>
      <c r="G1431" s="21">
        <f>(C1431 * E1431 + C1431 * E1431 * F1431)</f>
      </c>
    </row>
    <row r="1432">
      <c r="A1432" s="4"/>
      <c r="B1432" s="14" t="s">
        <v>1287</v>
      </c>
      <c r="C1432" s="21">
        <f>(3)*(1)*(1)*(1)*(1 + (0))</f>
      </c>
      <c r="D1432" s="21" t="s">
        <v>170</v>
      </c>
      <c r="E1432" s="21"/>
      <c r="F1432" s="21">
        <f>(0)</f>
      </c>
      <c r="G1432" s="21">
        <f>(C1432 * E1432 + C1432 * E1432 * F1432)</f>
      </c>
    </row>
    <row r="1433">
      <c r="A1433" s="4"/>
      <c r="B1433" s="14" t="s">
        <v>1290</v>
      </c>
      <c r="C1433" s="21">
        <f>(2)*(1)*(1)*(1)*(1 + (0))</f>
      </c>
      <c r="D1433" s="21" t="s">
        <v>170</v>
      </c>
      <c r="E1433" s="21"/>
      <c r="F1433" s="21">
        <f>(0)</f>
      </c>
      <c r="G1433" s="21">
        <f>(C1433 * E1433 + C1433 * E1433 * F1433)</f>
      </c>
    </row>
    <row r="1434">
      <c r="A1434" s="5"/>
      <c r="B1434" s="13" t="s">
        <v>1257</v>
      </c>
      <c r="C1434" s="22"/>
      <c r="D1434" s="22"/>
      <c r="E1434" s="22"/>
      <c r="F1434" s="22"/>
      <c r="G1434" s="22"/>
    </row>
    <row r="1435">
      <c r="A1435" s="4"/>
      <c r="B1435" s="14" t="s">
        <v>1289</v>
      </c>
      <c r="C1435" s="21">
        <f>(5)*(1)*(1)*(1)*(1 + (0))</f>
      </c>
      <c r="D1435" s="21" t="s">
        <v>170</v>
      </c>
      <c r="E1435" s="21"/>
      <c r="F1435" s="21">
        <f>(0)</f>
      </c>
      <c r="G1435" s="21">
        <f>(C1435 * E1435 + C1435 * E1435 * F1435)</f>
      </c>
    </row>
    <row r="1436">
      <c r="A1436" s="3"/>
      <c r="B1436" s="11" t="s">
        <v>1291</v>
      </c>
      <c r="C1436" s="20"/>
      <c r="D1436" s="20"/>
      <c r="E1436" s="20"/>
      <c r="F1436" s="20"/>
      <c r="G1436" s="20"/>
    </row>
    <row r="1437">
      <c r="A1437" s="5"/>
      <c r="B1437" s="13" t="s">
        <v>1238</v>
      </c>
      <c r="C1437" s="22"/>
      <c r="D1437" s="22"/>
      <c r="E1437" s="22"/>
      <c r="F1437" s="22"/>
      <c r="G1437" s="22"/>
    </row>
    <row r="1438">
      <c r="A1438" s="4"/>
      <c r="B1438" s="14" t="s">
        <v>1292</v>
      </c>
      <c r="C1438" s="21">
        <f>(27)*(1)*(1)*(1)*(1 + (0))</f>
      </c>
      <c r="D1438" s="21" t="s">
        <v>9</v>
      </c>
      <c r="E1438" s="21"/>
      <c r="F1438" s="21">
        <f>(0)</f>
      </c>
      <c r="G1438" s="21">
        <f>(C1438 * E1438 + C1438 * E1438 * F1438)</f>
      </c>
    </row>
    <row r="1439">
      <c r="A1439" s="4"/>
      <c r="B1439" s="14" t="s">
        <v>1293</v>
      </c>
      <c r="C1439" s="21">
        <f>(6)*(1)*(1)*(1)*(1 + (0))</f>
      </c>
      <c r="D1439" s="21" t="s">
        <v>9</v>
      </c>
      <c r="E1439" s="21"/>
      <c r="F1439" s="21">
        <f>(0)</f>
      </c>
      <c r="G1439" s="21">
        <f>(C1439 * E1439 + C1439 * E1439 * F1439)</f>
      </c>
    </row>
    <row r="1440">
      <c r="A1440" s="5"/>
      <c r="B1440" s="13" t="s">
        <v>1257</v>
      </c>
      <c r="C1440" s="22"/>
      <c r="D1440" s="22"/>
      <c r="E1440" s="22"/>
      <c r="F1440" s="22"/>
      <c r="G1440" s="22"/>
    </row>
    <row r="1441">
      <c r="A1441" s="4"/>
      <c r="B1441" s="14" t="s">
        <v>1293</v>
      </c>
      <c r="C1441" s="21">
        <f>(8)*(1)*(1)*(1)*(1 + (0))</f>
      </c>
      <c r="D1441" s="21" t="s">
        <v>9</v>
      </c>
      <c r="E1441" s="21"/>
      <c r="F1441" s="21">
        <f>(0)</f>
      </c>
      <c r="G1441" s="21">
        <f>(C1441 * E1441 + C1441 * E1441 * F1441)</f>
      </c>
    </row>
    <row r="1442">
      <c r="A1442" s="2"/>
      <c r="B1442" s="10" t="s">
        <v>1294</v>
      </c>
      <c r="C1442" s="19"/>
      <c r="D1442" s="19"/>
      <c r="E1442" s="19"/>
      <c r="F1442" s="19"/>
      <c r="G1442" s="19"/>
    </row>
    <row r="1443">
      <c r="A1443" s="3"/>
      <c r="B1443" s="11" t="s">
        <v>14</v>
      </c>
      <c r="C1443" s="20"/>
      <c r="D1443" s="20"/>
      <c r="E1443" s="20"/>
      <c r="F1443" s="20"/>
      <c r="G1443" s="20"/>
    </row>
    <row r="1444">
      <c r="A1444" s="4" t="s">
        <v>1130</v>
      </c>
      <c r="B1444" s="12" t="s">
        <v>16</v>
      </c>
      <c r="C1444" s="21"/>
      <c r="D1444" s="21" t="s">
        <v>17</v>
      </c>
      <c r="E1444" s="21"/>
      <c r="F1444" s="21">
        <f>(0)</f>
      </c>
      <c r="G1444" s="21">
        <f>(C1444 * E1444 + C1444 * E1444 * F1444)</f>
      </c>
    </row>
    <row r="1445">
      <c r="A1445" s="4" t="s">
        <v>1132</v>
      </c>
      <c r="B1445" s="12" t="s">
        <v>19</v>
      </c>
      <c r="C1445" s="21"/>
      <c r="D1445" s="21" t="s">
        <v>17</v>
      </c>
      <c r="E1445" s="21"/>
      <c r="F1445" s="21">
        <f>(0)</f>
      </c>
      <c r="G1445" s="21">
        <f>(C1445 * E1445 + C1445 * E1445 * F1445)</f>
      </c>
    </row>
    <row r="1446">
      <c r="A1446" s="3"/>
      <c r="B1446" s="11" t="s">
        <v>22</v>
      </c>
      <c r="C1446" s="20"/>
      <c r="D1446" s="20"/>
      <c r="E1446" s="20"/>
      <c r="F1446" s="20"/>
      <c r="G1446" s="20"/>
    </row>
    <row r="1447">
      <c r="A1447" s="4"/>
      <c r="B1447" s="12" t="s">
        <v>1295</v>
      </c>
      <c r="C1447" s="21"/>
      <c r="D1447" s="21" t="s">
        <v>17</v>
      </c>
      <c r="E1447" s="21"/>
      <c r="F1447" s="21">
        <f>(0)</f>
      </c>
      <c r="G1447" s="21">
        <f>(C1447 * E1447 + C1447 * E1447 * F1447)</f>
      </c>
    </row>
    <row r="1448">
      <c r="A1448" s="4"/>
      <c r="B1448" s="12" t="s">
        <v>1296</v>
      </c>
      <c r="C1448" s="21"/>
      <c r="D1448" s="21" t="s">
        <v>17</v>
      </c>
      <c r="E1448" s="21"/>
      <c r="F1448" s="21">
        <f>(0)</f>
      </c>
      <c r="G1448" s="21">
        <f>(C1448 * E1448 + C1448 * E1448 * F1448)</f>
      </c>
    </row>
    <row r="1449">
      <c r="A1449" s="3"/>
      <c r="B1449" s="11" t="s">
        <v>24</v>
      </c>
      <c r="C1449" s="20"/>
      <c r="D1449" s="20"/>
      <c r="E1449" s="20"/>
      <c r="F1449" s="20"/>
      <c r="G1449" s="20"/>
    </row>
    <row r="1450">
      <c r="A1450" s="5"/>
      <c r="B1450" s="13" t="s">
        <v>25</v>
      </c>
      <c r="C1450" s="22"/>
      <c r="D1450" s="22"/>
      <c r="E1450" s="22"/>
      <c r="F1450" s="22"/>
      <c r="G1450" s="22"/>
    </row>
    <row r="1451">
      <c r="A1451" s="4" t="s">
        <v>1135</v>
      </c>
      <c r="B1451" s="14" t="s">
        <v>1297</v>
      </c>
      <c r="C1451" s="21"/>
      <c r="D1451" s="21" t="s">
        <v>17</v>
      </c>
      <c r="E1451" s="21"/>
      <c r="F1451" s="21">
        <f>(0)</f>
      </c>
      <c r="G1451" s="21">
        <f>(C1451 * E1451 + C1451 * E1451 * F1451)</f>
      </c>
    </row>
    <row r="1452">
      <c r="A1452" s="4" t="s">
        <v>1136</v>
      </c>
      <c r="B1452" s="14" t="s">
        <v>1298</v>
      </c>
      <c r="C1452" s="21"/>
      <c r="D1452" s="21" t="s">
        <v>17</v>
      </c>
      <c r="E1452" s="21"/>
      <c r="F1452" s="21">
        <f>(0)</f>
      </c>
      <c r="G1452" s="21">
        <f>(C1452 * E1452 + C1452 * E1452 * F1452)</f>
      </c>
    </row>
    <row r="1453">
      <c r="A1453" s="4" t="s">
        <v>1138</v>
      </c>
      <c r="B1453" s="14" t="s">
        <v>1137</v>
      </c>
      <c r="C1453" s="21"/>
      <c r="D1453" s="21" t="s">
        <v>17</v>
      </c>
      <c r="E1453" s="21"/>
      <c r="F1453" s="21">
        <f>(0)</f>
      </c>
      <c r="G1453" s="21">
        <f>(C1453 * E1453 + C1453 * E1453 * F1453)</f>
      </c>
    </row>
    <row r="1454">
      <c r="A1454" s="4" t="s">
        <v>1140</v>
      </c>
      <c r="B1454" s="14" t="s">
        <v>1299</v>
      </c>
      <c r="C1454" s="21"/>
      <c r="D1454" s="21" t="s">
        <v>17</v>
      </c>
      <c r="E1454" s="21"/>
      <c r="F1454" s="21">
        <f>(0)</f>
      </c>
      <c r="G1454" s="21">
        <f>(C1454 * E1454 + C1454 * E1454 * F1454)</f>
      </c>
    </row>
    <row r="1455">
      <c r="A1455" s="4" t="s">
        <v>1164</v>
      </c>
      <c r="B1455" s="14" t="s">
        <v>1300</v>
      </c>
      <c r="C1455" s="21"/>
      <c r="D1455" s="21" t="s">
        <v>17</v>
      </c>
      <c r="E1455" s="21"/>
      <c r="F1455" s="21">
        <f>(0)</f>
      </c>
      <c r="G1455" s="21">
        <f>(C1455 * E1455 + C1455 * E1455 * F1455)</f>
      </c>
    </row>
    <row r="1456">
      <c r="A1456" s="4" t="s">
        <v>1165</v>
      </c>
      <c r="B1456" s="14" t="s">
        <v>194</v>
      </c>
      <c r="C1456" s="21"/>
      <c r="D1456" s="21" t="s">
        <v>17</v>
      </c>
      <c r="E1456" s="21"/>
      <c r="F1456" s="21">
        <f>(0)</f>
      </c>
      <c r="G1456" s="21">
        <f>(C1456 * E1456 + C1456 * E1456 * F1456)</f>
      </c>
    </row>
    <row r="1457">
      <c r="A1457" s="3"/>
      <c r="B1457" s="11" t="s">
        <v>42</v>
      </c>
      <c r="C1457" s="20"/>
      <c r="D1457" s="20"/>
      <c r="E1457" s="20"/>
      <c r="F1457" s="20"/>
      <c r="G1457" s="20"/>
    </row>
    <row r="1458">
      <c r="A1458" s="4" t="s">
        <v>1167</v>
      </c>
      <c r="B1458" s="12" t="s">
        <v>1301</v>
      </c>
      <c r="C1458" s="21">
        <f>(1)*(1)*(1)*(1)*(1 + (0))</f>
      </c>
      <c r="D1458" s="21" t="s">
        <v>45</v>
      </c>
      <c r="E1458" s="21"/>
      <c r="F1458" s="21">
        <f>(0)</f>
      </c>
      <c r="G1458" s="21">
        <f>(C1458 * E1458 + C1458 * E1458 * F1458)</f>
      </c>
    </row>
    <row r="1459">
      <c r="A1459" s="4" t="s">
        <v>1168</v>
      </c>
      <c r="B1459" s="12" t="s">
        <v>1302</v>
      </c>
      <c r="C1459" s="21">
        <f>(1)*(1)*(1)*(1)*(1 + (0))</f>
      </c>
      <c r="D1459" s="21" t="s">
        <v>45</v>
      </c>
      <c r="E1459" s="21"/>
      <c r="F1459" s="21">
        <f>(0)</f>
      </c>
      <c r="G1459" s="21">
        <f>(C1459 * E1459 + C1459 * E1459 * F1459)</f>
      </c>
    </row>
    <row r="1460">
      <c r="A1460" s="4" t="s">
        <v>1170</v>
      </c>
      <c r="B1460" s="12" t="s">
        <v>130</v>
      </c>
      <c r="C1460" s="21">
        <f>(1)*(1)*(1)*(1)*(1 + (0))</f>
      </c>
      <c r="D1460" s="21" t="s">
        <v>45</v>
      </c>
      <c r="E1460" s="21"/>
      <c r="F1460" s="21">
        <f>(0)</f>
      </c>
      <c r="G1460" s="21">
        <f>(C1460 * E1460 + C1460 * E1460 * F1460)</f>
      </c>
    </row>
    <row r="1461">
      <c r="A1461" s="4" t="s">
        <v>1303</v>
      </c>
      <c r="B1461" s="12" t="s">
        <v>1304</v>
      </c>
      <c r="C1461" s="21">
        <f>(1)*(1)*(1)*(1)*(1 + (0))</f>
      </c>
      <c r="D1461" s="21" t="s">
        <v>45</v>
      </c>
      <c r="E1461" s="21"/>
      <c r="F1461" s="21">
        <f>(0)</f>
      </c>
      <c r="G1461" s="21">
        <f>(C1461 * E1461 + C1461 * E1461 * F1461)</f>
      </c>
    </row>
    <row r="1462">
      <c r="A1462" s="4" t="s">
        <v>1305</v>
      </c>
      <c r="B1462" s="12" t="s">
        <v>486</v>
      </c>
      <c r="C1462" s="21">
        <f>(1)*(1)*(1)*(1)*(1 + (0))</f>
      </c>
      <c r="D1462" s="21" t="s">
        <v>45</v>
      </c>
      <c r="E1462" s="21"/>
      <c r="F1462" s="21">
        <f>(0)</f>
      </c>
      <c r="G1462" s="21">
        <f>(C1462 * E1462 + C1462 * E1462 * F1462)</f>
      </c>
    </row>
    <row r="1463">
      <c r="A1463" s="4" t="s">
        <v>1306</v>
      </c>
      <c r="B1463" s="12" t="s">
        <v>1019</v>
      </c>
      <c r="C1463" s="21">
        <f>(1)*(1)*(1)*(1)*(1 + (0))</f>
      </c>
      <c r="D1463" s="21" t="s">
        <v>45</v>
      </c>
      <c r="E1463" s="21"/>
      <c r="F1463" s="21">
        <f>(0)</f>
      </c>
      <c r="G1463" s="21">
        <f>(C1463 * E1463 + C1463 * E1463 * F1463)</f>
      </c>
    </row>
    <row r="1464">
      <c r="A1464" s="4" t="s">
        <v>1307</v>
      </c>
      <c r="B1464" s="12" t="s">
        <v>1308</v>
      </c>
      <c r="C1464" s="21">
        <f>(1)*(1)*(1)*(1)*(1 + (0))</f>
      </c>
      <c r="D1464" s="21" t="s">
        <v>45</v>
      </c>
      <c r="E1464" s="21"/>
      <c r="F1464" s="21">
        <f>(0)</f>
      </c>
      <c r="G1464" s="21">
        <f>(C1464 * E1464 + C1464 * E1464 * F1464)</f>
      </c>
    </row>
    <row r="1465">
      <c r="A1465" s="4" t="s">
        <v>1309</v>
      </c>
      <c r="B1465" s="12" t="s">
        <v>1310</v>
      </c>
      <c r="C1465" s="21">
        <f>(1)*(1)*(1)*(1)*(1 + (0))</f>
      </c>
      <c r="D1465" s="21" t="s">
        <v>45</v>
      </c>
      <c r="E1465" s="21"/>
      <c r="F1465" s="21">
        <f>(0)</f>
      </c>
      <c r="G1465" s="21">
        <f>(C1465 * E1465 + C1465 * E1465 * F1465)</f>
      </c>
    </row>
    <row r="1466">
      <c r="A1466" s="4" t="s">
        <v>1311</v>
      </c>
      <c r="B1466" s="12" t="s">
        <v>1312</v>
      </c>
      <c r="C1466" s="21">
        <f>(1)*(1)*(1)*(1)*(1 + (0))</f>
      </c>
      <c r="D1466" s="21" t="s">
        <v>45</v>
      </c>
      <c r="E1466" s="21"/>
      <c r="F1466" s="21">
        <f>(0)</f>
      </c>
      <c r="G1466" s="21">
        <f>(C1466 * E1466 + C1466 * E1466 * F1466)</f>
      </c>
    </row>
    <row r="1467">
      <c r="A1467" s="4" t="s">
        <v>1313</v>
      </c>
      <c r="B1467" s="12" t="s">
        <v>1314</v>
      </c>
      <c r="C1467" s="21">
        <f>(1)*(1)*(1)*(1)*(1 + (0))</f>
      </c>
      <c r="D1467" s="21" t="s">
        <v>45</v>
      </c>
      <c r="E1467" s="21"/>
      <c r="F1467" s="21">
        <f>(0)</f>
      </c>
      <c r="G1467" s="21">
        <f>(C1467 * E1467 + C1467 * E1467 * F1467)</f>
      </c>
    </row>
    <row r="1468">
      <c r="A1468" s="4" t="s">
        <v>1315</v>
      </c>
      <c r="B1468" s="12" t="s">
        <v>832</v>
      </c>
      <c r="C1468" s="21">
        <f>(1)*(1)*(1)*(1)*(1 + (0))</f>
      </c>
      <c r="D1468" s="21" t="s">
        <v>45</v>
      </c>
      <c r="E1468" s="21"/>
      <c r="F1468" s="21">
        <f>(0)</f>
      </c>
      <c r="G1468" s="21">
        <f>(C1468 * E1468 + C1468 * E1468 * F1468)</f>
      </c>
    </row>
    <row r="1469">
      <c r="A1469" s="3"/>
      <c r="B1469" s="11" t="s">
        <v>1316</v>
      </c>
      <c r="C1469" s="20"/>
      <c r="D1469" s="20"/>
      <c r="E1469" s="20"/>
      <c r="F1469" s="20"/>
      <c r="G1469" s="20"/>
    </row>
    <row r="1470">
      <c r="A1470" s="5"/>
      <c r="B1470" s="13" t="s">
        <v>1238</v>
      </c>
      <c r="C1470" s="22"/>
      <c r="D1470" s="22"/>
      <c r="E1470" s="22"/>
      <c r="F1470" s="22"/>
      <c r="G1470" s="22"/>
    </row>
    <row r="1471">
      <c r="A1471" s="6"/>
      <c r="B1471" s="15" t="s">
        <v>1317</v>
      </c>
      <c r="C1471" s="23"/>
      <c r="D1471" s="23"/>
      <c r="E1471" s="23"/>
      <c r="F1471" s="23"/>
      <c r="G1471" s="23"/>
    </row>
    <row r="1472">
      <c r="A1472" s="4"/>
      <c r="B1472" s="16" t="s">
        <v>1318</v>
      </c>
      <c r="C1472" s="21">
        <f>(3)*(1)*(1)*(1)*(1 + (0))</f>
      </c>
      <c r="D1472" s="21" t="s">
        <v>170</v>
      </c>
      <c r="E1472" s="21"/>
      <c r="F1472" s="21">
        <f>(0)</f>
      </c>
      <c r="G1472" s="21">
        <f>(C1472 * E1472 + C1472 * E1472 * F1472)</f>
      </c>
    </row>
    <row r="1473">
      <c r="A1473" s="6"/>
      <c r="B1473" s="15" t="s">
        <v>1319</v>
      </c>
      <c r="C1473" s="23"/>
      <c r="D1473" s="23"/>
      <c r="E1473" s="23"/>
      <c r="F1473" s="23"/>
      <c r="G1473" s="23"/>
    </row>
    <row r="1474">
      <c r="A1474" s="4"/>
      <c r="B1474" s="16" t="s">
        <v>1320</v>
      </c>
      <c r="C1474" s="21">
        <f>(3)*(1)*(1)*(1)*(1 + (0))</f>
      </c>
      <c r="D1474" s="21" t="s">
        <v>170</v>
      </c>
      <c r="E1474" s="21"/>
      <c r="F1474" s="21">
        <f>(0)</f>
      </c>
      <c r="G1474" s="21">
        <f>(C1474 * E1474 + C1474 * E1474 * F1474)</f>
      </c>
    </row>
    <row r="1475">
      <c r="A1475" s="4"/>
      <c r="B1475" s="16" t="s">
        <v>1321</v>
      </c>
      <c r="C1475" s="21">
        <f>(1)*(1)*(1)*(1)*(1 + (0))</f>
      </c>
      <c r="D1475" s="21" t="s">
        <v>170</v>
      </c>
      <c r="E1475" s="21"/>
      <c r="F1475" s="21">
        <f>(0)</f>
      </c>
      <c r="G1475" s="21">
        <f>(C1475 * E1475 + C1475 * E1475 * F1475)</f>
      </c>
    </row>
    <row r="1476">
      <c r="A1476" s="6"/>
      <c r="B1476" s="15" t="s">
        <v>1322</v>
      </c>
      <c r="C1476" s="23"/>
      <c r="D1476" s="23"/>
      <c r="E1476" s="23"/>
      <c r="F1476" s="23"/>
      <c r="G1476" s="23"/>
    </row>
    <row r="1477">
      <c r="A1477" s="4"/>
      <c r="B1477" s="16" t="s">
        <v>1323</v>
      </c>
      <c r="C1477" s="21">
        <f>(2)*(1)*(1)*(1)*(1 + (0))</f>
      </c>
      <c r="D1477" s="21" t="s">
        <v>170</v>
      </c>
      <c r="E1477" s="21"/>
      <c r="F1477" s="21">
        <f>(0)</f>
      </c>
      <c r="G1477" s="21">
        <f>(C1477 * E1477 + C1477 * E1477 * F1477)</f>
      </c>
    </row>
    <row r="1478">
      <c r="A1478" s="4"/>
      <c r="B1478" s="16" t="s">
        <v>1324</v>
      </c>
      <c r="C1478" s="21">
        <f>(4)*(1)*(1)*(1)*(1 + (0))</f>
      </c>
      <c r="D1478" s="21" t="s">
        <v>170</v>
      </c>
      <c r="E1478" s="21"/>
      <c r="F1478" s="21">
        <f>(0)</f>
      </c>
      <c r="G1478" s="21">
        <f>(C1478 * E1478 + C1478 * E1478 * F1478)</f>
      </c>
    </row>
    <row r="1479">
      <c r="A1479" s="6"/>
      <c r="B1479" s="15" t="s">
        <v>1325</v>
      </c>
      <c r="C1479" s="23"/>
      <c r="D1479" s="23"/>
      <c r="E1479" s="23"/>
      <c r="F1479" s="23"/>
      <c r="G1479" s="23"/>
    </row>
    <row r="1480">
      <c r="A1480" s="4"/>
      <c r="B1480" s="16" t="s">
        <v>1326</v>
      </c>
      <c r="C1480" s="21">
        <f>(1)*(1)*(1)*(1)*(1 + (0))</f>
      </c>
      <c r="D1480" s="21" t="s">
        <v>170</v>
      </c>
      <c r="E1480" s="21"/>
      <c r="F1480" s="21">
        <f>(0)</f>
      </c>
      <c r="G1480" s="21">
        <f>(C1480 * E1480 + C1480 * E1480 * F1480)</f>
      </c>
    </row>
    <row r="1481">
      <c r="A1481" s="5"/>
      <c r="B1481" s="13" t="s">
        <v>1257</v>
      </c>
      <c r="C1481" s="22"/>
      <c r="D1481" s="22"/>
      <c r="E1481" s="22"/>
      <c r="F1481" s="22"/>
      <c r="G1481" s="22"/>
    </row>
    <row r="1482">
      <c r="A1482" s="6"/>
      <c r="B1482" s="15" t="s">
        <v>1319</v>
      </c>
      <c r="C1482" s="23"/>
      <c r="D1482" s="23"/>
      <c r="E1482" s="23"/>
      <c r="F1482" s="23"/>
      <c r="G1482" s="23"/>
    </row>
    <row r="1483">
      <c r="A1483" s="4"/>
      <c r="B1483" s="16" t="s">
        <v>1320</v>
      </c>
      <c r="C1483" s="21">
        <f>(1)*(1)*(1)*(1)*(1 + (0))</f>
      </c>
      <c r="D1483" s="21" t="s">
        <v>170</v>
      </c>
      <c r="E1483" s="21"/>
      <c r="F1483" s="21">
        <f>(0)</f>
      </c>
      <c r="G1483" s="21">
        <f>(C1483 * E1483 + C1483 * E1483 * F1483)</f>
      </c>
    </row>
    <row r="1484">
      <c r="A1484" s="4"/>
      <c r="B1484" s="16" t="s">
        <v>1320</v>
      </c>
      <c r="C1484" s="21">
        <f>(1)*(1)*(1)*(1)*(1 + (0))</f>
      </c>
      <c r="D1484" s="21" t="s">
        <v>170</v>
      </c>
      <c r="E1484" s="21"/>
      <c r="F1484" s="21">
        <f>(0)</f>
      </c>
      <c r="G1484" s="21">
        <f>(C1484 * E1484 + C1484 * E1484 * F1484)</f>
      </c>
    </row>
    <row r="1485">
      <c r="A1485" s="3"/>
      <c r="B1485" s="11" t="s">
        <v>1327</v>
      </c>
      <c r="C1485" s="20"/>
      <c r="D1485" s="20"/>
      <c r="E1485" s="20"/>
      <c r="F1485" s="20"/>
      <c r="G1485" s="20"/>
    </row>
    <row r="1486">
      <c r="A1486" s="5"/>
      <c r="B1486" s="13" t="s">
        <v>1238</v>
      </c>
      <c r="C1486" s="22"/>
      <c r="D1486" s="22"/>
      <c r="E1486" s="22"/>
      <c r="F1486" s="22"/>
      <c r="G1486" s="22"/>
    </row>
    <row r="1487">
      <c r="A1487" s="6"/>
      <c r="B1487" s="15" t="s">
        <v>1317</v>
      </c>
      <c r="C1487" s="23"/>
      <c r="D1487" s="23"/>
      <c r="E1487" s="23"/>
      <c r="F1487" s="23"/>
      <c r="G1487" s="23"/>
    </row>
    <row r="1488">
      <c r="A1488" s="4"/>
      <c r="B1488" s="16" t="s">
        <v>1328</v>
      </c>
      <c r="C1488" s="21">
        <f>(2)*(1)*(1)*(1)*(1 + (0))</f>
      </c>
      <c r="D1488" s="21" t="s">
        <v>170</v>
      </c>
      <c r="E1488" s="21"/>
      <c r="F1488" s="21">
        <f>(0)</f>
      </c>
      <c r="G1488" s="21">
        <f>(C1488 * E1488 + C1488 * E1488 * F1488)</f>
      </c>
    </row>
    <row r="1489">
      <c r="A1489" s="4"/>
      <c r="B1489" s="16" t="s">
        <v>1329</v>
      </c>
      <c r="C1489" s="21">
        <f>(9)*(1)*(1)*(1)*(1 + (0))</f>
      </c>
      <c r="D1489" s="21" t="s">
        <v>170</v>
      </c>
      <c r="E1489" s="21"/>
      <c r="F1489" s="21">
        <f>(0)</f>
      </c>
      <c r="G1489" s="21">
        <f>(C1489 * E1489 + C1489 * E1489 * F1489)</f>
      </c>
    </row>
    <row r="1490">
      <c r="A1490" s="4"/>
      <c r="B1490" s="16" t="s">
        <v>1330</v>
      </c>
      <c r="C1490" s="21">
        <f>(1)*(1)*(1)*(1)*(1 + (0))</f>
      </c>
      <c r="D1490" s="21" t="s">
        <v>170</v>
      </c>
      <c r="E1490" s="21"/>
      <c r="F1490" s="21">
        <f>(0)</f>
      </c>
      <c r="G1490" s="21">
        <f>(C1490 * E1490 + C1490 * E1490 * F1490)</f>
      </c>
    </row>
    <row r="1491">
      <c r="A1491" s="4"/>
      <c r="B1491" s="16" t="s">
        <v>1331</v>
      </c>
      <c r="C1491" s="21">
        <f>(1)*(1)*(1)*(1)*(1 + (0))</f>
      </c>
      <c r="D1491" s="21" t="s">
        <v>170</v>
      </c>
      <c r="E1491" s="21"/>
      <c r="F1491" s="21">
        <f>(0)</f>
      </c>
      <c r="G1491" s="21">
        <f>(C1491 * E1491 + C1491 * E1491 * F1491)</f>
      </c>
    </row>
    <row r="1492">
      <c r="A1492" s="4"/>
      <c r="B1492" s="16" t="s">
        <v>1331</v>
      </c>
      <c r="C1492" s="21">
        <f>(1)*(1)*(1)*(1)*(1 + (0))</f>
      </c>
      <c r="D1492" s="21" t="s">
        <v>170</v>
      </c>
      <c r="E1492" s="21"/>
      <c r="F1492" s="21">
        <f>(0)</f>
      </c>
      <c r="G1492" s="21">
        <f>(C1492 * E1492 + C1492 * E1492 * F1492)</f>
      </c>
    </row>
    <row r="1493">
      <c r="A1493" s="4"/>
      <c r="B1493" s="16" t="s">
        <v>1332</v>
      </c>
      <c r="C1493" s="21">
        <f>(4)*(1)*(1)*(1)*(1 + (0))</f>
      </c>
      <c r="D1493" s="21" t="s">
        <v>170</v>
      </c>
      <c r="E1493" s="21"/>
      <c r="F1493" s="21">
        <f>(0)</f>
      </c>
      <c r="G1493" s="21">
        <f>(C1493 * E1493 + C1493 * E1493 * F1493)</f>
      </c>
    </row>
    <row r="1494">
      <c r="A1494" s="4"/>
      <c r="B1494" s="16" t="s">
        <v>1333</v>
      </c>
      <c r="C1494" s="21">
        <f>(1)*(1)*(1)*(1)*(1 + (0))</f>
      </c>
      <c r="D1494" s="21" t="s">
        <v>170</v>
      </c>
      <c r="E1494" s="21"/>
      <c r="F1494" s="21">
        <f>(0)</f>
      </c>
      <c r="G1494" s="21">
        <f>(C1494 * E1494 + C1494 * E1494 * F1494)</f>
      </c>
    </row>
    <row r="1495">
      <c r="A1495" s="6"/>
      <c r="B1495" s="15" t="s">
        <v>1319</v>
      </c>
      <c r="C1495" s="23"/>
      <c r="D1495" s="23"/>
      <c r="E1495" s="23"/>
      <c r="F1495" s="23"/>
      <c r="G1495" s="23"/>
    </row>
    <row r="1496">
      <c r="A1496" s="4"/>
      <c r="B1496" s="16" t="s">
        <v>1321</v>
      </c>
      <c r="C1496" s="21">
        <f>(2)*(1)*(1)*(1)*(1 + (0))</f>
      </c>
      <c r="D1496" s="21" t="s">
        <v>170</v>
      </c>
      <c r="E1496" s="21"/>
      <c r="F1496" s="21">
        <f>(0)</f>
      </c>
      <c r="G1496" s="21">
        <f>(C1496 * E1496 + C1496 * E1496 * F1496)</f>
      </c>
    </row>
    <row r="1497">
      <c r="A1497" s="4"/>
      <c r="B1497" s="16" t="s">
        <v>1334</v>
      </c>
      <c r="C1497" s="21">
        <f>(1)*(1)*(1)*(1)*(1 + (0))</f>
      </c>
      <c r="D1497" s="21" t="s">
        <v>170</v>
      </c>
      <c r="E1497" s="21"/>
      <c r="F1497" s="21">
        <f>(0)</f>
      </c>
      <c r="G1497" s="21">
        <f>(C1497 * E1497 + C1497 * E1497 * F1497)</f>
      </c>
    </row>
    <row r="1498">
      <c r="A1498" s="4"/>
      <c r="B1498" s="16" t="s">
        <v>1335</v>
      </c>
      <c r="C1498" s="21">
        <f>(1)*(1)*(1)*(1)*(1 + (0))</f>
      </c>
      <c r="D1498" s="21" t="s">
        <v>170</v>
      </c>
      <c r="E1498" s="21"/>
      <c r="F1498" s="21">
        <f>(0)</f>
      </c>
      <c r="G1498" s="21">
        <f>(C1498 * E1498 + C1498 * E1498 * F1498)</f>
      </c>
    </row>
    <row r="1499">
      <c r="A1499" s="6"/>
      <c r="B1499" s="15" t="s">
        <v>1322</v>
      </c>
      <c r="C1499" s="23"/>
      <c r="D1499" s="23"/>
      <c r="E1499" s="23"/>
      <c r="F1499" s="23"/>
      <c r="G1499" s="23"/>
    </row>
    <row r="1500">
      <c r="A1500" s="4"/>
      <c r="B1500" s="16" t="s">
        <v>1324</v>
      </c>
      <c r="C1500" s="21">
        <f>(3)*(1)*(1)*(1)*(1 + (0))</f>
      </c>
      <c r="D1500" s="21" t="s">
        <v>170</v>
      </c>
      <c r="E1500" s="21"/>
      <c r="F1500" s="21">
        <f>(0)</f>
      </c>
      <c r="G1500" s="21">
        <f>(C1500 * E1500 + C1500 * E1500 * F1500)</f>
      </c>
    </row>
    <row r="1501">
      <c r="A1501" s="4"/>
      <c r="B1501" s="16" t="s">
        <v>1336</v>
      </c>
      <c r="C1501" s="21">
        <f>(2)*(1)*(1)*(1)*(1 + (0))</f>
      </c>
      <c r="D1501" s="21" t="s">
        <v>170</v>
      </c>
      <c r="E1501" s="21"/>
      <c r="F1501" s="21">
        <f>(0)</f>
      </c>
      <c r="G1501" s="21">
        <f>(C1501 * E1501 + C1501 * E1501 * F1501)</f>
      </c>
    </row>
    <row r="1502">
      <c r="A1502" s="4"/>
      <c r="B1502" s="16" t="s">
        <v>1337</v>
      </c>
      <c r="C1502" s="21">
        <f>(1)*(1)*(1)*(1)*(1 + (0))</f>
      </c>
      <c r="D1502" s="21" t="s">
        <v>170</v>
      </c>
      <c r="E1502" s="21"/>
      <c r="F1502" s="21">
        <f>(0)</f>
      </c>
      <c r="G1502" s="21">
        <f>(C1502 * E1502 + C1502 * E1502 * F1502)</f>
      </c>
    </row>
    <row r="1503">
      <c r="A1503" s="6"/>
      <c r="B1503" s="15" t="s">
        <v>1325</v>
      </c>
      <c r="C1503" s="23"/>
      <c r="D1503" s="23"/>
      <c r="E1503" s="23"/>
      <c r="F1503" s="23"/>
      <c r="G1503" s="23"/>
    </row>
    <row r="1504">
      <c r="A1504" s="4"/>
      <c r="B1504" s="16" t="s">
        <v>1338</v>
      </c>
      <c r="C1504" s="21">
        <f>(1)*(1)*(1)*(1)*(1 + (0))</f>
      </c>
      <c r="D1504" s="21" t="s">
        <v>170</v>
      </c>
      <c r="E1504" s="21"/>
      <c r="F1504" s="21">
        <f>(0)</f>
      </c>
      <c r="G1504" s="21">
        <f>(C1504 * E1504 + C1504 * E1504 * F1504)</f>
      </c>
    </row>
    <row r="1505">
      <c r="A1505" s="4"/>
      <c r="B1505" s="16" t="s">
        <v>1339</v>
      </c>
      <c r="C1505" s="21">
        <f>(1)*(1)*(1)*(1)*(1 + (0))</f>
      </c>
      <c r="D1505" s="21" t="s">
        <v>170</v>
      </c>
      <c r="E1505" s="21"/>
      <c r="F1505" s="21">
        <f>(0)</f>
      </c>
      <c r="G1505" s="21">
        <f>(C1505 * E1505 + C1505 * E1505 * F1505)</f>
      </c>
    </row>
    <row r="1506">
      <c r="A1506" s="5"/>
      <c r="B1506" s="13" t="s">
        <v>1257</v>
      </c>
      <c r="C1506" s="22"/>
      <c r="D1506" s="22"/>
      <c r="E1506" s="22"/>
      <c r="F1506" s="22"/>
      <c r="G1506" s="22"/>
    </row>
    <row r="1507">
      <c r="A1507" s="6"/>
      <c r="B1507" s="15" t="s">
        <v>1317</v>
      </c>
      <c r="C1507" s="23"/>
      <c r="D1507" s="23"/>
      <c r="E1507" s="23"/>
      <c r="F1507" s="23"/>
      <c r="G1507" s="23"/>
    </row>
    <row r="1508">
      <c r="A1508" s="4"/>
      <c r="B1508" s="16" t="s">
        <v>1329</v>
      </c>
      <c r="C1508" s="21">
        <f>(5)*(1)*(1)*(1)*(1 + (0))</f>
      </c>
      <c r="D1508" s="21" t="s">
        <v>170</v>
      </c>
      <c r="E1508" s="21"/>
      <c r="F1508" s="21">
        <f>(0)</f>
      </c>
      <c r="G1508" s="21">
        <f>(C1508 * E1508 + C1508 * E1508 * F1508)</f>
      </c>
    </row>
    <row r="1509">
      <c r="A1509" s="6"/>
      <c r="B1509" s="15" t="s">
        <v>1319</v>
      </c>
      <c r="C1509" s="23"/>
      <c r="D1509" s="23"/>
      <c r="E1509" s="23"/>
      <c r="F1509" s="23"/>
      <c r="G1509" s="23"/>
    </row>
    <row r="1510">
      <c r="A1510" s="4"/>
      <c r="B1510" s="16" t="s">
        <v>1321</v>
      </c>
      <c r="C1510" s="21">
        <f>(1)*(1)*(1)*(1)*(1 + (0))</f>
      </c>
      <c r="D1510" s="21" t="s">
        <v>170</v>
      </c>
      <c r="E1510" s="21"/>
      <c r="F1510" s="21">
        <f>(0)</f>
      </c>
      <c r="G1510" s="21">
        <f>(C1510 * E1510 + C1510 * E1510 * F1510)</f>
      </c>
    </row>
    <row r="1511">
      <c r="A1511" s="4"/>
      <c r="B1511" s="16" t="s">
        <v>1340</v>
      </c>
      <c r="C1511" s="21">
        <f>(2)*(1)*(1)*(1)*(1 + (0))</f>
      </c>
      <c r="D1511" s="21" t="s">
        <v>170</v>
      </c>
      <c r="E1511" s="21"/>
      <c r="F1511" s="21">
        <f>(0)</f>
      </c>
      <c r="G1511" s="21">
        <f>(C1511 * E1511 + C1511 * E1511 * F1511)</f>
      </c>
    </row>
    <row r="1512">
      <c r="A1512" s="3"/>
      <c r="B1512" s="11" t="s">
        <v>1341</v>
      </c>
      <c r="C1512" s="20"/>
      <c r="D1512" s="20"/>
      <c r="E1512" s="20"/>
      <c r="F1512" s="20"/>
      <c r="G1512" s="20"/>
    </row>
    <row r="1513">
      <c r="A1513" s="5"/>
      <c r="B1513" s="13" t="s">
        <v>1238</v>
      </c>
      <c r="C1513" s="22"/>
      <c r="D1513" s="22"/>
      <c r="E1513" s="22"/>
      <c r="F1513" s="22"/>
      <c r="G1513" s="22"/>
    </row>
    <row r="1514">
      <c r="A1514" s="4"/>
      <c r="B1514" s="14" t="s">
        <v>1342</v>
      </c>
      <c r="C1514" s="21">
        <f>(3)*(1)*(1)*(1)*(1 + (0))</f>
      </c>
      <c r="D1514" s="21" t="s">
        <v>170</v>
      </c>
      <c r="E1514" s="21"/>
      <c r="F1514" s="21">
        <f>(0)</f>
      </c>
      <c r="G1514" s="21">
        <f>(C1514 * E1514 + C1514 * E1514 * F1514)</f>
      </c>
    </row>
    <row r="1515">
      <c r="A1515" s="4"/>
      <c r="B1515" s="14" t="s">
        <v>1343</v>
      </c>
      <c r="C1515" s="21">
        <f>(4)*(1)*(1)*(1)*(1 + (0))</f>
      </c>
      <c r="D1515" s="21" t="s">
        <v>170</v>
      </c>
      <c r="E1515" s="21"/>
      <c r="F1515" s="21">
        <f>(0)</f>
      </c>
      <c r="G1515" s="21">
        <f>(C1515 * E1515 + C1515 * E1515 * F1515)</f>
      </c>
    </row>
    <row r="1516">
      <c r="A1516" s="4"/>
      <c r="B1516" s="14" t="s">
        <v>1344</v>
      </c>
      <c r="C1516" s="21">
        <f>(6)*(1)*(1)*(1)*(1 + (0))</f>
      </c>
      <c r="D1516" s="21" t="s">
        <v>170</v>
      </c>
      <c r="E1516" s="21"/>
      <c r="F1516" s="21">
        <f>(0)</f>
      </c>
      <c r="G1516" s="21">
        <f>(C1516 * E1516 + C1516 * E1516 * F1516)</f>
      </c>
    </row>
    <row r="1517">
      <c r="A1517" s="5"/>
      <c r="B1517" s="13" t="s">
        <v>1257</v>
      </c>
      <c r="C1517" s="22"/>
      <c r="D1517" s="22"/>
      <c r="E1517" s="22"/>
      <c r="F1517" s="22"/>
      <c r="G1517" s="22"/>
    </row>
    <row r="1518">
      <c r="A1518" s="4"/>
      <c r="B1518" s="14" t="s">
        <v>1343</v>
      </c>
      <c r="C1518" s="21">
        <f>(2)*(1)*(1)*(1)*(1 + (0))</f>
      </c>
      <c r="D1518" s="21" t="s">
        <v>170</v>
      </c>
      <c r="E1518" s="21"/>
      <c r="F1518" s="21">
        <f>(0)</f>
      </c>
      <c r="G1518" s="21">
        <f>(C1518 * E1518 + C1518 * E1518 * F1518)</f>
      </c>
    </row>
    <row r="1519">
      <c r="A1519" s="3"/>
      <c r="B1519" s="11" t="s">
        <v>1345</v>
      </c>
      <c r="C1519" s="20"/>
      <c r="D1519" s="20"/>
      <c r="E1519" s="20"/>
      <c r="F1519" s="20"/>
      <c r="G1519" s="20"/>
    </row>
    <row r="1520">
      <c r="A1520" s="5"/>
      <c r="B1520" s="13" t="s">
        <v>1238</v>
      </c>
      <c r="C1520" s="22"/>
      <c r="D1520" s="22"/>
      <c r="E1520" s="22"/>
      <c r="F1520" s="22"/>
      <c r="G1520" s="22"/>
    </row>
    <row r="1521">
      <c r="A1521" s="4"/>
      <c r="B1521" s="14" t="s">
        <v>1346</v>
      </c>
      <c r="C1521" s="21">
        <f>(19)*(1)*(1)*(1)*(1 + (0))</f>
      </c>
      <c r="D1521" s="21" t="s">
        <v>170</v>
      </c>
      <c r="E1521" s="21"/>
      <c r="F1521" s="21">
        <f>(0)</f>
      </c>
      <c r="G1521" s="21">
        <f>(C1521 * E1521 + C1521 * E1521 * F1521)</f>
      </c>
    </row>
    <row r="1522">
      <c r="A1522" s="4"/>
      <c r="B1522" s="14" t="s">
        <v>1343</v>
      </c>
      <c r="C1522" s="21">
        <f>(4)*(1)*(1)*(1)*(1 + (0))</f>
      </c>
      <c r="D1522" s="21" t="s">
        <v>170</v>
      </c>
      <c r="E1522" s="21"/>
      <c r="F1522" s="21">
        <f>(0)</f>
      </c>
      <c r="G1522" s="21">
        <f>(C1522 * E1522 + C1522 * E1522 * F1522)</f>
      </c>
    </row>
    <row r="1523">
      <c r="A1523" s="4"/>
      <c r="B1523" s="14" t="s">
        <v>1344</v>
      </c>
      <c r="C1523" s="21">
        <f>(3)*(1)*(1)*(1)*(1 + (0))</f>
      </c>
      <c r="D1523" s="21" t="s">
        <v>170</v>
      </c>
      <c r="E1523" s="21"/>
      <c r="F1523" s="21">
        <f>(0)</f>
      </c>
      <c r="G1523" s="21">
        <f>(C1523 * E1523 + C1523 * E1523 * F1523)</f>
      </c>
    </row>
    <row r="1524">
      <c r="A1524" s="4"/>
      <c r="B1524" s="14" t="s">
        <v>1347</v>
      </c>
      <c r="C1524" s="21">
        <f>(3)*(1)*(1)*(1)*(1 + (0))</f>
      </c>
      <c r="D1524" s="21" t="s">
        <v>170</v>
      </c>
      <c r="E1524" s="21"/>
      <c r="F1524" s="21">
        <f>(0)</f>
      </c>
      <c r="G1524" s="21">
        <f>(C1524 * E1524 + C1524 * E1524 * F1524)</f>
      </c>
    </row>
    <row r="1525">
      <c r="A1525" s="5"/>
      <c r="B1525" s="13" t="s">
        <v>1257</v>
      </c>
      <c r="C1525" s="22"/>
      <c r="D1525" s="22"/>
      <c r="E1525" s="22"/>
      <c r="F1525" s="22"/>
      <c r="G1525" s="22"/>
    </row>
    <row r="1526">
      <c r="A1526" s="4"/>
      <c r="B1526" s="14" t="s">
        <v>1346</v>
      </c>
      <c r="C1526" s="21">
        <f>(5)*(1)*(1)*(1)*(1 + (0))</f>
      </c>
      <c r="D1526" s="21" t="s">
        <v>170</v>
      </c>
      <c r="E1526" s="21"/>
      <c r="F1526" s="21">
        <f>(0)</f>
      </c>
      <c r="G1526" s="21">
        <f>(C1526 * E1526 + C1526 * E1526 * F1526)</f>
      </c>
    </row>
    <row r="1527">
      <c r="A1527" s="4"/>
      <c r="B1527" s="14" t="s">
        <v>1343</v>
      </c>
      <c r="C1527" s="21">
        <f>(3)*(1)*(1)*(1)*(1 + (0))</f>
      </c>
      <c r="D1527" s="21" t="s">
        <v>170</v>
      </c>
      <c r="E1527" s="21"/>
      <c r="F1527" s="21">
        <f>(0)</f>
      </c>
      <c r="G1527" s="21">
        <f>(C1527 * E1527 + C1527 * E1527 * F1527)</f>
      </c>
    </row>
    <row r="1528">
      <c r="A1528" s="3"/>
      <c r="B1528" s="11" t="s">
        <v>1348</v>
      </c>
      <c r="C1528" s="20"/>
      <c r="D1528" s="20"/>
      <c r="E1528" s="20"/>
      <c r="F1528" s="20"/>
      <c r="G1528" s="20"/>
    </row>
    <row r="1529">
      <c r="A1529" s="5"/>
      <c r="B1529" s="13" t="s">
        <v>1349</v>
      </c>
      <c r="C1529" s="22"/>
      <c r="D1529" s="22"/>
      <c r="E1529" s="22"/>
      <c r="F1529" s="22"/>
      <c r="G1529" s="22"/>
    </row>
    <row r="1530">
      <c r="A1530" s="6"/>
      <c r="B1530" s="15" t="s">
        <v>1350</v>
      </c>
      <c r="C1530" s="23"/>
      <c r="D1530" s="23"/>
      <c r="E1530" s="23"/>
      <c r="F1530" s="23"/>
      <c r="G1530" s="23"/>
    </row>
    <row r="1531">
      <c r="A1531" s="4"/>
      <c r="B1531" s="16" t="s">
        <v>1238</v>
      </c>
      <c r="C1531" s="21">
        <f>(27)*(1)*(1)*(1)*(1 + (0))</f>
      </c>
      <c r="D1531" s="21" t="s">
        <v>167</v>
      </c>
      <c r="E1531" s="21"/>
      <c r="F1531" s="21">
        <f>(0)</f>
      </c>
      <c r="G1531" s="21">
        <f>(C1531 * E1531 + C1531 * E1531 * F1531)</f>
      </c>
    </row>
    <row r="1532">
      <c r="A1532" s="6"/>
      <c r="B1532" s="15" t="s">
        <v>1351</v>
      </c>
      <c r="C1532" s="23"/>
      <c r="D1532" s="23"/>
      <c r="E1532" s="23"/>
      <c r="F1532" s="23"/>
      <c r="G1532" s="23"/>
    </row>
    <row r="1533">
      <c r="A1533" s="4"/>
      <c r="B1533" s="16" t="s">
        <v>1238</v>
      </c>
      <c r="C1533" s="21">
        <f>(8)*(1)*(1)*(1)*(1 + (0))</f>
      </c>
      <c r="D1533" s="21" t="s">
        <v>167</v>
      </c>
      <c r="E1533" s="21"/>
      <c r="F1533" s="21">
        <f>(0)</f>
      </c>
      <c r="G1533" s="21">
        <f>(C1533 * E1533 + C1533 * E1533 * F1533)</f>
      </c>
    </row>
    <row r="1534">
      <c r="A1534" s="5"/>
      <c r="B1534" s="13" t="s">
        <v>1352</v>
      </c>
      <c r="C1534" s="22"/>
      <c r="D1534" s="22"/>
      <c r="E1534" s="22"/>
      <c r="F1534" s="22"/>
      <c r="G1534" s="22"/>
    </row>
    <row r="1535">
      <c r="A1535" s="6"/>
      <c r="B1535" s="15" t="s">
        <v>1350</v>
      </c>
      <c r="C1535" s="23"/>
      <c r="D1535" s="23"/>
      <c r="E1535" s="23"/>
      <c r="F1535" s="23"/>
      <c r="G1535" s="23"/>
    </row>
    <row r="1536">
      <c r="A1536" s="4"/>
      <c r="B1536" s="16" t="s">
        <v>1238</v>
      </c>
      <c r="C1536" s="21">
        <f>(56)*(1)*(1)*(1)*(1 + (0))</f>
      </c>
      <c r="D1536" s="21" t="s">
        <v>167</v>
      </c>
      <c r="E1536" s="21"/>
      <c r="F1536" s="21">
        <f>(0)</f>
      </c>
      <c r="G1536" s="21">
        <f>(C1536 * E1536 + C1536 * E1536 * F1536)</f>
      </c>
    </row>
    <row r="1537">
      <c r="A1537" s="6"/>
      <c r="B1537" s="15" t="s">
        <v>1351</v>
      </c>
      <c r="C1537" s="23"/>
      <c r="D1537" s="23"/>
      <c r="E1537" s="23"/>
      <c r="F1537" s="23"/>
      <c r="G1537" s="23"/>
    </row>
    <row r="1538">
      <c r="A1538" s="4"/>
      <c r="B1538" s="16" t="s">
        <v>1238</v>
      </c>
      <c r="C1538" s="21">
        <f>(33)*(1)*(1)*(1)*(1 + (0))</f>
      </c>
      <c r="D1538" s="21" t="s">
        <v>167</v>
      </c>
      <c r="E1538" s="21"/>
      <c r="F1538" s="21">
        <f>(0)</f>
      </c>
      <c r="G1538" s="21">
        <f>(C1538 * E1538 + C1538 * E1538 * F1538)</f>
      </c>
    </row>
    <row r="1539">
      <c r="A1539" s="6"/>
      <c r="B1539" s="15" t="s">
        <v>1353</v>
      </c>
      <c r="C1539" s="23"/>
      <c r="D1539" s="23"/>
      <c r="E1539" s="23"/>
      <c r="F1539" s="23"/>
      <c r="G1539" s="23"/>
    </row>
    <row r="1540">
      <c r="A1540" s="4"/>
      <c r="B1540" s="16" t="s">
        <v>1238</v>
      </c>
      <c r="C1540" s="21">
        <f>(4)*(1)*(1)*(1)*(1 + (0))</f>
      </c>
      <c r="D1540" s="21" t="s">
        <v>167</v>
      </c>
      <c r="E1540" s="21"/>
      <c r="F1540" s="21">
        <f>(0)</f>
      </c>
      <c r="G1540" s="21">
        <f>(C1540 * E1540 + C1540 * E1540 * F1540)</f>
      </c>
    </row>
    <row r="1541">
      <c r="A1541" s="3"/>
      <c r="B1541" s="11" t="s">
        <v>1354</v>
      </c>
      <c r="C1541" s="20"/>
      <c r="D1541" s="20"/>
      <c r="E1541" s="20"/>
      <c r="F1541" s="20"/>
      <c r="G1541" s="20"/>
    </row>
    <row r="1542">
      <c r="A1542" s="5"/>
      <c r="B1542" s="13" t="s">
        <v>1355</v>
      </c>
      <c r="C1542" s="22"/>
      <c r="D1542" s="22"/>
      <c r="E1542" s="22"/>
      <c r="F1542" s="22"/>
      <c r="G1542" s="22"/>
    </row>
    <row r="1543">
      <c r="A1543" s="6"/>
      <c r="B1543" s="15" t="s">
        <v>1356</v>
      </c>
      <c r="C1543" s="23"/>
      <c r="D1543" s="23"/>
      <c r="E1543" s="23"/>
      <c r="F1543" s="23"/>
      <c r="G1543" s="23"/>
    </row>
    <row r="1544">
      <c r="A1544" s="4"/>
      <c r="B1544" s="16" t="s">
        <v>1238</v>
      </c>
      <c r="C1544" s="21">
        <f>(10)*(1)*(1)*(1)*(1 + (0))</f>
      </c>
      <c r="D1544" s="21" t="s">
        <v>167</v>
      </c>
      <c r="E1544" s="21"/>
      <c r="F1544" s="21">
        <f>(0)</f>
      </c>
      <c r="G1544" s="21">
        <f>(C1544 * E1544 + C1544 * E1544 * F1544)</f>
      </c>
    </row>
    <row r="1545">
      <c r="A1545" s="5"/>
      <c r="B1545" s="13" t="s">
        <v>1357</v>
      </c>
      <c r="C1545" s="22"/>
      <c r="D1545" s="22"/>
      <c r="E1545" s="22"/>
      <c r="F1545" s="22"/>
      <c r="G1545" s="22"/>
    </row>
    <row r="1546">
      <c r="A1546" s="6"/>
      <c r="B1546" s="15" t="s">
        <v>1356</v>
      </c>
      <c r="C1546" s="23"/>
      <c r="D1546" s="23"/>
      <c r="E1546" s="23"/>
      <c r="F1546" s="23"/>
      <c r="G1546" s="23"/>
    </row>
    <row r="1547">
      <c r="A1547" s="4"/>
      <c r="B1547" s="16" t="s">
        <v>1238</v>
      </c>
      <c r="C1547" s="21">
        <f>(12)*(1)*(1)*(1)*(1 + (0))</f>
      </c>
      <c r="D1547" s="21" t="s">
        <v>167</v>
      </c>
      <c r="E1547" s="21"/>
      <c r="F1547" s="21">
        <f>(0)</f>
      </c>
      <c r="G1547" s="21">
        <f>(C1547 * E1547 + C1547 * E1547 * F1547)</f>
      </c>
    </row>
    <row r="1548">
      <c r="A1548" s="3"/>
      <c r="B1548" s="11" t="s">
        <v>1358</v>
      </c>
      <c r="C1548" s="20"/>
      <c r="D1548" s="20"/>
      <c r="E1548" s="20"/>
      <c r="F1548" s="20"/>
      <c r="G1548" s="20"/>
    </row>
    <row r="1549">
      <c r="A1549" s="5"/>
      <c r="B1549" s="13" t="s">
        <v>1359</v>
      </c>
      <c r="C1549" s="22"/>
      <c r="D1549" s="22"/>
      <c r="E1549" s="22"/>
      <c r="F1549" s="22"/>
      <c r="G1549" s="22"/>
    </row>
    <row r="1550">
      <c r="A1550" s="6"/>
      <c r="B1550" s="15" t="s">
        <v>1360</v>
      </c>
      <c r="C1550" s="23"/>
      <c r="D1550" s="23"/>
      <c r="E1550" s="23"/>
      <c r="F1550" s="23"/>
      <c r="G1550" s="23"/>
    </row>
    <row r="1551">
      <c r="A1551" s="4"/>
      <c r="B1551" s="16" t="s">
        <v>1238</v>
      </c>
      <c r="C1551" s="21">
        <f>(4)*(1)*(1)*(1)*(1 + (0))</f>
      </c>
      <c r="D1551" s="21" t="s">
        <v>170</v>
      </c>
      <c r="E1551" s="21"/>
      <c r="F1551" s="21">
        <f>(0)</f>
      </c>
      <c r="G1551" s="21">
        <f>(C1551 * E1551 + C1551 * E1551 * F1551)</f>
      </c>
    </row>
    <row r="1552">
      <c r="A1552" s="5"/>
      <c r="B1552" s="13" t="s">
        <v>1361</v>
      </c>
      <c r="C1552" s="22"/>
      <c r="D1552" s="22"/>
      <c r="E1552" s="22"/>
      <c r="F1552" s="22"/>
      <c r="G1552" s="22"/>
    </row>
    <row r="1553">
      <c r="A1553" s="6"/>
      <c r="B1553" s="15" t="s">
        <v>1360</v>
      </c>
      <c r="C1553" s="23"/>
      <c r="D1553" s="23"/>
      <c r="E1553" s="23"/>
      <c r="F1553" s="23"/>
      <c r="G1553" s="23"/>
    </row>
    <row r="1554">
      <c r="A1554" s="4"/>
      <c r="B1554" s="16" t="s">
        <v>1238</v>
      </c>
      <c r="C1554" s="21">
        <f>(22)*(1)*(1)*(1)*(1 + (0))</f>
      </c>
      <c r="D1554" s="21" t="s">
        <v>170</v>
      </c>
      <c r="E1554" s="21"/>
      <c r="F1554" s="21">
        <f>(0)</f>
      </c>
      <c r="G1554" s="21">
        <f>(C1554 * E1554 + C1554 * E1554 * F1554)</f>
      </c>
    </row>
    <row r="1555">
      <c r="A1555" s="4"/>
      <c r="B1555" s="16" t="s">
        <v>1257</v>
      </c>
      <c r="C1555" s="21">
        <f>(5)*(1)*(1)*(1)*(1 + (0))</f>
      </c>
      <c r="D1555" s="21" t="s">
        <v>170</v>
      </c>
      <c r="E1555" s="21"/>
      <c r="F1555" s="21">
        <f>(0)</f>
      </c>
      <c r="G1555" s="21">
        <f>(C1555 * E1555 + C1555 * E1555 * F1555)</f>
      </c>
    </row>
    <row r="1556">
      <c r="A1556" s="2"/>
      <c r="B1556" s="10" t="s">
        <v>1362</v>
      </c>
      <c r="C1556" s="19"/>
      <c r="D1556" s="19"/>
      <c r="E1556" s="19"/>
      <c r="F1556" s="19"/>
      <c r="G1556" s="19"/>
    </row>
    <row r="1557">
      <c r="A1557" s="3"/>
      <c r="B1557" s="11" t="s">
        <v>14</v>
      </c>
      <c r="C1557" s="20"/>
      <c r="D1557" s="20"/>
      <c r="E1557" s="20"/>
      <c r="F1557" s="20"/>
      <c r="G1557" s="20"/>
    </row>
    <row r="1558">
      <c r="A1558" s="4" t="s">
        <v>1363</v>
      </c>
      <c r="B1558" s="12" t="s">
        <v>16</v>
      </c>
      <c r="C1558" s="21"/>
      <c r="D1558" s="21" t="s">
        <v>17</v>
      </c>
      <c r="E1558" s="21"/>
      <c r="F1558" s="21">
        <f>(0)</f>
      </c>
      <c r="G1558" s="21">
        <f>(C1558 * E1558 + C1558 * E1558 * F1558)</f>
      </c>
    </row>
    <row r="1559">
      <c r="A1559" s="4" t="s">
        <v>1364</v>
      </c>
      <c r="B1559" s="12" t="s">
        <v>19</v>
      </c>
      <c r="C1559" s="21"/>
      <c r="D1559" s="21" t="s">
        <v>17</v>
      </c>
      <c r="E1559" s="21"/>
      <c r="F1559" s="21">
        <f>(0)</f>
      </c>
      <c r="G1559" s="21">
        <f>(C1559 * E1559 + C1559 * E1559 * F1559)</f>
      </c>
    </row>
    <row r="1560">
      <c r="A1560" s="3"/>
      <c r="B1560" s="11" t="s">
        <v>22</v>
      </c>
      <c r="C1560" s="20"/>
      <c r="D1560" s="20"/>
      <c r="E1560" s="20"/>
      <c r="F1560" s="20"/>
      <c r="G1560" s="20"/>
    </row>
    <row r="1561">
      <c r="A1561" s="4"/>
      <c r="B1561" s="12" t="s">
        <v>1365</v>
      </c>
      <c r="C1561" s="21"/>
      <c r="D1561" s="21" t="s">
        <v>17</v>
      </c>
      <c r="E1561" s="21"/>
      <c r="F1561" s="21">
        <f>(0)</f>
      </c>
      <c r="G1561" s="21">
        <f>(C1561 * E1561 + C1561 * E1561 * F1561)</f>
      </c>
    </row>
    <row r="1562">
      <c r="A1562" s="4"/>
      <c r="B1562" s="12" t="s">
        <v>1366</v>
      </c>
      <c r="C1562" s="21"/>
      <c r="D1562" s="21" t="s">
        <v>17</v>
      </c>
      <c r="E1562" s="21"/>
      <c r="F1562" s="21">
        <f>(0)</f>
      </c>
      <c r="G1562" s="21">
        <f>(C1562 * E1562 + C1562 * E1562 * F1562)</f>
      </c>
    </row>
    <row r="1563">
      <c r="A1563" s="4"/>
      <c r="B1563" s="12" t="s">
        <v>1367</v>
      </c>
      <c r="C1563" s="21"/>
      <c r="D1563" s="21" t="s">
        <v>17</v>
      </c>
      <c r="E1563" s="21"/>
      <c r="F1563" s="21">
        <f>(0)</f>
      </c>
      <c r="G1563" s="21">
        <f>(C1563 * E1563 + C1563 * E1563 * F1563)</f>
      </c>
    </row>
    <row r="1564">
      <c r="A1564" s="4"/>
      <c r="B1564" s="12" t="s">
        <v>1368</v>
      </c>
      <c r="C1564" s="21"/>
      <c r="D1564" s="21" t="s">
        <v>17</v>
      </c>
      <c r="E1564" s="21"/>
      <c r="F1564" s="21">
        <f>(0)</f>
      </c>
      <c r="G1564" s="21">
        <f>(C1564 * E1564 + C1564 * E1564 * F1564)</f>
      </c>
    </row>
    <row r="1565">
      <c r="A1565" s="4"/>
      <c r="B1565" s="12" t="s">
        <v>1296</v>
      </c>
      <c r="C1565" s="21"/>
      <c r="D1565" s="21" t="s">
        <v>17</v>
      </c>
      <c r="E1565" s="21"/>
      <c r="F1565" s="21">
        <f>(0)</f>
      </c>
      <c r="G1565" s="21">
        <f>(C1565 * E1565 + C1565 * E1565 * F1565)</f>
      </c>
    </row>
    <row r="1566">
      <c r="A1566" s="3"/>
      <c r="B1566" s="11" t="s">
        <v>24</v>
      </c>
      <c r="C1566" s="20"/>
      <c r="D1566" s="20"/>
      <c r="E1566" s="20"/>
      <c r="F1566" s="20"/>
      <c r="G1566" s="20"/>
    </row>
    <row r="1567">
      <c r="A1567" s="5"/>
      <c r="B1567" s="13" t="s">
        <v>25</v>
      </c>
      <c r="C1567" s="22"/>
      <c r="D1567" s="22"/>
      <c r="E1567" s="22"/>
      <c r="F1567" s="22"/>
      <c r="G1567" s="22"/>
    </row>
    <row r="1568">
      <c r="A1568" s="4" t="s">
        <v>1369</v>
      </c>
      <c r="B1568" s="14" t="s">
        <v>194</v>
      </c>
      <c r="C1568" s="21"/>
      <c r="D1568" s="21" t="s">
        <v>17</v>
      </c>
      <c r="E1568" s="21"/>
      <c r="F1568" s="21">
        <f>(0)</f>
      </c>
      <c r="G1568" s="21">
        <f>(C1568 * E1568 + C1568 * E1568 * F1568)</f>
      </c>
    </row>
    <row r="1569">
      <c r="A1569" s="6"/>
      <c r="B1569" s="15" t="s">
        <v>1141</v>
      </c>
      <c r="C1569" s="23"/>
      <c r="D1569" s="23"/>
      <c r="E1569" s="23"/>
      <c r="F1569" s="23"/>
      <c r="G1569" s="23"/>
    </row>
    <row r="1570">
      <c r="A1570" s="4" t="s">
        <v>1142</v>
      </c>
      <c r="B1570" s="16" t="s">
        <v>617</v>
      </c>
      <c r="C1570" s="21"/>
      <c r="D1570" s="21" t="s">
        <v>17</v>
      </c>
      <c r="E1570" s="21"/>
      <c r="F1570" s="21">
        <f>(0)</f>
      </c>
      <c r="G1570" s="21">
        <f>(C1570 * E1570 + C1570 * E1570 * F1570)</f>
      </c>
    </row>
    <row r="1571">
      <c r="A1571" s="4" t="s">
        <v>1143</v>
      </c>
      <c r="B1571" s="16" t="s">
        <v>619</v>
      </c>
      <c r="C1571" s="21"/>
      <c r="D1571" s="21" t="s">
        <v>17</v>
      </c>
      <c r="E1571" s="21"/>
      <c r="F1571" s="21">
        <f>(0)</f>
      </c>
      <c r="G1571" s="21">
        <f>(C1571 * E1571 + C1571 * E1571 * F1571)</f>
      </c>
    </row>
    <row r="1572">
      <c r="A1572" s="4" t="s">
        <v>1144</v>
      </c>
      <c r="B1572" s="16" t="s">
        <v>621</v>
      </c>
      <c r="C1572" s="21"/>
      <c r="D1572" s="21" t="s">
        <v>17</v>
      </c>
      <c r="E1572" s="21"/>
      <c r="F1572" s="21">
        <f>(0)</f>
      </c>
      <c r="G1572" s="21">
        <f>(C1572 * E1572 + C1572 * E1572 * F1572)</f>
      </c>
    </row>
    <row r="1573">
      <c r="A1573" s="4" t="s">
        <v>1145</v>
      </c>
      <c r="B1573" s="16" t="s">
        <v>625</v>
      </c>
      <c r="C1573" s="21"/>
      <c r="D1573" s="21" t="s">
        <v>17</v>
      </c>
      <c r="E1573" s="21"/>
      <c r="F1573" s="21">
        <f>(0)</f>
      </c>
      <c r="G1573" s="21">
        <f>(C1573 * E1573 + C1573 * E1573 * F1573)</f>
      </c>
    </row>
    <row r="1574">
      <c r="A1574" s="4" t="s">
        <v>1146</v>
      </c>
      <c r="B1574" s="16" t="s">
        <v>1147</v>
      </c>
      <c r="C1574" s="21"/>
      <c r="D1574" s="21" t="s">
        <v>17</v>
      </c>
      <c r="E1574" s="21"/>
      <c r="F1574" s="21">
        <f>(0)</f>
      </c>
      <c r="G1574" s="21">
        <f>(C1574 * E1574 + C1574 * E1574 * F1574)</f>
      </c>
    </row>
    <row r="1575">
      <c r="A1575" s="6"/>
      <c r="B1575" s="15" t="s">
        <v>1148</v>
      </c>
      <c r="C1575" s="23"/>
      <c r="D1575" s="23"/>
      <c r="E1575" s="23"/>
      <c r="F1575" s="23"/>
      <c r="G1575" s="23"/>
    </row>
    <row r="1576">
      <c r="A1576" s="4" t="s">
        <v>1149</v>
      </c>
      <c r="B1576" s="16" t="s">
        <v>1150</v>
      </c>
      <c r="C1576" s="21"/>
      <c r="D1576" s="21" t="s">
        <v>17</v>
      </c>
      <c r="E1576" s="21"/>
      <c r="F1576" s="21">
        <f>(0)</f>
      </c>
      <c r="G1576" s="21">
        <f>(C1576 * E1576 + C1576 * E1576 * F1576)</f>
      </c>
    </row>
    <row r="1577">
      <c r="A1577" s="4" t="s">
        <v>1151</v>
      </c>
      <c r="B1577" s="16" t="s">
        <v>1152</v>
      </c>
      <c r="C1577" s="21"/>
      <c r="D1577" s="21" t="s">
        <v>17</v>
      </c>
      <c r="E1577" s="21"/>
      <c r="F1577" s="21">
        <f>(0)</f>
      </c>
      <c r="G1577" s="21">
        <f>(C1577 * E1577 + C1577 * E1577 * F1577)</f>
      </c>
    </row>
    <row r="1578">
      <c r="A1578" s="4" t="s">
        <v>1153</v>
      </c>
      <c r="B1578" s="16" t="s">
        <v>1154</v>
      </c>
      <c r="C1578" s="21"/>
      <c r="D1578" s="21" t="s">
        <v>17</v>
      </c>
      <c r="E1578" s="21"/>
      <c r="F1578" s="21">
        <f>(0)</f>
      </c>
      <c r="G1578" s="21">
        <f>(C1578 * E1578 + C1578 * E1578 * F1578)</f>
      </c>
    </row>
    <row r="1579">
      <c r="A1579" s="4" t="s">
        <v>1155</v>
      </c>
      <c r="B1579" s="16" t="s">
        <v>1156</v>
      </c>
      <c r="C1579" s="21"/>
      <c r="D1579" s="21" t="s">
        <v>17</v>
      </c>
      <c r="E1579" s="21"/>
      <c r="F1579" s="21">
        <f>(0)</f>
      </c>
      <c r="G1579" s="21">
        <f>(C1579 * E1579 + C1579 * E1579 * F1579)</f>
      </c>
    </row>
    <row r="1580">
      <c r="A1580" s="4" t="s">
        <v>1157</v>
      </c>
      <c r="B1580" s="16" t="s">
        <v>1158</v>
      </c>
      <c r="C1580" s="21"/>
      <c r="D1580" s="21" t="s">
        <v>17</v>
      </c>
      <c r="E1580" s="21"/>
      <c r="F1580" s="21">
        <f>(0)</f>
      </c>
      <c r="G1580" s="21">
        <f>(C1580 * E1580 + C1580 * E1580 * F1580)</f>
      </c>
    </row>
    <row r="1581">
      <c r="A1581" s="4" t="s">
        <v>1159</v>
      </c>
      <c r="B1581" s="16" t="s">
        <v>1139</v>
      </c>
      <c r="C1581" s="21"/>
      <c r="D1581" s="21" t="s">
        <v>17</v>
      </c>
      <c r="E1581" s="21"/>
      <c r="F1581" s="21">
        <f>(0)</f>
      </c>
      <c r="G1581" s="21">
        <f>(C1581 * E1581 + C1581 * E1581 * F1581)</f>
      </c>
    </row>
    <row r="1582">
      <c r="A1582" s="6"/>
      <c r="B1582" s="15" t="s">
        <v>1160</v>
      </c>
      <c r="C1582" s="23"/>
      <c r="D1582" s="23"/>
      <c r="E1582" s="23"/>
      <c r="F1582" s="23"/>
      <c r="G1582" s="23"/>
    </row>
    <row r="1583">
      <c r="A1583" s="4" t="s">
        <v>1161</v>
      </c>
      <c r="B1583" s="16" t="s">
        <v>820</v>
      </c>
      <c r="C1583" s="21"/>
      <c r="D1583" s="21" t="s">
        <v>17</v>
      </c>
      <c r="E1583" s="21"/>
      <c r="F1583" s="21">
        <f>(0)</f>
      </c>
      <c r="G1583" s="21">
        <f>(C1583 * E1583 + C1583 * E1583 * F1583)</f>
      </c>
    </row>
    <row r="1584">
      <c r="A1584" s="4" t="s">
        <v>1162</v>
      </c>
      <c r="B1584" s="16" t="s">
        <v>1067</v>
      </c>
      <c r="C1584" s="21"/>
      <c r="D1584" s="21" t="s">
        <v>17</v>
      </c>
      <c r="E1584" s="21"/>
      <c r="F1584" s="21">
        <f>(0)</f>
      </c>
      <c r="G1584" s="21">
        <f>(C1584 * E1584 + C1584 * E1584 * F1584)</f>
      </c>
    </row>
    <row r="1585">
      <c r="A1585" s="4" t="s">
        <v>1163</v>
      </c>
      <c r="B1585" s="16" t="s">
        <v>818</v>
      </c>
      <c r="C1585" s="21"/>
      <c r="D1585" s="21" t="s">
        <v>17</v>
      </c>
      <c r="E1585" s="21"/>
      <c r="F1585" s="21">
        <f>(0)</f>
      </c>
      <c r="G1585" s="21">
        <f>(C1585 * E1585 + C1585 * E1585 * F1585)</f>
      </c>
    </row>
    <row r="1586">
      <c r="A1586" s="3"/>
      <c r="B1586" s="11" t="s">
        <v>42</v>
      </c>
      <c r="C1586" s="20"/>
      <c r="D1586" s="20"/>
      <c r="E1586" s="20"/>
      <c r="F1586" s="20"/>
      <c r="G1586" s="20"/>
    </row>
    <row r="1587">
      <c r="A1587" s="4" t="s">
        <v>1175</v>
      </c>
      <c r="B1587" s="12" t="s">
        <v>1176</v>
      </c>
      <c r="C1587" s="21">
        <f>(1)*(1)*(1)*(1)*(1 + (0))</f>
      </c>
      <c r="D1587" s="21" t="s">
        <v>45</v>
      </c>
      <c r="E1587" s="21"/>
      <c r="F1587" s="21">
        <f>(0)</f>
      </c>
      <c r="G1587" s="21">
        <f>(C1587 * E1587 + C1587 * E1587 * F1587)</f>
      </c>
    </row>
    <row r="1588">
      <c r="A1588" s="4" t="s">
        <v>1177</v>
      </c>
      <c r="B1588" s="12" t="s">
        <v>1178</v>
      </c>
      <c r="C1588" s="21">
        <f>(1)*(1)*(1)*(1)*(1 + (0))</f>
      </c>
      <c r="D1588" s="21" t="s">
        <v>45</v>
      </c>
      <c r="E1588" s="21"/>
      <c r="F1588" s="21">
        <f>(0)</f>
      </c>
      <c r="G1588" s="21">
        <f>(C1588 * E1588 + C1588 * E1588 * F1588)</f>
      </c>
    </row>
    <row r="1589">
      <c r="A1589" s="4" t="s">
        <v>1179</v>
      </c>
      <c r="B1589" s="12" t="s">
        <v>894</v>
      </c>
      <c r="C1589" s="21">
        <f>(1)*(1)*(1)*(1)*(1 + (0))</f>
      </c>
      <c r="D1589" s="21" t="s">
        <v>45</v>
      </c>
      <c r="E1589" s="21"/>
      <c r="F1589" s="21">
        <f>(0)</f>
      </c>
      <c r="G1589" s="21">
        <f>(C1589 * E1589 + C1589 * E1589 * F1589)</f>
      </c>
    </row>
    <row r="1590">
      <c r="A1590" s="4" t="s">
        <v>1370</v>
      </c>
      <c r="B1590" s="12" t="s">
        <v>486</v>
      </c>
      <c r="C1590" s="21">
        <f>(1)*(1)*(1)*(1)*(1 + (0))</f>
      </c>
      <c r="D1590" s="21" t="s">
        <v>45</v>
      </c>
      <c r="E1590" s="21"/>
      <c r="F1590" s="21">
        <f>(0)</f>
      </c>
      <c r="G1590" s="21">
        <f>(C1590 * E1590 + C1590 * E1590 * F1590)</f>
      </c>
    </row>
    <row r="1591">
      <c r="A1591" s="4" t="s">
        <v>1371</v>
      </c>
      <c r="B1591" s="12" t="s">
        <v>59</v>
      </c>
      <c r="C1591" s="21">
        <f>(1)*(1)*(1)*(1)*(1 + (0))</f>
      </c>
      <c r="D1591" s="21" t="s">
        <v>45</v>
      </c>
      <c r="E1591" s="21"/>
      <c r="F1591" s="21">
        <f>(0)</f>
      </c>
      <c r="G1591" s="21">
        <f>(C1591 * E1591 + C1591 * E1591 * F1591)</f>
      </c>
    </row>
    <row r="1592">
      <c r="A1592" s="4" t="s">
        <v>1180</v>
      </c>
      <c r="B1592" s="12" t="s">
        <v>1181</v>
      </c>
      <c r="C1592" s="21">
        <f>(1)*(1)*(1)*(1)*(1 + (0))</f>
      </c>
      <c r="D1592" s="21" t="s">
        <v>45</v>
      </c>
      <c r="E1592" s="21"/>
      <c r="F1592" s="21">
        <f>(0)</f>
      </c>
      <c r="G1592" s="21">
        <f>(C1592 * E1592 + C1592 * E1592 * F1592)</f>
      </c>
    </row>
    <row r="1593">
      <c r="A1593" s="4" t="s">
        <v>1182</v>
      </c>
      <c r="B1593" s="12" t="s">
        <v>1183</v>
      </c>
      <c r="C1593" s="21">
        <f>(1)*(1)*(1)*(1)*(1 + (0))</f>
      </c>
      <c r="D1593" s="21" t="s">
        <v>45</v>
      </c>
      <c r="E1593" s="21"/>
      <c r="F1593" s="21">
        <f>(0)</f>
      </c>
      <c r="G1593" s="21">
        <f>(C1593 * E1593 + C1593 * E1593 * F1593)</f>
      </c>
    </row>
    <row r="1594">
      <c r="A1594" s="4" t="s">
        <v>1372</v>
      </c>
      <c r="B1594" s="12" t="s">
        <v>1019</v>
      </c>
      <c r="C1594" s="21">
        <f>(1)*(1)*(1)*(1)*(1 + (0))</f>
      </c>
      <c r="D1594" s="21" t="s">
        <v>45</v>
      </c>
      <c r="E1594" s="21"/>
      <c r="F1594" s="21">
        <f>(0)</f>
      </c>
      <c r="G1594" s="21">
        <f>(C1594 * E1594 + C1594 * E1594 * F1594)</f>
      </c>
    </row>
    <row r="1595">
      <c r="A1595" s="4" t="s">
        <v>1373</v>
      </c>
      <c r="B1595" s="12" t="s">
        <v>1169</v>
      </c>
      <c r="C1595" s="21">
        <f>(1)*(1)*(1)*(1)*(1 + (0))</f>
      </c>
      <c r="D1595" s="21" t="s">
        <v>45</v>
      </c>
      <c r="E1595" s="21"/>
      <c r="F1595" s="21">
        <f>(0)</f>
      </c>
      <c r="G1595" s="21">
        <f>(C1595 * E1595 + C1595 * E1595 * F1595)</f>
      </c>
    </row>
    <row r="1596">
      <c r="A1596" s="4" t="s">
        <v>1184</v>
      </c>
      <c r="B1596" s="12" t="s">
        <v>834</v>
      </c>
      <c r="C1596" s="21">
        <f>(1)*(1)*(1)*(1)*(1 + (0))</f>
      </c>
      <c r="D1596" s="21" t="s">
        <v>45</v>
      </c>
      <c r="E1596" s="21"/>
      <c r="F1596" s="21">
        <f>(0)</f>
      </c>
      <c r="G1596" s="21">
        <f>(C1596 * E1596 + C1596 * E1596 * F1596)</f>
      </c>
    </row>
    <row r="1597">
      <c r="A1597" s="4" t="s">
        <v>1374</v>
      </c>
      <c r="B1597" s="12" t="s">
        <v>832</v>
      </c>
      <c r="C1597" s="21">
        <f>(1)*(1)*(1)*(1)*(1 + (0))</f>
      </c>
      <c r="D1597" s="21" t="s">
        <v>45</v>
      </c>
      <c r="E1597" s="21"/>
      <c r="F1597" s="21">
        <f>(0)</f>
      </c>
      <c r="G1597" s="21">
        <f>(C1597 * E1597 + C1597 * E1597 * F1597)</f>
      </c>
    </row>
    <row r="1598">
      <c r="A1598" s="3"/>
      <c r="B1598" s="11" t="s">
        <v>82</v>
      </c>
      <c r="C1598" s="20"/>
      <c r="D1598" s="20"/>
      <c r="E1598" s="20"/>
      <c r="F1598" s="20"/>
      <c r="G1598" s="20"/>
    </row>
    <row r="1599">
      <c r="A1599" s="4"/>
      <c r="B1599" s="12" t="s">
        <v>1375</v>
      </c>
      <c r="C1599" s="21"/>
      <c r="D1599" s="21" t="s">
        <v>17</v>
      </c>
      <c r="E1599" s="21"/>
      <c r="F1599" s="21">
        <f>(0)</f>
      </c>
      <c r="G1599" s="21">
        <f>(C1599 * E1599 + C1599 * E1599 * F1599)</f>
      </c>
    </row>
    <row r="1600">
      <c r="A1600" s="4"/>
      <c r="B1600" s="12" t="s">
        <v>1376</v>
      </c>
      <c r="C1600" s="21"/>
      <c r="D1600" s="21" t="s">
        <v>17</v>
      </c>
      <c r="E1600" s="21"/>
      <c r="F1600" s="21">
        <f>(0)</f>
      </c>
      <c r="G1600" s="21">
        <f>(C1600 * E1600 + C1600 * E1600 * F1600)</f>
      </c>
    </row>
    <row r="1601">
      <c r="A1601" s="4"/>
      <c r="B1601" s="12" t="s">
        <v>1377</v>
      </c>
      <c r="C1601" s="21"/>
      <c r="D1601" s="21" t="s">
        <v>17</v>
      </c>
      <c r="E1601" s="21"/>
      <c r="F1601" s="21">
        <f>(0)</f>
      </c>
      <c r="G1601" s="21">
        <f>(C1601 * E1601 + C1601 * E1601 * F1601)</f>
      </c>
    </row>
    <row r="1602">
      <c r="A1602" s="4"/>
      <c r="B1602" s="12" t="s">
        <v>1378</v>
      </c>
      <c r="C1602" s="21"/>
      <c r="D1602" s="21" t="s">
        <v>264</v>
      </c>
      <c r="E1602" s="21"/>
      <c r="F1602" s="21">
        <f>(0)</f>
      </c>
      <c r="G1602" s="21">
        <f>(C1602 * E1602 + C1602 * E1602 * F1602)</f>
      </c>
    </row>
    <row r="1603">
      <c r="A1603" s="3"/>
      <c r="B1603" s="11" t="s">
        <v>1379</v>
      </c>
      <c r="C1603" s="20"/>
      <c r="D1603" s="20"/>
      <c r="E1603" s="20"/>
      <c r="F1603" s="20"/>
      <c r="G1603" s="20"/>
    </row>
    <row r="1604">
      <c r="A1604" s="5"/>
      <c r="B1604" s="13" t="s">
        <v>1380</v>
      </c>
      <c r="C1604" s="22"/>
      <c r="D1604" s="22"/>
      <c r="E1604" s="22"/>
      <c r="F1604" s="22"/>
      <c r="G1604" s="22"/>
    </row>
    <row r="1605">
      <c r="A1605" s="6"/>
      <c r="B1605" s="15" t="s">
        <v>1381</v>
      </c>
      <c r="C1605" s="23"/>
      <c r="D1605" s="23"/>
      <c r="E1605" s="23"/>
      <c r="F1605" s="23"/>
      <c r="G1605" s="23"/>
    </row>
    <row r="1606">
      <c r="A1606" s="4"/>
      <c r="B1606" s="16" t="s">
        <v>1382</v>
      </c>
      <c r="C1606" s="21">
        <f>(158)*(1)*(1)*(1)*(1 + (0))</f>
      </c>
      <c r="D1606" s="21" t="s">
        <v>9</v>
      </c>
      <c r="E1606" s="21"/>
      <c r="F1606" s="21">
        <f>(0)</f>
      </c>
      <c r="G1606" s="21">
        <f>(C1606 * E1606 + C1606 * E1606 * F1606)</f>
      </c>
    </row>
    <row r="1607">
      <c r="A1607" s="4"/>
      <c r="B1607" s="16" t="s">
        <v>1257</v>
      </c>
      <c r="C1607" s="21">
        <f>(58)*(1)*(1)*(1)*(1 + (0))</f>
      </c>
      <c r="D1607" s="21" t="s">
        <v>9</v>
      </c>
      <c r="E1607" s="21"/>
      <c r="F1607" s="21">
        <f>(0)</f>
      </c>
      <c r="G1607" s="21">
        <f>(C1607 * E1607 + C1607 * E1607 * F1607)</f>
      </c>
    </row>
    <row r="1608">
      <c r="A1608" s="6"/>
      <c r="B1608" s="15" t="s">
        <v>1383</v>
      </c>
      <c r="C1608" s="23"/>
      <c r="D1608" s="23"/>
      <c r="E1608" s="23"/>
      <c r="F1608" s="23"/>
      <c r="G1608" s="23"/>
    </row>
    <row r="1609">
      <c r="A1609" s="4"/>
      <c r="B1609" s="16" t="s">
        <v>1382</v>
      </c>
      <c r="C1609" s="21">
        <f>(12)*(1)*(1)*(1)*(1 + (0))</f>
      </c>
      <c r="D1609" s="21" t="s">
        <v>9</v>
      </c>
      <c r="E1609" s="21"/>
      <c r="F1609" s="21">
        <f>(0)</f>
      </c>
      <c r="G1609" s="21">
        <f>(C1609 * E1609 + C1609 * E1609 * F1609)</f>
      </c>
    </row>
    <row r="1610">
      <c r="A1610" s="6"/>
      <c r="B1610" s="15" t="s">
        <v>1384</v>
      </c>
      <c r="C1610" s="23"/>
      <c r="D1610" s="23"/>
      <c r="E1610" s="23"/>
      <c r="F1610" s="23"/>
      <c r="G1610" s="23"/>
    </row>
    <row r="1611">
      <c r="A1611" s="4"/>
      <c r="B1611" s="16" t="s">
        <v>1382</v>
      </c>
      <c r="C1611" s="21">
        <f>(30)*(1)*(1)*(1)*(1 + (0))</f>
      </c>
      <c r="D1611" s="21" t="s">
        <v>9</v>
      </c>
      <c r="E1611" s="21"/>
      <c r="F1611" s="21">
        <f>(0)</f>
      </c>
      <c r="G1611" s="21">
        <f>(C1611 * E1611 + C1611 * E1611 * F1611)</f>
      </c>
    </row>
    <row r="1612">
      <c r="A1612" s="6"/>
      <c r="B1612" s="15" t="s">
        <v>1385</v>
      </c>
      <c r="C1612" s="23"/>
      <c r="D1612" s="23"/>
      <c r="E1612" s="23"/>
      <c r="F1612" s="23"/>
      <c r="G1612" s="23"/>
    </row>
    <row r="1613">
      <c r="A1613" s="4"/>
      <c r="B1613" s="16" t="s">
        <v>1382</v>
      </c>
      <c r="C1613" s="21">
        <f>(29)*(1)*(1)*(1)*(1 + (0))</f>
      </c>
      <c r="D1613" s="21" t="s">
        <v>9</v>
      </c>
      <c r="E1613" s="21"/>
      <c r="F1613" s="21">
        <f>(0)</f>
      </c>
      <c r="G1613" s="21">
        <f>(C1613 * E1613 + C1613 * E1613 * F1613)</f>
      </c>
    </row>
    <row r="1614">
      <c r="A1614" s="5"/>
      <c r="B1614" s="13" t="s">
        <v>1386</v>
      </c>
      <c r="C1614" s="22"/>
      <c r="D1614" s="22"/>
      <c r="E1614" s="22"/>
      <c r="F1614" s="22"/>
      <c r="G1614" s="22"/>
    </row>
    <row r="1615">
      <c r="A1615" s="6"/>
      <c r="B1615" s="15" t="s">
        <v>1387</v>
      </c>
      <c r="C1615" s="23"/>
      <c r="D1615" s="23"/>
      <c r="E1615" s="23"/>
      <c r="F1615" s="23"/>
      <c r="G1615" s="23"/>
    </row>
    <row r="1616">
      <c r="A1616" s="4"/>
      <c r="B1616" s="16" t="s">
        <v>1188</v>
      </c>
      <c r="C1616" s="21">
        <f>(540)*(1)*(1)*(1)*(1 + (0))</f>
      </c>
      <c r="D1616" s="21" t="s">
        <v>9</v>
      </c>
      <c r="E1616" s="21"/>
      <c r="F1616" s="21">
        <f>(0)</f>
      </c>
      <c r="G1616" s="21">
        <f>(C1616 * E1616 + C1616 * E1616 * F1616)</f>
      </c>
    </row>
    <row r="1617">
      <c r="A1617" s="4"/>
      <c r="B1617" s="16" t="s">
        <v>841</v>
      </c>
      <c r="C1617" s="21">
        <f>(329)*(1)*(1)*(1)*(1 + (0))</f>
      </c>
      <c r="D1617" s="21" t="s">
        <v>9</v>
      </c>
      <c r="E1617" s="21"/>
      <c r="F1617" s="21">
        <f>(0)</f>
      </c>
      <c r="G1617" s="21">
        <f>(C1617 * E1617 + C1617 * E1617 * F1617)</f>
      </c>
    </row>
    <row r="1618">
      <c r="A1618" s="6"/>
      <c r="B1618" s="15" t="s">
        <v>1388</v>
      </c>
      <c r="C1618" s="23"/>
      <c r="D1618" s="23"/>
      <c r="E1618" s="23"/>
      <c r="F1618" s="23"/>
      <c r="G1618" s="23"/>
    </row>
    <row r="1619">
      <c r="A1619" s="4"/>
      <c r="B1619" s="16" t="s">
        <v>1188</v>
      </c>
      <c r="C1619" s="21">
        <f>(231)*(1)*(1)*(1)*(1 + (0))</f>
      </c>
      <c r="D1619" s="21" t="s">
        <v>9</v>
      </c>
      <c r="E1619" s="21"/>
      <c r="F1619" s="21">
        <f>(0)</f>
      </c>
      <c r="G1619" s="21">
        <f>(C1619 * E1619 + C1619 * E1619 * F1619)</f>
      </c>
    </row>
    <row r="1620">
      <c r="A1620" s="4"/>
      <c r="B1620" s="16" t="s">
        <v>841</v>
      </c>
      <c r="C1620" s="21">
        <f>(133)*(1)*(1)*(1)*(1 + (0))</f>
      </c>
      <c r="D1620" s="21" t="s">
        <v>9</v>
      </c>
      <c r="E1620" s="21"/>
      <c r="F1620" s="21">
        <f>(0)</f>
      </c>
      <c r="G1620" s="21">
        <f>(C1620 * E1620 + C1620 * E1620 * F1620)</f>
      </c>
    </row>
    <row r="1621">
      <c r="A1621" s="6"/>
      <c r="B1621" s="15" t="s">
        <v>1389</v>
      </c>
      <c r="C1621" s="23"/>
      <c r="D1621" s="23"/>
      <c r="E1621" s="23"/>
      <c r="F1621" s="23"/>
      <c r="G1621" s="23"/>
    </row>
    <row r="1622">
      <c r="A1622" s="4"/>
      <c r="B1622" s="16" t="s">
        <v>841</v>
      </c>
      <c r="C1622" s="21">
        <f>(57)*(1)*(1)*(1)*(1 + (0))</f>
      </c>
      <c r="D1622" s="21" t="s">
        <v>9</v>
      </c>
      <c r="E1622" s="21"/>
      <c r="F1622" s="21">
        <f>(0)</f>
      </c>
      <c r="G1622" s="21">
        <f>(C1622 * E1622 + C1622 * E1622 * F1622)</f>
      </c>
    </row>
    <row r="1623">
      <c r="A1623" s="6"/>
      <c r="B1623" s="15" t="s">
        <v>1390</v>
      </c>
      <c r="C1623" s="23"/>
      <c r="D1623" s="23"/>
      <c r="E1623" s="23"/>
      <c r="F1623" s="23"/>
      <c r="G1623" s="23"/>
    </row>
    <row r="1624">
      <c r="A1624" s="4"/>
      <c r="B1624" s="16" t="s">
        <v>1382</v>
      </c>
      <c r="C1624" s="21">
        <f>(12)*(1)*(1)*(1)*(1 + (0))</f>
      </c>
      <c r="D1624" s="21" t="s">
        <v>9</v>
      </c>
      <c r="E1624" s="21"/>
      <c r="F1624" s="21">
        <f>(0)</f>
      </c>
      <c r="G1624" s="21">
        <f>(C1624 * E1624 + C1624 * E1624 * F1624)</f>
      </c>
    </row>
    <row r="1625">
      <c r="A1625" s="6"/>
      <c r="B1625" s="15" t="s">
        <v>1391</v>
      </c>
      <c r="C1625" s="23"/>
      <c r="D1625" s="23"/>
      <c r="E1625" s="23"/>
      <c r="F1625" s="23"/>
      <c r="G1625" s="23"/>
    </row>
    <row r="1626">
      <c r="A1626" s="4"/>
      <c r="B1626" s="16" t="s">
        <v>1382</v>
      </c>
      <c r="C1626" s="21">
        <f>(77)*(1)*(1)*(1)*(1 + (0))</f>
      </c>
      <c r="D1626" s="21" t="s">
        <v>9</v>
      </c>
      <c r="E1626" s="21"/>
      <c r="F1626" s="21">
        <f>(0)</f>
      </c>
      <c r="G1626" s="21">
        <f>(C1626 * E1626 + C1626 * E1626 * F1626)</f>
      </c>
    </row>
    <row r="1627">
      <c r="A1627" s="6"/>
      <c r="B1627" s="15" t="s">
        <v>1392</v>
      </c>
      <c r="C1627" s="23"/>
      <c r="D1627" s="23"/>
      <c r="E1627" s="23"/>
      <c r="F1627" s="23"/>
      <c r="G1627" s="23"/>
    </row>
    <row r="1628">
      <c r="A1628" s="4"/>
      <c r="B1628" s="16" t="s">
        <v>1382</v>
      </c>
      <c r="C1628" s="21">
        <f>(43)*(1)*(1)*(1)*(1 + (0))</f>
      </c>
      <c r="D1628" s="21" t="s">
        <v>9</v>
      </c>
      <c r="E1628" s="21"/>
      <c r="F1628" s="21">
        <f>(0)</f>
      </c>
      <c r="G1628" s="21">
        <f>(C1628 * E1628 + C1628 * E1628 * F1628)</f>
      </c>
    </row>
    <row r="1629">
      <c r="A1629" s="6"/>
      <c r="B1629" s="15" t="s">
        <v>1393</v>
      </c>
      <c r="C1629" s="23"/>
      <c r="D1629" s="23"/>
      <c r="E1629" s="23"/>
      <c r="F1629" s="23"/>
      <c r="G1629" s="23"/>
    </row>
    <row r="1630">
      <c r="A1630" s="4"/>
      <c r="B1630" s="16" t="s">
        <v>1382</v>
      </c>
      <c r="C1630" s="21">
        <f>(11)*(1)*(1)*(1)*(1 + (0))</f>
      </c>
      <c r="D1630" s="21" t="s">
        <v>9</v>
      </c>
      <c r="E1630" s="21"/>
      <c r="F1630" s="21">
        <f>(0)</f>
      </c>
      <c r="G1630" s="21">
        <f>(C1630 * E1630 + C1630 * E1630 * F1630)</f>
      </c>
    </row>
    <row r="1631">
      <c r="A1631" s="6"/>
      <c r="B1631" s="15" t="s">
        <v>1394</v>
      </c>
      <c r="C1631" s="23"/>
      <c r="D1631" s="23"/>
      <c r="E1631" s="23"/>
      <c r="F1631" s="23"/>
      <c r="G1631" s="23"/>
    </row>
    <row r="1632">
      <c r="A1632" s="4"/>
      <c r="B1632" s="16" t="s">
        <v>1382</v>
      </c>
      <c r="C1632" s="21">
        <f>(87)*(1)*(1)*(1)*(1 + (0))</f>
      </c>
      <c r="D1632" s="21" t="s">
        <v>9</v>
      </c>
      <c r="E1632" s="21"/>
      <c r="F1632" s="21">
        <f>(0)</f>
      </c>
      <c r="G1632" s="21">
        <f>(C1632 * E1632 + C1632 * E1632 * F1632)</f>
      </c>
    </row>
    <row r="1633">
      <c r="A1633" s="4"/>
      <c r="B1633" s="16" t="s">
        <v>1257</v>
      </c>
      <c r="C1633" s="21">
        <f>(85)*(1)*(1)*(1)*(1 + (0))</f>
      </c>
      <c r="D1633" s="21" t="s">
        <v>9</v>
      </c>
      <c r="E1633" s="21"/>
      <c r="F1633" s="21">
        <f>(0)</f>
      </c>
      <c r="G1633" s="21">
        <f>(C1633 * E1633 + C1633 * E1633 * F1633)</f>
      </c>
    </row>
    <row r="1634">
      <c r="A1634" s="6"/>
      <c r="B1634" s="15" t="s">
        <v>1395</v>
      </c>
      <c r="C1634" s="23"/>
      <c r="D1634" s="23"/>
      <c r="E1634" s="23"/>
      <c r="F1634" s="23"/>
      <c r="G1634" s="23"/>
    </row>
    <row r="1635">
      <c r="A1635" s="4"/>
      <c r="B1635" s="16" t="s">
        <v>1382</v>
      </c>
      <c r="C1635" s="21">
        <f>(99)*(1)*(1)*(1)*(1 + (0))</f>
      </c>
      <c r="D1635" s="21" t="s">
        <v>9</v>
      </c>
      <c r="E1635" s="21"/>
      <c r="F1635" s="21">
        <f>(0)</f>
      </c>
      <c r="G1635" s="21">
        <f>(C1635 * E1635 + C1635 * E1635 * F1635)</f>
      </c>
    </row>
    <row r="1636">
      <c r="A1636" s="4"/>
      <c r="B1636" s="16" t="s">
        <v>1257</v>
      </c>
      <c r="C1636" s="21">
        <f>(167)*(1)*(1)*(1)*(1 + (0))</f>
      </c>
      <c r="D1636" s="21" t="s">
        <v>9</v>
      </c>
      <c r="E1636" s="21"/>
      <c r="F1636" s="21">
        <f>(0)</f>
      </c>
      <c r="G1636" s="21">
        <f>(C1636 * E1636 + C1636 * E1636 * F1636)</f>
      </c>
    </row>
    <row r="1637">
      <c r="A1637" s="6"/>
      <c r="B1637" s="15" t="s">
        <v>1396</v>
      </c>
      <c r="C1637" s="23"/>
      <c r="D1637" s="23"/>
      <c r="E1637" s="23"/>
      <c r="F1637" s="23"/>
      <c r="G1637" s="23"/>
    </row>
    <row r="1638">
      <c r="A1638" s="4"/>
      <c r="B1638" s="16" t="s">
        <v>1382</v>
      </c>
      <c r="C1638" s="21">
        <f>(42)*(1)*(1)*(1)*(1 + (0))</f>
      </c>
      <c r="D1638" s="21" t="s">
        <v>9</v>
      </c>
      <c r="E1638" s="21"/>
      <c r="F1638" s="21">
        <f>(0)</f>
      </c>
      <c r="G1638" s="21">
        <f>(C1638 * E1638 + C1638 * E1638 * F1638)</f>
      </c>
    </row>
    <row r="1639">
      <c r="A1639" s="6"/>
      <c r="B1639" s="15" t="s">
        <v>1397</v>
      </c>
      <c r="C1639" s="23"/>
      <c r="D1639" s="23"/>
      <c r="E1639" s="23"/>
      <c r="F1639" s="23"/>
      <c r="G1639" s="23"/>
    </row>
    <row r="1640">
      <c r="A1640" s="4"/>
      <c r="B1640" s="16" t="s">
        <v>1382</v>
      </c>
      <c r="C1640" s="21">
        <f>(183)*(1)*(1)*(1)*(1 + (0))</f>
      </c>
      <c r="D1640" s="21" t="s">
        <v>9</v>
      </c>
      <c r="E1640" s="21"/>
      <c r="F1640" s="21">
        <f>(0)</f>
      </c>
      <c r="G1640" s="21">
        <f>(C1640 * E1640 + C1640 * E1640 * F1640)</f>
      </c>
    </row>
    <row r="1641">
      <c r="A1641" s="4"/>
      <c r="B1641" s="16" t="s">
        <v>1257</v>
      </c>
      <c r="C1641" s="21">
        <f>(384)*(1)*(1)*(1)*(1 + (0))</f>
      </c>
      <c r="D1641" s="21" t="s">
        <v>9</v>
      </c>
      <c r="E1641" s="21"/>
      <c r="F1641" s="21">
        <f>(0)</f>
      </c>
      <c r="G1641" s="21">
        <f>(C1641 * E1641 + C1641 * E1641 * F1641)</f>
      </c>
    </row>
    <row r="1642">
      <c r="A1642" s="5"/>
      <c r="B1642" s="13" t="s">
        <v>1398</v>
      </c>
      <c r="C1642" s="22"/>
      <c r="D1642" s="22"/>
      <c r="E1642" s="22"/>
      <c r="F1642" s="22"/>
      <c r="G1642" s="22"/>
    </row>
    <row r="1643">
      <c r="A1643" s="6"/>
      <c r="B1643" s="15" t="s">
        <v>1399</v>
      </c>
      <c r="C1643" s="23"/>
      <c r="D1643" s="23"/>
      <c r="E1643" s="23"/>
      <c r="F1643" s="23"/>
      <c r="G1643" s="23"/>
    </row>
    <row r="1644">
      <c r="A1644" s="4"/>
      <c r="B1644" s="16" t="s">
        <v>1382</v>
      </c>
      <c r="C1644" s="21">
        <f>(99)*(1)*(1)*(1)*(1 + (0))</f>
      </c>
      <c r="D1644" s="21" t="s">
        <v>9</v>
      </c>
      <c r="E1644" s="21"/>
      <c r="F1644" s="21">
        <f>(0)</f>
      </c>
      <c r="G1644" s="21">
        <f>(C1644 * E1644 + C1644 * E1644 * F1644)</f>
      </c>
    </row>
    <row r="1645">
      <c r="A1645" s="4"/>
      <c r="B1645" s="16" t="s">
        <v>1257</v>
      </c>
      <c r="C1645" s="21">
        <f>(167)*(1)*(1)*(1)*(1 + (0))</f>
      </c>
      <c r="D1645" s="21" t="s">
        <v>9</v>
      </c>
      <c r="E1645" s="21"/>
      <c r="F1645" s="21">
        <f>(0)</f>
      </c>
      <c r="G1645" s="21">
        <f>(C1645 * E1645 + C1645 * E1645 * F1645)</f>
      </c>
    </row>
    <row r="1646">
      <c r="A1646" s="6"/>
      <c r="B1646" s="15" t="s">
        <v>1399</v>
      </c>
      <c r="C1646" s="23"/>
      <c r="D1646" s="23"/>
      <c r="E1646" s="23"/>
      <c r="F1646" s="23"/>
      <c r="G1646" s="23"/>
    </row>
    <row r="1647">
      <c r="A1647" s="4"/>
      <c r="B1647" s="16" t="s">
        <v>1257</v>
      </c>
      <c r="C1647" s="21">
        <f>(48)*(1)*(1)*(1)*(1 + (0))</f>
      </c>
      <c r="D1647" s="21" t="s">
        <v>9</v>
      </c>
      <c r="E1647" s="21"/>
      <c r="F1647" s="21">
        <f>(0)</f>
      </c>
      <c r="G1647" s="21">
        <f>(C1647 * E1647 + C1647 * E1647 * F1647)</f>
      </c>
    </row>
    <row r="1648">
      <c r="A1648" s="6"/>
      <c r="B1648" s="15" t="s">
        <v>1400</v>
      </c>
      <c r="C1648" s="23"/>
      <c r="D1648" s="23"/>
      <c r="E1648" s="23"/>
      <c r="F1648" s="23"/>
      <c r="G1648" s="23"/>
    </row>
    <row r="1649">
      <c r="A1649" s="4"/>
      <c r="B1649" s="16" t="s">
        <v>1401</v>
      </c>
      <c r="C1649" s="21">
        <f>(394)*(1)*(1)*(1)*(1 + (0))</f>
      </c>
      <c r="D1649" s="21" t="s">
        <v>9</v>
      </c>
      <c r="E1649" s="21"/>
      <c r="F1649" s="21">
        <f>(0)</f>
      </c>
      <c r="G1649" s="21">
        <f>(C1649 * E1649 + C1649 * E1649 * F1649)</f>
      </c>
    </row>
    <row r="1650">
      <c r="A1650" s="6"/>
      <c r="B1650" s="15" t="s">
        <v>1402</v>
      </c>
      <c r="C1650" s="23"/>
      <c r="D1650" s="23"/>
      <c r="E1650" s="23"/>
      <c r="F1650" s="23"/>
      <c r="G1650" s="23"/>
    </row>
    <row r="1651">
      <c r="A1651" s="4"/>
      <c r="B1651" s="16" t="s">
        <v>1401</v>
      </c>
      <c r="C1651" s="21">
        <f>(193)*(1)*(1)*(1)*(1 + (0))</f>
      </c>
      <c r="D1651" s="21" t="s">
        <v>9</v>
      </c>
      <c r="E1651" s="21"/>
      <c r="F1651" s="21">
        <f>(0)</f>
      </c>
      <c r="G1651" s="21">
        <f>(C1651 * E1651 + C1651 * E1651 * F1651)</f>
      </c>
    </row>
    <row r="1652">
      <c r="A1652" s="3"/>
      <c r="B1652" s="11" t="s">
        <v>1403</v>
      </c>
      <c r="C1652" s="20"/>
      <c r="D1652" s="20"/>
      <c r="E1652" s="20"/>
      <c r="F1652" s="20"/>
      <c r="G1652" s="20"/>
    </row>
    <row r="1653">
      <c r="A1653" s="5"/>
      <c r="B1653" s="13" t="s">
        <v>1380</v>
      </c>
      <c r="C1653" s="22"/>
      <c r="D1653" s="22"/>
      <c r="E1653" s="22"/>
      <c r="F1653" s="22"/>
      <c r="G1653" s="22"/>
    </row>
    <row r="1654">
      <c r="A1654" s="6"/>
      <c r="B1654" s="15" t="s">
        <v>1404</v>
      </c>
      <c r="C1654" s="23"/>
      <c r="D1654" s="23"/>
      <c r="E1654" s="23"/>
      <c r="F1654" s="23"/>
      <c r="G1654" s="23"/>
    </row>
    <row r="1655">
      <c r="A1655" s="4"/>
      <c r="B1655" s="16" t="s">
        <v>1382</v>
      </c>
      <c r="C1655" s="21">
        <f>(36)*(1)*(1)*(1)*(1 + (0))</f>
      </c>
      <c r="D1655" s="21" t="s">
        <v>9</v>
      </c>
      <c r="E1655" s="21"/>
      <c r="F1655" s="21">
        <f>(0)</f>
      </c>
      <c r="G1655" s="21">
        <f>(C1655 * E1655 + C1655 * E1655 * F1655)</f>
      </c>
    </row>
    <row r="1656">
      <c r="A1656" s="6"/>
      <c r="B1656" s="15" t="s">
        <v>1405</v>
      </c>
      <c r="C1656" s="23"/>
      <c r="D1656" s="23"/>
      <c r="E1656" s="23"/>
      <c r="F1656" s="23"/>
      <c r="G1656" s="23"/>
    </row>
    <row r="1657">
      <c r="A1657" s="4"/>
      <c r="B1657" s="16" t="s">
        <v>1382</v>
      </c>
      <c r="C1657" s="21">
        <f>(34)*(1)*(1)*(1)*(1 + (0))</f>
      </c>
      <c r="D1657" s="21" t="s">
        <v>9</v>
      </c>
      <c r="E1657" s="21"/>
      <c r="F1657" s="21">
        <f>(0)</f>
      </c>
      <c r="G1657" s="21">
        <f>(C1657 * E1657 + C1657 * E1657 * F1657)</f>
      </c>
    </row>
    <row r="1658">
      <c r="A1658" s="6"/>
      <c r="B1658" s="15" t="s">
        <v>1406</v>
      </c>
      <c r="C1658" s="23"/>
      <c r="D1658" s="23"/>
      <c r="E1658" s="23"/>
      <c r="F1658" s="23"/>
      <c r="G1658" s="23"/>
    </row>
    <row r="1659">
      <c r="A1659" s="4"/>
      <c r="B1659" s="16" t="s">
        <v>1382</v>
      </c>
      <c r="C1659" s="21">
        <f>(2)*(1)*(1)*(1)*(1 + (0))</f>
      </c>
      <c r="D1659" s="21" t="s">
        <v>9</v>
      </c>
      <c r="E1659" s="21"/>
      <c r="F1659" s="21">
        <f>(0)</f>
      </c>
      <c r="G1659" s="21">
        <f>(C1659 * E1659 + C1659 * E1659 * F1659)</f>
      </c>
    </row>
    <row r="1660">
      <c r="A1660" s="6"/>
      <c r="B1660" s="15" t="s">
        <v>1407</v>
      </c>
      <c r="C1660" s="23"/>
      <c r="D1660" s="23"/>
      <c r="E1660" s="23"/>
      <c r="F1660" s="23"/>
      <c r="G1660" s="23"/>
    </row>
    <row r="1661">
      <c r="A1661" s="4"/>
      <c r="B1661" s="16" t="s">
        <v>1382</v>
      </c>
      <c r="C1661" s="21">
        <f>(9)*(1)*(1)*(1)*(1 + (0))</f>
      </c>
      <c r="D1661" s="21" t="s">
        <v>9</v>
      </c>
      <c r="E1661" s="21"/>
      <c r="F1661" s="21">
        <f>(0)</f>
      </c>
      <c r="G1661" s="21">
        <f>(C1661 * E1661 + C1661 * E1661 * F1661)</f>
      </c>
    </row>
    <row r="1662">
      <c r="A1662" s="6"/>
      <c r="B1662" s="15" t="s">
        <v>1408</v>
      </c>
      <c r="C1662" s="23"/>
      <c r="D1662" s="23"/>
      <c r="E1662" s="23"/>
      <c r="F1662" s="23"/>
      <c r="G1662" s="23"/>
    </row>
    <row r="1663">
      <c r="A1663" s="4"/>
      <c r="B1663" s="16" t="s">
        <v>1257</v>
      </c>
      <c r="C1663" s="21">
        <f>(62)*(1)*(1)*(1)*(1 + (0))</f>
      </c>
      <c r="D1663" s="21" t="s">
        <v>9</v>
      </c>
      <c r="E1663" s="21"/>
      <c r="F1663" s="21">
        <f>(0)</f>
      </c>
      <c r="G1663" s="21">
        <f>(C1663 * E1663 + C1663 * E1663 * F1663)</f>
      </c>
    </row>
    <row r="1664">
      <c r="A1664" s="6"/>
      <c r="B1664" s="15" t="s">
        <v>1409</v>
      </c>
      <c r="C1664" s="23"/>
      <c r="D1664" s="23"/>
      <c r="E1664" s="23"/>
      <c r="F1664" s="23"/>
      <c r="G1664" s="23"/>
    </row>
    <row r="1665">
      <c r="A1665" s="4"/>
      <c r="B1665" s="16" t="s">
        <v>1257</v>
      </c>
      <c r="C1665" s="21">
        <f>(42)*(1)*(1)*(1)*(1 + (0))</f>
      </c>
      <c r="D1665" s="21" t="s">
        <v>9</v>
      </c>
      <c r="E1665" s="21"/>
      <c r="F1665" s="21">
        <f>(0)</f>
      </c>
      <c r="G1665" s="21">
        <f>(C1665 * E1665 + C1665 * E1665 * F1665)</f>
      </c>
    </row>
    <row r="1666">
      <c r="A1666" s="6"/>
      <c r="B1666" s="15" t="s">
        <v>1410</v>
      </c>
      <c r="C1666" s="23"/>
      <c r="D1666" s="23"/>
      <c r="E1666" s="23"/>
      <c r="F1666" s="23"/>
      <c r="G1666" s="23"/>
    </row>
    <row r="1667">
      <c r="A1667" s="4"/>
      <c r="B1667" s="16" t="s">
        <v>1257</v>
      </c>
      <c r="C1667" s="21">
        <f>(18)*(1)*(1)*(1)*(1 + (0))</f>
      </c>
      <c r="D1667" s="21" t="s">
        <v>9</v>
      </c>
      <c r="E1667" s="21"/>
      <c r="F1667" s="21">
        <f>(0)</f>
      </c>
      <c r="G1667" s="21">
        <f>(C1667 * E1667 + C1667 * E1667 * F1667)</f>
      </c>
    </row>
    <row r="1668">
      <c r="A1668" s="6"/>
      <c r="B1668" s="15" t="s">
        <v>1411</v>
      </c>
      <c r="C1668" s="23"/>
      <c r="D1668" s="23"/>
      <c r="E1668" s="23"/>
      <c r="F1668" s="23"/>
      <c r="G1668" s="23"/>
    </row>
    <row r="1669">
      <c r="A1669" s="4"/>
      <c r="B1669" s="16" t="s">
        <v>1382</v>
      </c>
      <c r="C1669" s="21">
        <f>(40)*(1)*(1)*(1)*(1 + (0))</f>
      </c>
      <c r="D1669" s="21" t="s">
        <v>9</v>
      </c>
      <c r="E1669" s="21"/>
      <c r="F1669" s="21">
        <f>(0)</f>
      </c>
      <c r="G1669" s="21">
        <f>(C1669 * E1669 + C1669 * E1669 * F1669)</f>
      </c>
    </row>
    <row r="1670">
      <c r="A1670" s="6"/>
      <c r="B1670" s="15" t="s">
        <v>1412</v>
      </c>
      <c r="C1670" s="23"/>
      <c r="D1670" s="23"/>
      <c r="E1670" s="23"/>
      <c r="F1670" s="23"/>
      <c r="G1670" s="23"/>
    </row>
    <row r="1671">
      <c r="A1671" s="4"/>
      <c r="B1671" s="16" t="s">
        <v>1382</v>
      </c>
      <c r="C1671" s="21">
        <f>(3)*(1)*(1)*(1)*(1 + (0))</f>
      </c>
      <c r="D1671" s="21" t="s">
        <v>9</v>
      </c>
      <c r="E1671" s="21"/>
      <c r="F1671" s="21">
        <f>(0)</f>
      </c>
      <c r="G1671" s="21">
        <f>(C1671 * E1671 + C1671 * E1671 * F1671)</f>
      </c>
    </row>
    <row r="1672">
      <c r="A1672" s="6"/>
      <c r="B1672" s="15" t="s">
        <v>1413</v>
      </c>
      <c r="C1672" s="23"/>
      <c r="D1672" s="23"/>
      <c r="E1672" s="23"/>
      <c r="F1672" s="23"/>
      <c r="G1672" s="23"/>
    </row>
    <row r="1673">
      <c r="A1673" s="4"/>
      <c r="B1673" s="16" t="s">
        <v>1257</v>
      </c>
      <c r="C1673" s="21">
        <f>(207)*(1)*(1)*(1)*(1 + (0))</f>
      </c>
      <c r="D1673" s="21" t="s">
        <v>9</v>
      </c>
      <c r="E1673" s="21"/>
      <c r="F1673" s="21">
        <f>(0)</f>
      </c>
      <c r="G1673" s="21">
        <f>(C1673 * E1673 + C1673 * E1673 * F1673)</f>
      </c>
    </row>
    <row r="1674">
      <c r="A1674" s="5"/>
      <c r="B1674" s="13" t="s">
        <v>1414</v>
      </c>
      <c r="C1674" s="22"/>
      <c r="D1674" s="22"/>
      <c r="E1674" s="22"/>
      <c r="F1674" s="22"/>
      <c r="G1674" s="22"/>
    </row>
    <row r="1675">
      <c r="A1675" s="6"/>
      <c r="B1675" s="15" t="s">
        <v>1415</v>
      </c>
      <c r="C1675" s="23"/>
      <c r="D1675" s="23"/>
      <c r="E1675" s="23"/>
      <c r="F1675" s="23"/>
      <c r="G1675" s="23"/>
    </row>
    <row r="1676">
      <c r="A1676" s="4"/>
      <c r="B1676" s="16" t="s">
        <v>1257</v>
      </c>
      <c r="C1676" s="21">
        <f>(99)*(1)*(1)*(1)*(1 + (0))</f>
      </c>
      <c r="D1676" s="21" t="s">
        <v>9</v>
      </c>
      <c r="E1676" s="21"/>
      <c r="F1676" s="21">
        <f>(0)</f>
      </c>
      <c r="G1676" s="21">
        <f>(C1676 * E1676 + C1676 * E1676 * F1676)</f>
      </c>
    </row>
    <row r="1677">
      <c r="A1677" s="6"/>
      <c r="B1677" s="15" t="s">
        <v>1416</v>
      </c>
      <c r="C1677" s="23"/>
      <c r="D1677" s="23"/>
      <c r="E1677" s="23"/>
      <c r="F1677" s="23"/>
      <c r="G1677" s="23"/>
    </row>
    <row r="1678">
      <c r="A1678" s="4"/>
      <c r="B1678" s="16" t="s">
        <v>1382</v>
      </c>
      <c r="C1678" s="21">
        <f>(12)*(1)*(1)*(1)*(1 + (0))</f>
      </c>
      <c r="D1678" s="21" t="s">
        <v>9</v>
      </c>
      <c r="E1678" s="21"/>
      <c r="F1678" s="21">
        <f>(0)</f>
      </c>
      <c r="G1678" s="21">
        <f>(C1678 * E1678 + C1678 * E1678 * F1678)</f>
      </c>
    </row>
    <row r="1679">
      <c r="A1679" s="6"/>
      <c r="B1679" s="15" t="s">
        <v>1417</v>
      </c>
      <c r="C1679" s="23"/>
      <c r="D1679" s="23"/>
      <c r="E1679" s="23"/>
      <c r="F1679" s="23"/>
      <c r="G1679" s="23"/>
    </row>
    <row r="1680">
      <c r="A1680" s="4"/>
      <c r="B1680" s="16" t="s">
        <v>1382</v>
      </c>
      <c r="C1680" s="21">
        <f>(54)*(1)*(1)*(1)*(1 + (0))</f>
      </c>
      <c r="D1680" s="21" t="s">
        <v>9</v>
      </c>
      <c r="E1680" s="21"/>
      <c r="F1680" s="21">
        <f>(0)</f>
      </c>
      <c r="G1680" s="21">
        <f>(C1680 * E1680 + C1680 * E1680 * F1680)</f>
      </c>
    </row>
    <row r="1681">
      <c r="A1681" s="6"/>
      <c r="B1681" s="15" t="s">
        <v>1418</v>
      </c>
      <c r="C1681" s="23"/>
      <c r="D1681" s="23"/>
      <c r="E1681" s="23"/>
      <c r="F1681" s="23"/>
      <c r="G1681" s="23"/>
    </row>
    <row r="1682">
      <c r="A1682" s="4"/>
      <c r="B1682" s="16" t="s">
        <v>1382</v>
      </c>
      <c r="C1682" s="21">
        <f>(6)*(1)*(1)*(1)*(1 + (0))</f>
      </c>
      <c r="D1682" s="21" t="s">
        <v>9</v>
      </c>
      <c r="E1682" s="21"/>
      <c r="F1682" s="21">
        <f>(0)</f>
      </c>
      <c r="G1682" s="21">
        <f>(C1682 * E1682 + C1682 * E1682 * F1682)</f>
      </c>
    </row>
    <row r="1683">
      <c r="A1683" s="6"/>
      <c r="B1683" s="15" t="s">
        <v>1419</v>
      </c>
      <c r="C1683" s="23"/>
      <c r="D1683" s="23"/>
      <c r="E1683" s="23"/>
      <c r="F1683" s="23"/>
      <c r="G1683" s="23"/>
    </row>
    <row r="1684">
      <c r="A1684" s="4"/>
      <c r="B1684" s="16" t="s">
        <v>1257</v>
      </c>
      <c r="C1684" s="21">
        <f>(21)*(1)*(1)*(1)*(1 + (0))</f>
      </c>
      <c r="D1684" s="21" t="s">
        <v>9</v>
      </c>
      <c r="E1684" s="21"/>
      <c r="F1684" s="21">
        <f>(0)</f>
      </c>
      <c r="G1684" s="21">
        <f>(C1684 * E1684 + C1684 * E1684 * F1684)</f>
      </c>
    </row>
    <row r="1685">
      <c r="A1685" s="6"/>
      <c r="B1685" s="15" t="s">
        <v>1420</v>
      </c>
      <c r="C1685" s="23"/>
      <c r="D1685" s="23"/>
      <c r="E1685" s="23"/>
      <c r="F1685" s="23"/>
      <c r="G1685" s="23"/>
    </row>
    <row r="1686">
      <c r="A1686" s="4"/>
      <c r="B1686" s="16" t="s">
        <v>1382</v>
      </c>
      <c r="C1686" s="21">
        <f>(20)*(1)*(1)*(1)*(1 + (0))</f>
      </c>
      <c r="D1686" s="21" t="s">
        <v>9</v>
      </c>
      <c r="E1686" s="21"/>
      <c r="F1686" s="21">
        <f>(0)</f>
      </c>
      <c r="G1686" s="21">
        <f>(C1686 * E1686 + C1686 * E1686 * F1686)</f>
      </c>
    </row>
    <row r="1687">
      <c r="A1687" s="6"/>
      <c r="B1687" s="15" t="s">
        <v>1421</v>
      </c>
      <c r="C1687" s="23"/>
      <c r="D1687" s="23"/>
      <c r="E1687" s="23"/>
      <c r="F1687" s="23"/>
      <c r="G1687" s="23"/>
    </row>
    <row r="1688">
      <c r="A1688" s="4"/>
      <c r="B1688" s="16" t="s">
        <v>1382</v>
      </c>
      <c r="C1688" s="21">
        <f>(186)*(1)*(1)*(1)*(1 + (0))</f>
      </c>
      <c r="D1688" s="21" t="s">
        <v>9</v>
      </c>
      <c r="E1688" s="21"/>
      <c r="F1688" s="21">
        <f>(0)</f>
      </c>
      <c r="G1688" s="21">
        <f>(C1688 * E1688 + C1688 * E1688 * F1688)</f>
      </c>
    </row>
    <row r="1689">
      <c r="A1689" s="4"/>
      <c r="B1689" s="16" t="s">
        <v>1257</v>
      </c>
      <c r="C1689" s="21">
        <f>(99)*(1)*(1)*(1)*(1 + (0))</f>
      </c>
      <c r="D1689" s="21" t="s">
        <v>9</v>
      </c>
      <c r="E1689" s="21"/>
      <c r="F1689" s="21">
        <f>(0)</f>
      </c>
      <c r="G1689" s="21">
        <f>(C1689 * E1689 + C1689 * E1689 * F1689)</f>
      </c>
    </row>
    <row r="1690">
      <c r="A1690" s="6"/>
      <c r="B1690" s="15" t="s">
        <v>1422</v>
      </c>
      <c r="C1690" s="23"/>
      <c r="D1690" s="23"/>
      <c r="E1690" s="23"/>
      <c r="F1690" s="23"/>
      <c r="G1690" s="23"/>
    </row>
    <row r="1691">
      <c r="A1691" s="4"/>
      <c r="B1691" s="16" t="s">
        <v>1382</v>
      </c>
      <c r="C1691" s="21">
        <f>(3)*(1)*(1)*(1)*(1 + (0))</f>
      </c>
      <c r="D1691" s="21" t="s">
        <v>9</v>
      </c>
      <c r="E1691" s="21"/>
      <c r="F1691" s="21">
        <f>(0)</f>
      </c>
      <c r="G1691" s="21">
        <f>(C1691 * E1691 + C1691 * E1691 * F1691)</f>
      </c>
    </row>
    <row r="1692">
      <c r="A1692" s="4"/>
      <c r="B1692" s="16" t="s">
        <v>1257</v>
      </c>
      <c r="C1692" s="21">
        <f>(3)*(1)*(1)*(1)*(1 + (0))</f>
      </c>
      <c r="D1692" s="21" t="s">
        <v>9</v>
      </c>
      <c r="E1692" s="21"/>
      <c r="F1692" s="21">
        <f>(0)</f>
      </c>
      <c r="G1692" s="21">
        <f>(C1692 * E1692 + C1692 * E1692 * F1692)</f>
      </c>
    </row>
    <row r="1693">
      <c r="A1693" s="6"/>
      <c r="B1693" s="15" t="s">
        <v>1423</v>
      </c>
      <c r="C1693" s="23"/>
      <c r="D1693" s="23"/>
      <c r="E1693" s="23"/>
      <c r="F1693" s="23"/>
      <c r="G1693" s="23"/>
    </row>
    <row r="1694">
      <c r="A1694" s="4"/>
      <c r="B1694" s="16" t="s">
        <v>1382</v>
      </c>
      <c r="C1694" s="21">
        <f>(7)*(1)*(1)*(1)*(1 + (0))</f>
      </c>
      <c r="D1694" s="21" t="s">
        <v>9</v>
      </c>
      <c r="E1694" s="21"/>
      <c r="F1694" s="21">
        <f>(0)</f>
      </c>
      <c r="G1694" s="21">
        <f>(C1694 * E1694 + C1694 * E1694 * F1694)</f>
      </c>
    </row>
    <row r="1695">
      <c r="A1695" s="6"/>
      <c r="B1695" s="15" t="s">
        <v>1424</v>
      </c>
      <c r="C1695" s="23"/>
      <c r="D1695" s="23"/>
      <c r="E1695" s="23"/>
      <c r="F1695" s="23"/>
      <c r="G1695" s="23"/>
    </row>
    <row r="1696">
      <c r="A1696" s="4"/>
      <c r="B1696" s="16" t="s">
        <v>1382</v>
      </c>
      <c r="C1696" s="21">
        <f>(11)*(1)*(1)*(1)*(1 + (0))</f>
      </c>
      <c r="D1696" s="21" t="s">
        <v>9</v>
      </c>
      <c r="E1696" s="21"/>
      <c r="F1696" s="21">
        <f>(0)</f>
      </c>
      <c r="G1696" s="21">
        <f>(C1696 * E1696 + C1696 * E1696 * F1696)</f>
      </c>
    </row>
    <row r="1697">
      <c r="A1697" s="6"/>
      <c r="B1697" s="15" t="s">
        <v>1425</v>
      </c>
      <c r="C1697" s="23"/>
      <c r="D1697" s="23"/>
      <c r="E1697" s="23"/>
      <c r="F1697" s="23"/>
      <c r="G1697" s="23"/>
    </row>
    <row r="1698">
      <c r="A1698" s="4"/>
      <c r="B1698" s="16" t="s">
        <v>1382</v>
      </c>
      <c r="C1698" s="21">
        <f>(35)*(1)*(1)*(1)*(1 + (0))</f>
      </c>
      <c r="D1698" s="21" t="s">
        <v>9</v>
      </c>
      <c r="E1698" s="21"/>
      <c r="F1698" s="21">
        <f>(0)</f>
      </c>
      <c r="G1698" s="21">
        <f>(C1698 * E1698 + C1698 * E1698 * F1698)</f>
      </c>
    </row>
    <row r="1699">
      <c r="A1699" s="6"/>
      <c r="B1699" s="15" t="s">
        <v>1426</v>
      </c>
      <c r="C1699" s="23"/>
      <c r="D1699" s="23"/>
      <c r="E1699" s="23"/>
      <c r="F1699" s="23"/>
      <c r="G1699" s="23"/>
    </row>
    <row r="1700">
      <c r="A1700" s="4"/>
      <c r="B1700" s="16" t="s">
        <v>1382</v>
      </c>
      <c r="C1700" s="21">
        <f>(62)*(1)*(1)*(1)*(1 + (0))</f>
      </c>
      <c r="D1700" s="21" t="s">
        <v>9</v>
      </c>
      <c r="E1700" s="21"/>
      <c r="F1700" s="21">
        <f>(0)</f>
      </c>
      <c r="G1700" s="21">
        <f>(C1700 * E1700 + C1700 * E1700 * F1700)</f>
      </c>
    </row>
    <row r="1701">
      <c r="A1701" s="4"/>
      <c r="B1701" s="16" t="s">
        <v>1257</v>
      </c>
      <c r="C1701" s="21">
        <f>(307)*(1)*(1)*(1)*(1 + (0))</f>
      </c>
      <c r="D1701" s="21" t="s">
        <v>9</v>
      </c>
      <c r="E1701" s="21"/>
      <c r="F1701" s="21">
        <f>(0)</f>
      </c>
      <c r="G1701" s="21">
        <f>(C1701 * E1701 + C1701 * E1701 * F1701)</f>
      </c>
    </row>
    <row r="1702">
      <c r="A1702" s="6"/>
      <c r="B1702" s="15" t="s">
        <v>1427</v>
      </c>
      <c r="C1702" s="23"/>
      <c r="D1702" s="23"/>
      <c r="E1702" s="23"/>
      <c r="F1702" s="23"/>
      <c r="G1702" s="23"/>
    </row>
    <row r="1703">
      <c r="A1703" s="4"/>
      <c r="B1703" s="16" t="s">
        <v>1257</v>
      </c>
      <c r="C1703" s="21">
        <f>(32)*(1)*(1)*(1)*(1 + (0))</f>
      </c>
      <c r="D1703" s="21" t="s">
        <v>9</v>
      </c>
      <c r="E1703" s="21"/>
      <c r="F1703" s="21">
        <f>(0)</f>
      </c>
      <c r="G1703" s="21">
        <f>(C1703 * E1703 + C1703 * E1703 * F1703)</f>
      </c>
    </row>
    <row r="1704">
      <c r="A1704" s="6"/>
      <c r="B1704" s="15" t="s">
        <v>1428</v>
      </c>
      <c r="C1704" s="23"/>
      <c r="D1704" s="23"/>
      <c r="E1704" s="23"/>
      <c r="F1704" s="23"/>
      <c r="G1704" s="23"/>
    </row>
    <row r="1705">
      <c r="A1705" s="4"/>
      <c r="B1705" s="16" t="s">
        <v>1382</v>
      </c>
      <c r="C1705" s="21">
        <f>(1)*(1)*(1)*(1)*(1 + (0))</f>
      </c>
      <c r="D1705" s="21" t="s">
        <v>9</v>
      </c>
      <c r="E1705" s="21"/>
      <c r="F1705" s="21">
        <f>(0)</f>
      </c>
      <c r="G1705" s="21">
        <f>(C1705 * E1705 + C1705 * E1705 * F1705)</f>
      </c>
    </row>
    <row r="1706">
      <c r="A1706" s="4"/>
      <c r="B1706" s="16" t="s">
        <v>1257</v>
      </c>
      <c r="C1706" s="21">
        <f>(19)*(1)*(1)*(1)*(1 + (0))</f>
      </c>
      <c r="D1706" s="21" t="s">
        <v>9</v>
      </c>
      <c r="E1706" s="21"/>
      <c r="F1706" s="21">
        <f>(0)</f>
      </c>
      <c r="G1706" s="21">
        <f>(C1706 * E1706 + C1706 * E1706 * F1706)</f>
      </c>
    </row>
    <row r="1707">
      <c r="A1707" s="6"/>
      <c r="B1707" s="15" t="s">
        <v>1429</v>
      </c>
      <c r="C1707" s="23"/>
      <c r="D1707" s="23"/>
      <c r="E1707" s="23"/>
      <c r="F1707" s="23"/>
      <c r="G1707" s="23"/>
    </row>
    <row r="1708">
      <c r="A1708" s="4"/>
      <c r="B1708" s="16" t="s">
        <v>1382</v>
      </c>
      <c r="C1708" s="21">
        <f>(100)*(1)*(1)*(1)*(1 + (0))</f>
      </c>
      <c r="D1708" s="21" t="s">
        <v>9</v>
      </c>
      <c r="E1708" s="21"/>
      <c r="F1708" s="21">
        <f>(0)</f>
      </c>
      <c r="G1708" s="21">
        <f>(C1708 * E1708 + C1708 * E1708 * F1708)</f>
      </c>
    </row>
    <row r="1709">
      <c r="A1709" s="6"/>
      <c r="B1709" s="15" t="s">
        <v>1430</v>
      </c>
      <c r="C1709" s="23"/>
      <c r="D1709" s="23"/>
      <c r="E1709" s="23"/>
      <c r="F1709" s="23"/>
      <c r="G1709" s="23"/>
    </row>
    <row r="1710">
      <c r="A1710" s="4"/>
      <c r="B1710" s="16" t="s">
        <v>1382</v>
      </c>
      <c r="C1710" s="21">
        <f>(212)*(1)*(1)*(1)*(1 + (0))</f>
      </c>
      <c r="D1710" s="21" t="s">
        <v>9</v>
      </c>
      <c r="E1710" s="21"/>
      <c r="F1710" s="21">
        <f>(0)</f>
      </c>
      <c r="G1710" s="21">
        <f>(C1710 * E1710 + C1710 * E1710 * F1710)</f>
      </c>
    </row>
    <row r="1711">
      <c r="A1711" s="6"/>
      <c r="B1711" s="15" t="s">
        <v>1431</v>
      </c>
      <c r="C1711" s="23"/>
      <c r="D1711" s="23"/>
      <c r="E1711" s="23"/>
      <c r="F1711" s="23"/>
      <c r="G1711" s="23"/>
    </row>
    <row r="1712">
      <c r="A1712" s="4"/>
      <c r="B1712" s="16" t="s">
        <v>1382</v>
      </c>
      <c r="C1712" s="21">
        <f>(8)*(1)*(1)*(1)*(1 + (0))</f>
      </c>
      <c r="D1712" s="21" t="s">
        <v>9</v>
      </c>
      <c r="E1712" s="21"/>
      <c r="F1712" s="21">
        <f>(0)</f>
      </c>
      <c r="G1712" s="21">
        <f>(C1712 * E1712 + C1712 * E1712 * F1712)</f>
      </c>
    </row>
    <row r="1713">
      <c r="A1713" s="5"/>
      <c r="B1713" s="13" t="s">
        <v>1386</v>
      </c>
      <c r="C1713" s="22"/>
      <c r="D1713" s="22"/>
      <c r="E1713" s="22"/>
      <c r="F1713" s="22"/>
      <c r="G1713" s="22"/>
    </row>
    <row r="1714">
      <c r="A1714" s="6"/>
      <c r="B1714" s="15" t="s">
        <v>1432</v>
      </c>
      <c r="C1714" s="23"/>
      <c r="D1714" s="23"/>
      <c r="E1714" s="23"/>
      <c r="F1714" s="23"/>
      <c r="G1714" s="23"/>
    </row>
    <row r="1715">
      <c r="A1715" s="4"/>
      <c r="B1715" s="16" t="s">
        <v>1382</v>
      </c>
      <c r="C1715" s="21">
        <f>(9)*(1)*(1)*(1)*(1 + (0))</f>
      </c>
      <c r="D1715" s="21" t="s">
        <v>9</v>
      </c>
      <c r="E1715" s="21"/>
      <c r="F1715" s="21">
        <f>(0)</f>
      </c>
      <c r="G1715" s="21">
        <f>(C1715 * E1715 + C1715 * E1715 * F1715)</f>
      </c>
    </row>
    <row r="1716">
      <c r="A1716" s="6"/>
      <c r="B1716" s="15" t="s">
        <v>1433</v>
      </c>
      <c r="C1716" s="23"/>
      <c r="D1716" s="23"/>
      <c r="E1716" s="23"/>
      <c r="F1716" s="23"/>
      <c r="G1716" s="23"/>
    </row>
    <row r="1717">
      <c r="A1717" s="4"/>
      <c r="B1717" s="16" t="s">
        <v>1382</v>
      </c>
      <c r="C1717" s="21">
        <f>(12)*(1)*(1)*(1)*(1 + (0))</f>
      </c>
      <c r="D1717" s="21" t="s">
        <v>9</v>
      </c>
      <c r="E1717" s="21"/>
      <c r="F1717" s="21">
        <f>(0)</f>
      </c>
      <c r="G1717" s="21">
        <f>(C1717 * E1717 + C1717 * E1717 * F1717)</f>
      </c>
    </row>
    <row r="1718">
      <c r="A1718" s="4"/>
      <c r="B1718" s="16" t="s">
        <v>1257</v>
      </c>
      <c r="C1718" s="21">
        <f>(14)*(1)*(1)*(1)*(1 + (0))</f>
      </c>
      <c r="D1718" s="21" t="s">
        <v>9</v>
      </c>
      <c r="E1718" s="21"/>
      <c r="F1718" s="21">
        <f>(0)</f>
      </c>
      <c r="G1718" s="21">
        <f>(C1718 * E1718 + C1718 * E1718 * F1718)</f>
      </c>
    </row>
    <row r="1719">
      <c r="A1719" s="6"/>
      <c r="B1719" s="15" t="s">
        <v>1434</v>
      </c>
      <c r="C1719" s="23"/>
      <c r="D1719" s="23"/>
      <c r="E1719" s="23"/>
      <c r="F1719" s="23"/>
      <c r="G1719" s="23"/>
    </row>
    <row r="1720">
      <c r="A1720" s="4"/>
      <c r="B1720" s="16" t="s">
        <v>1257</v>
      </c>
      <c r="C1720" s="21">
        <f>(48)*(1)*(1)*(1)*(1 + (0))</f>
      </c>
      <c r="D1720" s="21" t="s">
        <v>9</v>
      </c>
      <c r="E1720" s="21"/>
      <c r="F1720" s="21">
        <f>(0)</f>
      </c>
      <c r="G1720" s="21">
        <f>(C1720 * E1720 + C1720 * E1720 * F1720)</f>
      </c>
    </row>
    <row r="1721">
      <c r="A1721" s="6"/>
      <c r="B1721" s="15" t="s">
        <v>1435</v>
      </c>
      <c r="C1721" s="23"/>
      <c r="D1721" s="23"/>
      <c r="E1721" s="23"/>
      <c r="F1721" s="23"/>
      <c r="G1721" s="23"/>
    </row>
    <row r="1722">
      <c r="A1722" s="4"/>
      <c r="B1722" s="16" t="s">
        <v>1382</v>
      </c>
      <c r="C1722" s="21">
        <f>(7)*(1)*(1)*(1)*(1 + (0))</f>
      </c>
      <c r="D1722" s="21" t="s">
        <v>9</v>
      </c>
      <c r="E1722" s="21"/>
      <c r="F1722" s="21">
        <f>(0)</f>
      </c>
      <c r="G1722" s="21">
        <f>(C1722 * E1722 + C1722 * E1722 * F1722)</f>
      </c>
    </row>
    <row r="1723">
      <c r="A1723" s="6"/>
      <c r="B1723" s="15" t="s">
        <v>1436</v>
      </c>
      <c r="C1723" s="23"/>
      <c r="D1723" s="23"/>
      <c r="E1723" s="23"/>
      <c r="F1723" s="23"/>
      <c r="G1723" s="23"/>
    </row>
    <row r="1724">
      <c r="A1724" s="4"/>
      <c r="B1724" s="16" t="s">
        <v>1382</v>
      </c>
      <c r="C1724" s="21">
        <f>(56)*(1)*(1)*(1)*(1 + (0))</f>
      </c>
      <c r="D1724" s="21" t="s">
        <v>9</v>
      </c>
      <c r="E1724" s="21"/>
      <c r="F1724" s="21">
        <f>(0)</f>
      </c>
      <c r="G1724" s="21">
        <f>(C1724 * E1724 + C1724 * E1724 * F1724)</f>
      </c>
    </row>
    <row r="1725">
      <c r="A1725" s="4"/>
      <c r="B1725" s="16" t="s">
        <v>1257</v>
      </c>
      <c r="C1725" s="21">
        <f>(36)*(1)*(1)*(1)*(1 + (0))</f>
      </c>
      <c r="D1725" s="21" t="s">
        <v>9</v>
      </c>
      <c r="E1725" s="21"/>
      <c r="F1725" s="21">
        <f>(0)</f>
      </c>
      <c r="G1725" s="21">
        <f>(C1725 * E1725 + C1725 * E1725 * F1725)</f>
      </c>
    </row>
    <row r="1726">
      <c r="A1726" s="6"/>
      <c r="B1726" s="15" t="s">
        <v>1437</v>
      </c>
      <c r="C1726" s="23"/>
      <c r="D1726" s="23"/>
      <c r="E1726" s="23"/>
      <c r="F1726" s="23"/>
      <c r="G1726" s="23"/>
    </row>
    <row r="1727">
      <c r="A1727" s="4"/>
      <c r="B1727" s="16" t="s">
        <v>1382</v>
      </c>
      <c r="C1727" s="21">
        <f>(4)*(1)*(1)*(1)*(1 + (0))</f>
      </c>
      <c r="D1727" s="21" t="s">
        <v>9</v>
      </c>
      <c r="E1727" s="21"/>
      <c r="F1727" s="21">
        <f>(0)</f>
      </c>
      <c r="G1727" s="21">
        <f>(C1727 * E1727 + C1727 * E1727 * F1727)</f>
      </c>
    </row>
    <row r="1728">
      <c r="A1728" s="6"/>
      <c r="B1728" s="15" t="s">
        <v>1438</v>
      </c>
      <c r="C1728" s="23"/>
      <c r="D1728" s="23"/>
      <c r="E1728" s="23"/>
      <c r="F1728" s="23"/>
      <c r="G1728" s="23"/>
    </row>
    <row r="1729">
      <c r="A1729" s="4"/>
      <c r="B1729" s="16" t="s">
        <v>1382</v>
      </c>
      <c r="C1729" s="21">
        <f>(51)*(1)*(1)*(1)*(1 + (0))</f>
      </c>
      <c r="D1729" s="21" t="s">
        <v>9</v>
      </c>
      <c r="E1729" s="21"/>
      <c r="F1729" s="21">
        <f>(0)</f>
      </c>
      <c r="G1729" s="21">
        <f>(C1729 * E1729 + C1729 * E1729 * F1729)</f>
      </c>
    </row>
    <row r="1730">
      <c r="A1730" s="4"/>
      <c r="B1730" s="16" t="s">
        <v>1257</v>
      </c>
      <c r="C1730" s="21">
        <f>(52)*(1)*(1)*(1)*(1 + (0))</f>
      </c>
      <c r="D1730" s="21" t="s">
        <v>9</v>
      </c>
      <c r="E1730" s="21"/>
      <c r="F1730" s="21">
        <f>(0)</f>
      </c>
      <c r="G1730" s="21">
        <f>(C1730 * E1730 + C1730 * E1730 * F1730)</f>
      </c>
    </row>
    <row r="1731">
      <c r="A1731" s="6"/>
      <c r="B1731" s="15" t="s">
        <v>1439</v>
      </c>
      <c r="C1731" s="23"/>
      <c r="D1731" s="23"/>
      <c r="E1731" s="23"/>
      <c r="F1731" s="23"/>
      <c r="G1731" s="23"/>
    </row>
    <row r="1732">
      <c r="A1732" s="4"/>
      <c r="B1732" s="16" t="s">
        <v>1382</v>
      </c>
      <c r="C1732" s="21">
        <f>(15)*(1)*(1)*(1)*(1 + (0))</f>
      </c>
      <c r="D1732" s="21" t="s">
        <v>9</v>
      </c>
      <c r="E1732" s="21"/>
      <c r="F1732" s="21">
        <f>(0)</f>
      </c>
      <c r="G1732" s="21">
        <f>(C1732 * E1732 + C1732 * E1732 * F1732)</f>
      </c>
    </row>
    <row r="1733">
      <c r="A1733" s="6"/>
      <c r="B1733" s="15" t="s">
        <v>1440</v>
      </c>
      <c r="C1733" s="23"/>
      <c r="D1733" s="23"/>
      <c r="E1733" s="23"/>
      <c r="F1733" s="23"/>
      <c r="G1733" s="23"/>
    </row>
    <row r="1734">
      <c r="A1734" s="4"/>
      <c r="B1734" s="16" t="s">
        <v>1382</v>
      </c>
      <c r="C1734" s="21">
        <f>(5)*(1)*(1)*(1)*(1 + (0))</f>
      </c>
      <c r="D1734" s="21" t="s">
        <v>9</v>
      </c>
      <c r="E1734" s="21"/>
      <c r="F1734" s="21">
        <f>(0)</f>
      </c>
      <c r="G1734" s="21">
        <f>(C1734 * E1734 + C1734 * E1734 * F1734)</f>
      </c>
    </row>
    <row r="1735">
      <c r="A1735" s="6"/>
      <c r="B1735" s="15" t="s">
        <v>1441</v>
      </c>
      <c r="C1735" s="23"/>
      <c r="D1735" s="23"/>
      <c r="E1735" s="23"/>
      <c r="F1735" s="23"/>
      <c r="G1735" s="23"/>
    </row>
    <row r="1736">
      <c r="A1736" s="4"/>
      <c r="B1736" s="16" t="s">
        <v>1382</v>
      </c>
      <c r="C1736" s="21">
        <f>(123)*(1)*(1)*(1)*(1 + (0))</f>
      </c>
      <c r="D1736" s="21" t="s">
        <v>9</v>
      </c>
      <c r="E1736" s="21"/>
      <c r="F1736" s="21">
        <f>(0)</f>
      </c>
      <c r="G1736" s="21">
        <f>(C1736 * E1736 + C1736 * E1736 * F1736)</f>
      </c>
    </row>
    <row r="1737">
      <c r="A1737" s="4"/>
      <c r="B1737" s="16" t="s">
        <v>1257</v>
      </c>
      <c r="C1737" s="21">
        <f>(12)*(1)*(1)*(1)*(1 + (0))</f>
      </c>
      <c r="D1737" s="21" t="s">
        <v>9</v>
      </c>
      <c r="E1737" s="21"/>
      <c r="F1737" s="21">
        <f>(0)</f>
      </c>
      <c r="G1737" s="21">
        <f>(C1737 * E1737 + C1737 * E1737 * F1737)</f>
      </c>
    </row>
    <row r="1738">
      <c r="A1738" s="6"/>
      <c r="B1738" s="15" t="s">
        <v>1442</v>
      </c>
      <c r="C1738" s="23"/>
      <c r="D1738" s="23"/>
      <c r="E1738" s="23"/>
      <c r="F1738" s="23"/>
      <c r="G1738" s="23"/>
    </row>
    <row r="1739">
      <c r="A1739" s="4"/>
      <c r="B1739" s="16" t="s">
        <v>1382</v>
      </c>
      <c r="C1739" s="21">
        <f>(15)*(1)*(1)*(1)*(1 + (0))</f>
      </c>
      <c r="D1739" s="21" t="s">
        <v>9</v>
      </c>
      <c r="E1739" s="21"/>
      <c r="F1739" s="21">
        <f>(0)</f>
      </c>
      <c r="G1739" s="21">
        <f>(C1739 * E1739 + C1739 * E1739 * F1739)</f>
      </c>
    </row>
    <row r="1740">
      <c r="A1740" s="4"/>
      <c r="B1740" s="16" t="s">
        <v>1257</v>
      </c>
      <c r="C1740" s="21">
        <f>(11)*(1)*(1)*(1)*(1 + (0))</f>
      </c>
      <c r="D1740" s="21" t="s">
        <v>9</v>
      </c>
      <c r="E1740" s="21"/>
      <c r="F1740" s="21">
        <f>(0)</f>
      </c>
      <c r="G1740" s="21">
        <f>(C1740 * E1740 + C1740 * E1740 * F1740)</f>
      </c>
    </row>
    <row r="1741">
      <c r="A1741" s="6"/>
      <c r="B1741" s="15" t="s">
        <v>1443</v>
      </c>
      <c r="C1741" s="23"/>
      <c r="D1741" s="23"/>
      <c r="E1741" s="23"/>
      <c r="F1741" s="23"/>
      <c r="G1741" s="23"/>
    </row>
    <row r="1742">
      <c r="A1742" s="4"/>
      <c r="B1742" s="16" t="s">
        <v>1382</v>
      </c>
      <c r="C1742" s="21">
        <f>(7)*(1)*(1)*(1)*(1 + (0))</f>
      </c>
      <c r="D1742" s="21" t="s">
        <v>9</v>
      </c>
      <c r="E1742" s="21"/>
      <c r="F1742" s="21">
        <f>(0)</f>
      </c>
      <c r="G1742" s="21">
        <f>(C1742 * E1742 + C1742 * E1742 * F1742)</f>
      </c>
    </row>
    <row r="1743">
      <c r="A1743" s="6"/>
      <c r="B1743" s="15" t="s">
        <v>1444</v>
      </c>
      <c r="C1743" s="23"/>
      <c r="D1743" s="23"/>
      <c r="E1743" s="23"/>
      <c r="F1743" s="23"/>
      <c r="G1743" s="23"/>
    </row>
    <row r="1744">
      <c r="A1744" s="4"/>
      <c r="B1744" s="16" t="s">
        <v>1382</v>
      </c>
      <c r="C1744" s="21">
        <f>(6)*(1)*(1)*(1)*(1 + (0))</f>
      </c>
      <c r="D1744" s="21" t="s">
        <v>9</v>
      </c>
      <c r="E1744" s="21"/>
      <c r="F1744" s="21">
        <f>(0)</f>
      </c>
      <c r="G1744" s="21">
        <f>(C1744 * E1744 + C1744 * E1744 * F1744)</f>
      </c>
    </row>
    <row r="1745">
      <c r="A1745" s="6"/>
      <c r="B1745" s="15" t="s">
        <v>1445</v>
      </c>
      <c r="C1745" s="23"/>
      <c r="D1745" s="23"/>
      <c r="E1745" s="23"/>
      <c r="F1745" s="23"/>
      <c r="G1745" s="23"/>
    </row>
    <row r="1746">
      <c r="A1746" s="4"/>
      <c r="B1746" s="16" t="s">
        <v>1382</v>
      </c>
      <c r="C1746" s="21">
        <f>(20)*(1)*(1)*(1)*(1 + (0))</f>
      </c>
      <c r="D1746" s="21" t="s">
        <v>9</v>
      </c>
      <c r="E1746" s="21"/>
      <c r="F1746" s="21">
        <f>(0)</f>
      </c>
      <c r="G1746" s="21">
        <f>(C1746 * E1746 + C1746 * E1746 * F1746)</f>
      </c>
    </row>
    <row r="1747">
      <c r="A1747" s="6"/>
      <c r="B1747" s="15" t="s">
        <v>1446</v>
      </c>
      <c r="C1747" s="23"/>
      <c r="D1747" s="23"/>
      <c r="E1747" s="23"/>
      <c r="F1747" s="23"/>
      <c r="G1747" s="23"/>
    </row>
    <row r="1748">
      <c r="A1748" s="4"/>
      <c r="B1748" s="16" t="s">
        <v>1382</v>
      </c>
      <c r="C1748" s="21">
        <f>(53)*(1)*(1)*(1)*(1 + (0))</f>
      </c>
      <c r="D1748" s="21" t="s">
        <v>9</v>
      </c>
      <c r="E1748" s="21"/>
      <c r="F1748" s="21">
        <f>(0)</f>
      </c>
      <c r="G1748" s="21">
        <f>(C1748 * E1748 + C1748 * E1748 * F1748)</f>
      </c>
    </row>
    <row r="1749">
      <c r="A1749" s="6"/>
      <c r="B1749" s="15" t="s">
        <v>1447</v>
      </c>
      <c r="C1749" s="23"/>
      <c r="D1749" s="23"/>
      <c r="E1749" s="23"/>
      <c r="F1749" s="23"/>
      <c r="G1749" s="23"/>
    </row>
    <row r="1750">
      <c r="A1750" s="4"/>
      <c r="B1750" s="16" t="s">
        <v>1382</v>
      </c>
      <c r="C1750" s="21">
        <f>(6)*(1)*(1)*(1)*(1 + (0))</f>
      </c>
      <c r="D1750" s="21" t="s">
        <v>9</v>
      </c>
      <c r="E1750" s="21"/>
      <c r="F1750" s="21">
        <f>(0)</f>
      </c>
      <c r="G1750" s="21">
        <f>(C1750 * E1750 + C1750 * E1750 * F1750)</f>
      </c>
    </row>
    <row r="1751">
      <c r="A1751" s="6"/>
      <c r="B1751" s="15" t="s">
        <v>1448</v>
      </c>
      <c r="C1751" s="23"/>
      <c r="D1751" s="23"/>
      <c r="E1751" s="23"/>
      <c r="F1751" s="23"/>
      <c r="G1751" s="23"/>
    </row>
    <row r="1752">
      <c r="A1752" s="4"/>
      <c r="B1752" s="16" t="s">
        <v>1382</v>
      </c>
      <c r="C1752" s="21">
        <f>(23)*(1)*(1)*(1)*(1 + (0))</f>
      </c>
      <c r="D1752" s="21" t="s">
        <v>9</v>
      </c>
      <c r="E1752" s="21"/>
      <c r="F1752" s="21">
        <f>(0)</f>
      </c>
      <c r="G1752" s="21">
        <f>(C1752 * E1752 + C1752 * E1752 * F1752)</f>
      </c>
    </row>
    <row r="1753">
      <c r="A1753" s="4"/>
      <c r="B1753" s="16" t="s">
        <v>1257</v>
      </c>
      <c r="C1753" s="21">
        <f>(7)*(1)*(1)*(1)*(1 + (0))</f>
      </c>
      <c r="D1753" s="21" t="s">
        <v>9</v>
      </c>
      <c r="E1753" s="21"/>
      <c r="F1753" s="21">
        <f>(0)</f>
      </c>
      <c r="G1753" s="21">
        <f>(C1753 * E1753 + C1753 * E1753 * F1753)</f>
      </c>
    </row>
    <row r="1754">
      <c r="A1754" s="6"/>
      <c r="B1754" s="15" t="s">
        <v>1449</v>
      </c>
      <c r="C1754" s="23"/>
      <c r="D1754" s="23"/>
      <c r="E1754" s="23"/>
      <c r="F1754" s="23"/>
      <c r="G1754" s="23"/>
    </row>
    <row r="1755">
      <c r="A1755" s="4"/>
      <c r="B1755" s="16" t="s">
        <v>1382</v>
      </c>
      <c r="C1755" s="21">
        <f>(42)*(1)*(1)*(1)*(1 + (0))</f>
      </c>
      <c r="D1755" s="21" t="s">
        <v>9</v>
      </c>
      <c r="E1755" s="21"/>
      <c r="F1755" s="21">
        <f>(0)</f>
      </c>
      <c r="G1755" s="21">
        <f>(C1755 * E1755 + C1755 * E1755 * F1755)</f>
      </c>
    </row>
    <row r="1756">
      <c r="A1756" s="4"/>
      <c r="B1756" s="16" t="s">
        <v>1257</v>
      </c>
      <c r="C1756" s="21">
        <f>(7)*(1)*(1)*(1)*(1 + (0))</f>
      </c>
      <c r="D1756" s="21" t="s">
        <v>9</v>
      </c>
      <c r="E1756" s="21"/>
      <c r="F1756" s="21">
        <f>(0)</f>
      </c>
      <c r="G1756" s="21">
        <f>(C1756 * E1756 + C1756 * E1756 * F1756)</f>
      </c>
    </row>
    <row r="1757">
      <c r="A1757" s="6"/>
      <c r="B1757" s="15" t="s">
        <v>1450</v>
      </c>
      <c r="C1757" s="23"/>
      <c r="D1757" s="23"/>
      <c r="E1757" s="23"/>
      <c r="F1757" s="23"/>
      <c r="G1757" s="23"/>
    </row>
    <row r="1758">
      <c r="A1758" s="4"/>
      <c r="B1758" s="16" t="s">
        <v>1382</v>
      </c>
      <c r="C1758" s="21">
        <f>(18)*(1)*(1)*(1)*(1 + (0))</f>
      </c>
      <c r="D1758" s="21" t="s">
        <v>9</v>
      </c>
      <c r="E1758" s="21"/>
      <c r="F1758" s="21">
        <f>(0)</f>
      </c>
      <c r="G1758" s="21">
        <f>(C1758 * E1758 + C1758 * E1758 * F1758)</f>
      </c>
    </row>
    <row r="1759">
      <c r="A1759" s="5"/>
      <c r="B1759" s="13" t="s">
        <v>1451</v>
      </c>
      <c r="C1759" s="22"/>
      <c r="D1759" s="22"/>
      <c r="E1759" s="22"/>
      <c r="F1759" s="22"/>
      <c r="G1759" s="22"/>
    </row>
    <row r="1760">
      <c r="A1760" s="6"/>
      <c r="B1760" s="15" t="s">
        <v>1452</v>
      </c>
      <c r="C1760" s="23"/>
      <c r="D1760" s="23"/>
      <c r="E1760" s="23"/>
      <c r="F1760" s="23"/>
      <c r="G1760" s="23"/>
    </row>
    <row r="1761">
      <c r="A1761" s="4"/>
      <c r="B1761" s="16" t="s">
        <v>1257</v>
      </c>
      <c r="C1761" s="21">
        <f>(101)*(1)*(1)*(1)*(1 + (0))</f>
      </c>
      <c r="D1761" s="21" t="s">
        <v>9</v>
      </c>
      <c r="E1761" s="21"/>
      <c r="F1761" s="21">
        <f>(0)</f>
      </c>
      <c r="G1761" s="21">
        <f>(C1761 * E1761 + C1761 * E1761 * F1761)</f>
      </c>
    </row>
    <row r="1762">
      <c r="A1762" s="6"/>
      <c r="B1762" s="15" t="s">
        <v>1453</v>
      </c>
      <c r="C1762" s="23"/>
      <c r="D1762" s="23"/>
      <c r="E1762" s="23"/>
      <c r="F1762" s="23"/>
      <c r="G1762" s="23"/>
    </row>
    <row r="1763">
      <c r="A1763" s="4"/>
      <c r="B1763" s="16" t="s">
        <v>1382</v>
      </c>
      <c r="C1763" s="21">
        <f>(40)*(1)*(1)*(1)*(1 + (0))</f>
      </c>
      <c r="D1763" s="21" t="s">
        <v>9</v>
      </c>
      <c r="E1763" s="21"/>
      <c r="F1763" s="21">
        <f>(0)</f>
      </c>
      <c r="G1763" s="21">
        <f>(C1763 * E1763 + C1763 * E1763 * F1763)</f>
      </c>
    </row>
    <row r="1764">
      <c r="A1764" s="6"/>
      <c r="B1764" s="15" t="s">
        <v>1454</v>
      </c>
      <c r="C1764" s="23"/>
      <c r="D1764" s="23"/>
      <c r="E1764" s="23"/>
      <c r="F1764" s="23"/>
      <c r="G1764" s="23"/>
    </row>
    <row r="1765">
      <c r="A1765" s="4"/>
      <c r="B1765" s="16" t="s">
        <v>1382</v>
      </c>
      <c r="C1765" s="21">
        <f>(44)*(1)*(1)*(1)*(1 + (0))</f>
      </c>
      <c r="D1765" s="21" t="s">
        <v>9</v>
      </c>
      <c r="E1765" s="21"/>
      <c r="F1765" s="21">
        <f>(0)</f>
      </c>
      <c r="G1765" s="21">
        <f>(C1765 * E1765 + C1765 * E1765 * F1765)</f>
      </c>
    </row>
    <row r="1766">
      <c r="A1766" s="5"/>
      <c r="B1766" s="13" t="s">
        <v>1398</v>
      </c>
      <c r="C1766" s="22"/>
      <c r="D1766" s="22"/>
      <c r="E1766" s="22"/>
      <c r="F1766" s="22"/>
      <c r="G1766" s="22"/>
    </row>
    <row r="1767">
      <c r="A1767" s="6"/>
      <c r="B1767" s="15" t="s">
        <v>1399</v>
      </c>
      <c r="C1767" s="23"/>
      <c r="D1767" s="23"/>
      <c r="E1767" s="23"/>
      <c r="F1767" s="23"/>
      <c r="G1767" s="23"/>
    </row>
    <row r="1768">
      <c r="A1768" s="4"/>
      <c r="B1768" s="16" t="s">
        <v>1257</v>
      </c>
      <c r="C1768" s="21">
        <f>(99)*(1)*(1)*(1)*(1 + (0))</f>
      </c>
      <c r="D1768" s="21" t="s">
        <v>9</v>
      </c>
      <c r="E1768" s="21"/>
      <c r="F1768" s="21">
        <f>(0)</f>
      </c>
      <c r="G1768" s="21">
        <f>(C1768 * E1768 + C1768 * E1768 * F1768)</f>
      </c>
    </row>
    <row r="1769">
      <c r="A1769" s="3"/>
      <c r="B1769" s="11" t="s">
        <v>1455</v>
      </c>
      <c r="C1769" s="20"/>
      <c r="D1769" s="20"/>
      <c r="E1769" s="20"/>
      <c r="F1769" s="20"/>
      <c r="G1769" s="20"/>
    </row>
    <row r="1770">
      <c r="A1770" s="5"/>
      <c r="B1770" s="13" t="s">
        <v>1238</v>
      </c>
      <c r="C1770" s="22"/>
      <c r="D1770" s="22"/>
      <c r="E1770" s="22"/>
      <c r="F1770" s="22"/>
      <c r="G1770" s="22"/>
    </row>
    <row r="1771">
      <c r="A1771" s="4"/>
      <c r="B1771" s="14" t="s">
        <v>1456</v>
      </c>
      <c r="C1771" s="21">
        <f>(3)*(1)*(1)*(1)*(1 + (0))</f>
      </c>
      <c r="D1771" s="21" t="s">
        <v>170</v>
      </c>
      <c r="E1771" s="21"/>
      <c r="F1771" s="21">
        <f>(0)</f>
      </c>
      <c r="G1771" s="21">
        <f>(C1771 * E1771 + C1771 * E1771 * F1771)</f>
      </c>
    </row>
    <row r="1772">
      <c r="A1772" s="4"/>
      <c r="B1772" s="14" t="s">
        <v>1457</v>
      </c>
      <c r="C1772" s="21">
        <f>(4)*(1)*(1)*(1)*(1 + (0))</f>
      </c>
      <c r="D1772" s="21" t="s">
        <v>170</v>
      </c>
      <c r="E1772" s="21"/>
      <c r="F1772" s="21">
        <f>(0)</f>
      </c>
      <c r="G1772" s="21">
        <f>(C1772 * E1772 + C1772 * E1772 * F1772)</f>
      </c>
    </row>
    <row r="1773">
      <c r="A1773" s="5"/>
      <c r="B1773" s="13" t="s">
        <v>1257</v>
      </c>
      <c r="C1773" s="22"/>
      <c r="D1773" s="22"/>
      <c r="E1773" s="22"/>
      <c r="F1773" s="22"/>
      <c r="G1773" s="22"/>
    </row>
    <row r="1774">
      <c r="A1774" s="4"/>
      <c r="B1774" s="14" t="s">
        <v>1457</v>
      </c>
      <c r="C1774" s="21">
        <f>(2)*(1)*(1)*(1)*(1 + (0))</f>
      </c>
      <c r="D1774" s="21" t="s">
        <v>170</v>
      </c>
      <c r="E1774" s="21"/>
      <c r="F1774" s="21">
        <f>(0)</f>
      </c>
      <c r="G1774" s="21">
        <f>(C1774 * E1774 + C1774 * E1774 * F1774)</f>
      </c>
    </row>
    <row r="1775">
      <c r="A1775" s="3"/>
      <c r="B1775" s="11" t="s">
        <v>1458</v>
      </c>
      <c r="C1775" s="20"/>
      <c r="D1775" s="20"/>
      <c r="E1775" s="20"/>
      <c r="F1775" s="20"/>
      <c r="G1775" s="20"/>
    </row>
    <row r="1776">
      <c r="A1776" s="5"/>
      <c r="B1776" s="13" t="s">
        <v>1238</v>
      </c>
      <c r="C1776" s="22"/>
      <c r="D1776" s="22"/>
      <c r="E1776" s="22"/>
      <c r="F1776" s="22"/>
      <c r="G1776" s="22"/>
    </row>
    <row r="1777">
      <c r="A1777" s="4"/>
      <c r="B1777" s="14" t="s">
        <v>1457</v>
      </c>
      <c r="C1777" s="21">
        <f>(4)*(1)*(1)*(1)*(1 + (0))</f>
      </c>
      <c r="D1777" s="21" t="s">
        <v>170</v>
      </c>
      <c r="E1777" s="21"/>
      <c r="F1777" s="21">
        <f>(0)</f>
      </c>
      <c r="G1777" s="21">
        <f>(C1777 * E1777 + C1777 * E1777 * F1777)</f>
      </c>
    </row>
    <row r="1778">
      <c r="A1778" s="4"/>
      <c r="B1778" s="14" t="s">
        <v>1459</v>
      </c>
      <c r="C1778" s="21">
        <f>(1)*(1)*(1)*(1)*(1 + (0))</f>
      </c>
      <c r="D1778" s="21" t="s">
        <v>170</v>
      </c>
      <c r="E1778" s="21"/>
      <c r="F1778" s="21">
        <f>(0)</f>
      </c>
      <c r="G1778" s="21">
        <f>(C1778 * E1778 + C1778 * E1778 * F1778)</f>
      </c>
    </row>
    <row r="1779">
      <c r="A1779" s="4"/>
      <c r="B1779" s="14" t="s">
        <v>1457</v>
      </c>
      <c r="C1779" s="21">
        <f>(3)*(1)*(1)*(1)*(1 + (0))</f>
      </c>
      <c r="D1779" s="21" t="s">
        <v>170</v>
      </c>
      <c r="E1779" s="21"/>
      <c r="F1779" s="21">
        <f>(0)</f>
      </c>
      <c r="G1779" s="21">
        <f>(C1779 * E1779 + C1779 * E1779 * F1779)</f>
      </c>
    </row>
    <row r="1780">
      <c r="A1780" s="5"/>
      <c r="B1780" s="13" t="s">
        <v>1257</v>
      </c>
      <c r="C1780" s="22"/>
      <c r="D1780" s="22"/>
      <c r="E1780" s="22"/>
      <c r="F1780" s="22"/>
      <c r="G1780" s="22"/>
    </row>
    <row r="1781">
      <c r="A1781" s="4"/>
      <c r="B1781" s="14" t="s">
        <v>1457</v>
      </c>
      <c r="C1781" s="21">
        <f>(3)*(1)*(1)*(1)*(1 + (0))</f>
      </c>
      <c r="D1781" s="21" t="s">
        <v>170</v>
      </c>
      <c r="E1781" s="21"/>
      <c r="F1781" s="21">
        <f>(0)</f>
      </c>
      <c r="G1781" s="21">
        <f>(C1781 * E1781 + C1781 * E1781 * F1781)</f>
      </c>
    </row>
    <row r="1782">
      <c r="A1782" s="2"/>
      <c r="B1782" s="10" t="s">
        <v>1460</v>
      </c>
      <c r="C1782" s="19"/>
      <c r="D1782" s="19"/>
      <c r="E1782" s="19"/>
      <c r="F1782" s="19"/>
      <c r="G1782" s="19"/>
    </row>
    <row r="1783">
      <c r="A1783" s="3"/>
      <c r="B1783" s="11" t="s">
        <v>14</v>
      </c>
      <c r="C1783" s="20"/>
      <c r="D1783" s="20"/>
      <c r="E1783" s="20"/>
      <c r="F1783" s="20"/>
      <c r="G1783" s="20"/>
    </row>
    <row r="1784">
      <c r="A1784" s="4" t="s">
        <v>1461</v>
      </c>
      <c r="B1784" s="12" t="s">
        <v>16</v>
      </c>
      <c r="C1784" s="21"/>
      <c r="D1784" s="21" t="s">
        <v>17</v>
      </c>
      <c r="E1784" s="21"/>
      <c r="F1784" s="21">
        <f>(0)</f>
      </c>
      <c r="G1784" s="21">
        <f>(C1784 * E1784 + C1784 * E1784 * F1784)</f>
      </c>
    </row>
    <row r="1785">
      <c r="A1785" s="4" t="s">
        <v>1462</v>
      </c>
      <c r="B1785" s="12" t="s">
        <v>19</v>
      </c>
      <c r="C1785" s="21"/>
      <c r="D1785" s="21" t="s">
        <v>17</v>
      </c>
      <c r="E1785" s="21"/>
      <c r="F1785" s="21">
        <f>(0)</f>
      </c>
      <c r="G1785" s="21">
        <f>(C1785 * E1785 + C1785 * E1785 * F1785)</f>
      </c>
    </row>
    <row r="1786">
      <c r="A1786" s="3"/>
      <c r="B1786" s="11" t="s">
        <v>22</v>
      </c>
      <c r="C1786" s="20"/>
      <c r="D1786" s="20"/>
      <c r="E1786" s="20"/>
      <c r="F1786" s="20"/>
      <c r="G1786" s="20"/>
    </row>
    <row r="1787">
      <c r="A1787" s="4"/>
      <c r="B1787" s="12" t="s">
        <v>1463</v>
      </c>
      <c r="C1787" s="21"/>
      <c r="D1787" s="21" t="s">
        <v>17</v>
      </c>
      <c r="E1787" s="21"/>
      <c r="F1787" s="21">
        <f>(0)</f>
      </c>
      <c r="G1787" s="21">
        <f>(C1787 * E1787 + C1787 * E1787 * F1787)</f>
      </c>
    </row>
    <row r="1788">
      <c r="A1788" s="4"/>
      <c r="B1788" s="12" t="s">
        <v>803</v>
      </c>
      <c r="C1788" s="21"/>
      <c r="D1788" s="21" t="s">
        <v>17</v>
      </c>
      <c r="E1788" s="21"/>
      <c r="F1788" s="21">
        <f>(0)</f>
      </c>
      <c r="G1788" s="21">
        <f>(C1788 * E1788 + C1788 * E1788 * F1788)</f>
      </c>
    </row>
    <row r="1789">
      <c r="A1789" s="4"/>
      <c r="B1789" s="12" t="s">
        <v>1464</v>
      </c>
      <c r="C1789" s="21"/>
      <c r="D1789" s="21" t="s">
        <v>17</v>
      </c>
      <c r="E1789" s="21"/>
      <c r="F1789" s="21">
        <f>(0)</f>
      </c>
      <c r="G1789" s="21">
        <f>(C1789 * E1789 + C1789 * E1789 * F1789)</f>
      </c>
    </row>
    <row r="1790">
      <c r="A1790" s="4"/>
      <c r="B1790" s="12" t="s">
        <v>1465</v>
      </c>
      <c r="C1790" s="21"/>
      <c r="D1790" s="21" t="s">
        <v>17</v>
      </c>
      <c r="E1790" s="21"/>
      <c r="F1790" s="21">
        <f>(0)</f>
      </c>
      <c r="G1790" s="21">
        <f>(C1790 * E1790 + C1790 * E1790 * F1790)</f>
      </c>
    </row>
    <row r="1791">
      <c r="A1791" s="3"/>
      <c r="B1791" s="11" t="s">
        <v>24</v>
      </c>
      <c r="C1791" s="20"/>
      <c r="D1791" s="20"/>
      <c r="E1791" s="20"/>
      <c r="F1791" s="20"/>
      <c r="G1791" s="20"/>
    </row>
    <row r="1792">
      <c r="A1792" s="5"/>
      <c r="B1792" s="13" t="s">
        <v>25</v>
      </c>
      <c r="C1792" s="22"/>
      <c r="D1792" s="22"/>
      <c r="E1792" s="22"/>
      <c r="F1792" s="22"/>
      <c r="G1792" s="22"/>
    </row>
    <row r="1793">
      <c r="A1793" s="4" t="s">
        <v>1466</v>
      </c>
      <c r="B1793" s="14" t="s">
        <v>1467</v>
      </c>
      <c r="C1793" s="21"/>
      <c r="D1793" s="21" t="s">
        <v>17</v>
      </c>
      <c r="E1793" s="21"/>
      <c r="F1793" s="21">
        <f>(0)</f>
      </c>
      <c r="G1793" s="21">
        <f>(C1793 * E1793 + C1793 * E1793 * F1793)</f>
      </c>
    </row>
    <row r="1794">
      <c r="A1794" s="4" t="s">
        <v>1468</v>
      </c>
      <c r="B1794" s="14" t="s">
        <v>1469</v>
      </c>
      <c r="C1794" s="21"/>
      <c r="D1794" s="21" t="s">
        <v>17</v>
      </c>
      <c r="E1794" s="21"/>
      <c r="F1794" s="21">
        <f>(0)</f>
      </c>
      <c r="G1794" s="21">
        <f>(C1794 * E1794 + C1794 * E1794 * F1794)</f>
      </c>
    </row>
    <row r="1795">
      <c r="A1795" s="4" t="s">
        <v>1470</v>
      </c>
      <c r="B1795" s="14" t="s">
        <v>1471</v>
      </c>
      <c r="C1795" s="21"/>
      <c r="D1795" s="21" t="s">
        <v>17</v>
      </c>
      <c r="E1795" s="21"/>
      <c r="F1795" s="21">
        <f>(0)</f>
      </c>
      <c r="G1795" s="21">
        <f>(C1795 * E1795 + C1795 * E1795 * F1795)</f>
      </c>
    </row>
    <row r="1796">
      <c r="A1796" s="4" t="s">
        <v>1472</v>
      </c>
      <c r="B1796" s="14" t="s">
        <v>1154</v>
      </c>
      <c r="C1796" s="21"/>
      <c r="D1796" s="21" t="s">
        <v>17</v>
      </c>
      <c r="E1796" s="21"/>
      <c r="F1796" s="21">
        <f>(0)</f>
      </c>
      <c r="G1796" s="21">
        <f>(C1796 * E1796 + C1796 * E1796 * F1796)</f>
      </c>
    </row>
    <row r="1797">
      <c r="A1797" s="4" t="s">
        <v>1473</v>
      </c>
      <c r="B1797" s="14" t="s">
        <v>194</v>
      </c>
      <c r="C1797" s="21"/>
      <c r="D1797" s="21" t="s">
        <v>17</v>
      </c>
      <c r="E1797" s="21"/>
      <c r="F1797" s="21">
        <f>(0)</f>
      </c>
      <c r="G1797" s="21">
        <f>(C1797 * E1797 + C1797 * E1797 * F1797)</f>
      </c>
    </row>
    <row r="1798">
      <c r="A1798" s="3"/>
      <c r="B1798" s="11" t="s">
        <v>42</v>
      </c>
      <c r="C1798" s="20"/>
      <c r="D1798" s="20"/>
      <c r="E1798" s="20"/>
      <c r="F1798" s="20"/>
      <c r="G1798" s="20"/>
    </row>
    <row r="1799">
      <c r="A1799" s="4" t="s">
        <v>1474</v>
      </c>
      <c r="B1799" s="12" t="s">
        <v>251</v>
      </c>
      <c r="C1799" s="21">
        <f>(1)*(1)*(1)*(1)*(1 + (0))</f>
      </c>
      <c r="D1799" s="21" t="s">
        <v>45</v>
      </c>
      <c r="E1799" s="21"/>
      <c r="F1799" s="21">
        <f>(0)</f>
      </c>
      <c r="G1799" s="21">
        <f>(C1799 * E1799 + C1799 * E1799 * F1799)</f>
      </c>
    </row>
    <row r="1800">
      <c r="A1800" s="4" t="s">
        <v>1475</v>
      </c>
      <c r="B1800" s="12" t="s">
        <v>1476</v>
      </c>
      <c r="C1800" s="21">
        <f>(1)*(1)*(1)*(1)*(1 + (0))</f>
      </c>
      <c r="D1800" s="21" t="s">
        <v>45</v>
      </c>
      <c r="E1800" s="21"/>
      <c r="F1800" s="21">
        <f>(0)</f>
      </c>
      <c r="G1800" s="21">
        <f>(C1800 * E1800 + C1800 * E1800 * F1800)</f>
      </c>
    </row>
    <row r="1801">
      <c r="A1801" s="4" t="s">
        <v>1477</v>
      </c>
      <c r="B1801" s="12" t="s">
        <v>894</v>
      </c>
      <c r="C1801" s="21">
        <f>(1)*(1)*(1)*(1)*(1 + (0))</f>
      </c>
      <c r="D1801" s="21" t="s">
        <v>45</v>
      </c>
      <c r="E1801" s="21"/>
      <c r="F1801" s="21">
        <f>(0)</f>
      </c>
      <c r="G1801" s="21">
        <f>(C1801 * E1801 + C1801 * E1801 * F1801)</f>
      </c>
    </row>
    <row r="1802">
      <c r="A1802" s="4" t="s">
        <v>1478</v>
      </c>
      <c r="B1802" s="12" t="s">
        <v>1181</v>
      </c>
      <c r="C1802" s="21">
        <f>(1)*(1)*(1)*(1)*(1 + (0))</f>
      </c>
      <c r="D1802" s="21" t="s">
        <v>45</v>
      </c>
      <c r="E1802" s="21"/>
      <c r="F1802" s="21">
        <f>(0)</f>
      </c>
      <c r="G1802" s="21">
        <f>(C1802 * E1802 + C1802 * E1802 * F1802)</f>
      </c>
    </row>
    <row r="1803">
      <c r="A1803" s="4" t="s">
        <v>1479</v>
      </c>
      <c r="B1803" s="12" t="s">
        <v>1019</v>
      </c>
      <c r="C1803" s="21">
        <f>(1)*(1)*(1)*(1)*(1 + (0))</f>
      </c>
      <c r="D1803" s="21" t="s">
        <v>45</v>
      </c>
      <c r="E1803" s="21"/>
      <c r="F1803" s="21">
        <f>(0)</f>
      </c>
      <c r="G1803" s="21">
        <f>(C1803 * E1803 + C1803 * E1803 * F1803)</f>
      </c>
    </row>
    <row r="1804">
      <c r="A1804" s="4" t="s">
        <v>1480</v>
      </c>
      <c r="B1804" s="12" t="s">
        <v>605</v>
      </c>
      <c r="C1804" s="21">
        <f>(1)*(1)*(1)*(1)*(1 + (0))</f>
      </c>
      <c r="D1804" s="21" t="s">
        <v>45</v>
      </c>
      <c r="E1804" s="21"/>
      <c r="F1804" s="21">
        <f>(0)</f>
      </c>
      <c r="G1804" s="21">
        <f>(C1804 * E1804 + C1804 * E1804 * F1804)</f>
      </c>
    </row>
    <row r="1805">
      <c r="A1805" s="4" t="s">
        <v>1481</v>
      </c>
      <c r="B1805" s="12" t="s">
        <v>1169</v>
      </c>
      <c r="C1805" s="21">
        <f>(1)*(1)*(1)*(1)*(1 + (0))</f>
      </c>
      <c r="D1805" s="21" t="s">
        <v>45</v>
      </c>
      <c r="E1805" s="21"/>
      <c r="F1805" s="21">
        <f>(0)</f>
      </c>
      <c r="G1805" s="21">
        <f>(C1805 * E1805 + C1805 * E1805 * F1805)</f>
      </c>
    </row>
    <row r="1806">
      <c r="A1806" s="4" t="s">
        <v>1482</v>
      </c>
      <c r="B1806" s="12" t="s">
        <v>1483</v>
      </c>
      <c r="C1806" s="21">
        <f>(1)*(1)*(1)*(1)*(1 + (0))</f>
      </c>
      <c r="D1806" s="21" t="s">
        <v>45</v>
      </c>
      <c r="E1806" s="21"/>
      <c r="F1806" s="21">
        <f>(0)</f>
      </c>
      <c r="G1806" s="21">
        <f>(C1806 * E1806 + C1806 * E1806 * F1806)</f>
      </c>
    </row>
    <row r="1807">
      <c r="A1807" s="4" t="s">
        <v>1484</v>
      </c>
      <c r="B1807" s="12" t="s">
        <v>1485</v>
      </c>
      <c r="C1807" s="21">
        <f>(1)*(1)*(1)*(1)*(1 + (0))</f>
      </c>
      <c r="D1807" s="21" t="s">
        <v>45</v>
      </c>
      <c r="E1807" s="21"/>
      <c r="F1807" s="21">
        <f>(0)</f>
      </c>
      <c r="G1807" s="21">
        <f>(C1807 * E1807 + C1807 * E1807 * F1807)</f>
      </c>
    </row>
    <row r="1808">
      <c r="A1808" s="3"/>
      <c r="B1808" s="11" t="s">
        <v>82</v>
      </c>
      <c r="C1808" s="20"/>
      <c r="D1808" s="20"/>
      <c r="E1808" s="20"/>
      <c r="F1808" s="20"/>
      <c r="G1808" s="20"/>
    </row>
    <row r="1809">
      <c r="A1809" s="4"/>
      <c r="B1809" s="12" t="s">
        <v>1486</v>
      </c>
      <c r="C1809" s="21"/>
      <c r="D1809" s="21" t="s">
        <v>17</v>
      </c>
      <c r="E1809" s="21"/>
      <c r="F1809" s="21">
        <f>(0)</f>
      </c>
      <c r="G1809" s="21">
        <f>(C1809 * E1809 + C1809 * E1809 * F1809)</f>
      </c>
    </row>
    <row r="1810">
      <c r="A1810" s="3"/>
      <c r="B1810" s="11" t="s">
        <v>1487</v>
      </c>
      <c r="C1810" s="20"/>
      <c r="D1810" s="20"/>
      <c r="E1810" s="20"/>
      <c r="F1810" s="20"/>
      <c r="G1810" s="20"/>
    </row>
    <row r="1811">
      <c r="A1811" s="5"/>
      <c r="B1811" s="13" t="s">
        <v>1488</v>
      </c>
      <c r="C1811" s="22"/>
      <c r="D1811" s="22"/>
      <c r="E1811" s="22"/>
      <c r="F1811" s="22"/>
      <c r="G1811" s="22"/>
    </row>
    <row r="1812">
      <c r="A1812" s="6"/>
      <c r="B1812" s="15" t="s">
        <v>1489</v>
      </c>
      <c r="C1812" s="23"/>
      <c r="D1812" s="23"/>
      <c r="E1812" s="23"/>
      <c r="F1812" s="23"/>
      <c r="G1812" s="23"/>
    </row>
    <row r="1813">
      <c r="A1813" s="4"/>
      <c r="B1813" s="16" t="s">
        <v>1490</v>
      </c>
      <c r="C1813" s="21">
        <f>(423)*(1)*(1)*(1)*(1 + (0))</f>
      </c>
      <c r="D1813" s="21" t="s">
        <v>9</v>
      </c>
      <c r="E1813" s="21"/>
      <c r="F1813" s="21">
        <f>(0)</f>
      </c>
      <c r="G1813" s="21">
        <f>(C1813 * E1813 + C1813 * E1813 * F1813)</f>
      </c>
    </row>
    <row r="1814">
      <c r="A1814" s="4"/>
      <c r="B1814" s="16" t="s">
        <v>1491</v>
      </c>
      <c r="C1814" s="21">
        <f>(462)*(1)*(1)*(1)*(1 + (0))</f>
      </c>
      <c r="D1814" s="21" t="s">
        <v>9</v>
      </c>
      <c r="E1814" s="21"/>
      <c r="F1814" s="21">
        <f>(0)</f>
      </c>
      <c r="G1814" s="21">
        <f>(C1814 * E1814 + C1814 * E1814 * F1814)</f>
      </c>
    </row>
    <row r="1815">
      <c r="A1815" s="6"/>
      <c r="B1815" s="15" t="s">
        <v>1492</v>
      </c>
      <c r="C1815" s="23"/>
      <c r="D1815" s="23"/>
      <c r="E1815" s="23"/>
      <c r="F1815" s="23"/>
      <c r="G1815" s="23"/>
    </row>
    <row r="1816">
      <c r="A1816" s="4"/>
      <c r="B1816" s="16" t="s">
        <v>1490</v>
      </c>
      <c r="C1816" s="21">
        <f>(319)*(1)*(1)*(1)*(1 + (0))</f>
      </c>
      <c r="D1816" s="21" t="s">
        <v>9</v>
      </c>
      <c r="E1816" s="21"/>
      <c r="F1816" s="21">
        <f>(0)</f>
      </c>
      <c r="G1816" s="21">
        <f>(C1816 * E1816 + C1816 * E1816 * F1816)</f>
      </c>
    </row>
    <row r="1817">
      <c r="A1817" s="4"/>
      <c r="B1817" s="16" t="s">
        <v>1491</v>
      </c>
      <c r="C1817" s="21">
        <f>(31)*(1)*(1)*(1)*(1 + (0))</f>
      </c>
      <c r="D1817" s="21" t="s">
        <v>9</v>
      </c>
      <c r="E1817" s="21"/>
      <c r="F1817" s="21">
        <f>(0)</f>
      </c>
      <c r="G1817" s="21">
        <f>(C1817 * E1817 + C1817 * E1817 * F1817)</f>
      </c>
    </row>
    <row r="1818">
      <c r="A1818" s="6"/>
      <c r="B1818" s="15" t="s">
        <v>1493</v>
      </c>
      <c r="C1818" s="23"/>
      <c r="D1818" s="23"/>
      <c r="E1818" s="23"/>
      <c r="F1818" s="23"/>
      <c r="G1818" s="23"/>
    </row>
    <row r="1819">
      <c r="A1819" s="4"/>
      <c r="B1819" s="16" t="s">
        <v>1490</v>
      </c>
      <c r="C1819" s="21">
        <f>(9)*(1)*(1)*(1)*(1 + (0))</f>
      </c>
      <c r="D1819" s="21" t="s">
        <v>9</v>
      </c>
      <c r="E1819" s="21"/>
      <c r="F1819" s="21">
        <f>(0)</f>
      </c>
      <c r="G1819" s="21">
        <f>(C1819 * E1819 + C1819 * E1819 * F1819)</f>
      </c>
    </row>
    <row r="1820">
      <c r="A1820" s="6"/>
      <c r="B1820" s="15" t="s">
        <v>1494</v>
      </c>
      <c r="C1820" s="23"/>
      <c r="D1820" s="23"/>
      <c r="E1820" s="23"/>
      <c r="F1820" s="23"/>
      <c r="G1820" s="23"/>
    </row>
    <row r="1821">
      <c r="A1821" s="4"/>
      <c r="B1821" s="16" t="s">
        <v>1490</v>
      </c>
      <c r="C1821" s="21">
        <f>(105)*(1)*(1)*(1)*(1 + (0))</f>
      </c>
      <c r="D1821" s="21" t="s">
        <v>9</v>
      </c>
      <c r="E1821" s="21"/>
      <c r="F1821" s="21">
        <f>(0)</f>
      </c>
      <c r="G1821" s="21">
        <f>(C1821 * E1821 + C1821 * E1821 * F1821)</f>
      </c>
    </row>
    <row r="1822">
      <c r="A1822" s="4"/>
      <c r="B1822" s="16" t="s">
        <v>1491</v>
      </c>
      <c r="C1822" s="21">
        <f>(67)*(1)*(1)*(1)*(1 + (0))</f>
      </c>
      <c r="D1822" s="21" t="s">
        <v>9</v>
      </c>
      <c r="E1822" s="21"/>
      <c r="F1822" s="21">
        <f>(0)</f>
      </c>
      <c r="G1822" s="21">
        <f>(C1822 * E1822 + C1822 * E1822 * F1822)</f>
      </c>
    </row>
    <row r="1823">
      <c r="A1823" s="3"/>
      <c r="B1823" s="11" t="s">
        <v>1495</v>
      </c>
      <c r="C1823" s="20"/>
      <c r="D1823" s="20"/>
      <c r="E1823" s="20"/>
      <c r="F1823" s="20"/>
      <c r="G1823" s="20"/>
    </row>
    <row r="1824">
      <c r="A1824" s="5"/>
      <c r="B1824" s="13" t="s">
        <v>1496</v>
      </c>
      <c r="C1824" s="22"/>
      <c r="D1824" s="22"/>
      <c r="E1824" s="22"/>
      <c r="F1824" s="22"/>
      <c r="G1824" s="22"/>
    </row>
    <row r="1825">
      <c r="A1825" s="6"/>
      <c r="B1825" s="15" t="s">
        <v>1497</v>
      </c>
      <c r="C1825" s="23"/>
      <c r="D1825" s="23"/>
      <c r="E1825" s="23"/>
      <c r="F1825" s="23"/>
      <c r="G1825" s="23"/>
    </row>
    <row r="1826">
      <c r="A1826" s="4"/>
      <c r="B1826" s="16" t="s">
        <v>1490</v>
      </c>
      <c r="C1826" s="21">
        <f>(2)*(1)*(1)*(1)*(1 + (0))</f>
      </c>
      <c r="D1826" s="21" t="s">
        <v>9</v>
      </c>
      <c r="E1826" s="21"/>
      <c r="F1826" s="21">
        <f>(0)</f>
      </c>
      <c r="G1826" s="21">
        <f>(C1826 * E1826 + C1826 * E1826 * F1826)</f>
      </c>
    </row>
    <row r="1827">
      <c r="A1827" s="6"/>
      <c r="B1827" s="15" t="s">
        <v>1498</v>
      </c>
      <c r="C1827" s="23"/>
      <c r="D1827" s="23"/>
      <c r="E1827" s="23"/>
      <c r="F1827" s="23"/>
      <c r="G1827" s="23"/>
    </row>
    <row r="1828">
      <c r="A1828" s="4"/>
      <c r="B1828" s="16" t="s">
        <v>1490</v>
      </c>
      <c r="C1828" s="21">
        <f>(13)*(1)*(1)*(1)*(1 + (0))</f>
      </c>
      <c r="D1828" s="21" t="s">
        <v>167</v>
      </c>
      <c r="E1828" s="21"/>
      <c r="F1828" s="21">
        <f>(0)</f>
      </c>
      <c r="G1828" s="21">
        <f>(C1828 * E1828 + C1828 * E1828 * F1828)</f>
      </c>
    </row>
    <row r="1829">
      <c r="A1829" s="3"/>
      <c r="B1829" s="11" t="s">
        <v>1499</v>
      </c>
      <c r="C1829" s="20"/>
      <c r="D1829" s="20"/>
      <c r="E1829" s="20"/>
      <c r="F1829" s="20"/>
      <c r="G1829" s="20"/>
    </row>
    <row r="1830">
      <c r="A1830" s="5"/>
      <c r="B1830" s="13" t="s">
        <v>1500</v>
      </c>
      <c r="C1830" s="22"/>
      <c r="D1830" s="22"/>
      <c r="E1830" s="22"/>
      <c r="F1830" s="22"/>
      <c r="G1830" s="22"/>
    </row>
    <row r="1831">
      <c r="A1831" s="6"/>
      <c r="B1831" s="15" t="s">
        <v>1501</v>
      </c>
      <c r="C1831" s="23"/>
      <c r="D1831" s="23"/>
      <c r="E1831" s="23"/>
      <c r="F1831" s="23"/>
      <c r="G1831" s="23"/>
    </row>
    <row r="1832">
      <c r="A1832" s="4"/>
      <c r="B1832" s="16" t="s">
        <v>1490</v>
      </c>
      <c r="C1832" s="21">
        <f>(136)*(1)*(1)*(1)*(1 + (0))</f>
      </c>
      <c r="D1832" s="21" t="s">
        <v>9</v>
      </c>
      <c r="E1832" s="21"/>
      <c r="F1832" s="21">
        <f>(0)</f>
      </c>
      <c r="G1832" s="21">
        <f>(C1832 * E1832 + C1832 * E1832 * F1832)</f>
      </c>
    </row>
    <row r="1833">
      <c r="A1833" s="6"/>
      <c r="B1833" s="15" t="s">
        <v>1502</v>
      </c>
      <c r="C1833" s="23"/>
      <c r="D1833" s="23"/>
      <c r="E1833" s="23"/>
      <c r="F1833" s="23"/>
      <c r="G1833" s="23"/>
    </row>
    <row r="1834">
      <c r="A1834" s="4"/>
      <c r="B1834" s="16" t="s">
        <v>1490</v>
      </c>
      <c r="C1834" s="21">
        <f>(113)*(1)*(1)*(1)*(1 + (0))</f>
      </c>
      <c r="D1834" s="21" t="s">
        <v>9</v>
      </c>
      <c r="E1834" s="21"/>
      <c r="F1834" s="21">
        <f>(0)</f>
      </c>
      <c r="G1834" s="21">
        <f>(C1834 * E1834 + C1834 * E1834 * F1834)</f>
      </c>
    </row>
    <row r="1835">
      <c r="A1835" s="6"/>
      <c r="B1835" s="15" t="s">
        <v>1503</v>
      </c>
      <c r="C1835" s="23"/>
      <c r="D1835" s="23"/>
      <c r="E1835" s="23"/>
      <c r="F1835" s="23"/>
      <c r="G1835" s="23"/>
    </row>
    <row r="1836">
      <c r="A1836" s="4"/>
      <c r="B1836" s="16" t="s">
        <v>1490</v>
      </c>
      <c r="C1836" s="21">
        <f>(24)*(1)*(1)*(1)*(1 + (0))</f>
      </c>
      <c r="D1836" s="21" t="s">
        <v>9</v>
      </c>
      <c r="E1836" s="21"/>
      <c r="F1836" s="21">
        <f>(0)</f>
      </c>
      <c r="G1836" s="21">
        <f>(C1836 * E1836 + C1836 * E1836 * F1836)</f>
      </c>
    </row>
    <row r="1837">
      <c r="A1837" s="2"/>
      <c r="B1837" s="10" t="s">
        <v>1504</v>
      </c>
      <c r="C1837" s="19"/>
      <c r="D1837" s="19"/>
      <c r="E1837" s="19"/>
      <c r="F1837" s="19"/>
      <c r="G1837" s="19"/>
    </row>
    <row r="1838">
      <c r="A1838" s="3"/>
      <c r="B1838" s="11" t="s">
        <v>14</v>
      </c>
      <c r="C1838" s="20"/>
      <c r="D1838" s="20"/>
      <c r="E1838" s="20"/>
      <c r="F1838" s="20"/>
      <c r="G1838" s="20"/>
    </row>
    <row r="1839">
      <c r="A1839" s="4" t="s">
        <v>1505</v>
      </c>
      <c r="B1839" s="12" t="s">
        <v>16</v>
      </c>
      <c r="C1839" s="21"/>
      <c r="D1839" s="21" t="s">
        <v>17</v>
      </c>
      <c r="E1839" s="21"/>
      <c r="F1839" s="21">
        <f>(0)</f>
      </c>
      <c r="G1839" s="21">
        <f>(C1839 * E1839 + C1839 * E1839 * F1839)</f>
      </c>
    </row>
    <row r="1840">
      <c r="A1840" s="4" t="s">
        <v>1506</v>
      </c>
      <c r="B1840" s="12" t="s">
        <v>19</v>
      </c>
      <c r="C1840" s="21"/>
      <c r="D1840" s="21" t="s">
        <v>17</v>
      </c>
      <c r="E1840" s="21"/>
      <c r="F1840" s="21">
        <f>(0)</f>
      </c>
      <c r="G1840" s="21">
        <f>(C1840 * E1840 + C1840 * E1840 * F1840)</f>
      </c>
    </row>
    <row r="1841">
      <c r="A1841" s="3"/>
      <c r="B1841" s="11" t="s">
        <v>98</v>
      </c>
      <c r="C1841" s="20"/>
      <c r="D1841" s="20"/>
      <c r="E1841" s="20"/>
      <c r="F1841" s="20"/>
      <c r="G1841" s="20"/>
    </row>
    <row r="1842">
      <c r="A1842" s="4"/>
      <c r="B1842" s="12" t="s">
        <v>1507</v>
      </c>
      <c r="C1842" s="21"/>
      <c r="D1842" s="21" t="s">
        <v>17</v>
      </c>
      <c r="E1842" s="21"/>
      <c r="F1842" s="21">
        <f>(0)</f>
      </c>
      <c r="G1842" s="21">
        <f>(C1842 * E1842 + C1842 * E1842 * F1842)</f>
      </c>
    </row>
    <row r="1843">
      <c r="A1843" s="4"/>
      <c r="B1843" s="12" t="s">
        <v>803</v>
      </c>
      <c r="C1843" s="21"/>
      <c r="D1843" s="21" t="s">
        <v>17</v>
      </c>
      <c r="E1843" s="21"/>
      <c r="F1843" s="21">
        <f>(0)</f>
      </c>
      <c r="G1843" s="21">
        <f>(C1843 * E1843 + C1843 * E1843 * F1843)</f>
      </c>
    </row>
    <row r="1844">
      <c r="A1844" s="4"/>
      <c r="B1844" s="12" t="s">
        <v>804</v>
      </c>
      <c r="C1844" s="21"/>
      <c r="D1844" s="21" t="s">
        <v>17</v>
      </c>
      <c r="E1844" s="21"/>
      <c r="F1844" s="21">
        <f>(0)</f>
      </c>
      <c r="G1844" s="21">
        <f>(C1844 * E1844 + C1844 * E1844 * F1844)</f>
      </c>
    </row>
    <row r="1845">
      <c r="A1845" s="3"/>
      <c r="B1845" s="11" t="s">
        <v>24</v>
      </c>
      <c r="C1845" s="20"/>
      <c r="D1845" s="20"/>
      <c r="E1845" s="20"/>
      <c r="F1845" s="20"/>
      <c r="G1845" s="20"/>
    </row>
    <row r="1846">
      <c r="A1846" s="5"/>
      <c r="B1846" s="13" t="s">
        <v>25</v>
      </c>
      <c r="C1846" s="22"/>
      <c r="D1846" s="22"/>
      <c r="E1846" s="22"/>
      <c r="F1846" s="22"/>
      <c r="G1846" s="22"/>
    </row>
    <row r="1847">
      <c r="A1847" s="4" t="s">
        <v>1508</v>
      </c>
      <c r="B1847" s="14" t="s">
        <v>1509</v>
      </c>
      <c r="C1847" s="21"/>
      <c r="D1847" s="21" t="s">
        <v>17</v>
      </c>
      <c r="E1847" s="21"/>
      <c r="F1847" s="21">
        <f>(0)</f>
      </c>
      <c r="G1847" s="21">
        <f>(C1847 * E1847 + C1847 * E1847 * F1847)</f>
      </c>
    </row>
    <row r="1848">
      <c r="A1848" s="4" t="s">
        <v>1510</v>
      </c>
      <c r="B1848" s="14" t="s">
        <v>1511</v>
      </c>
      <c r="C1848" s="21"/>
      <c r="D1848" s="21" t="s">
        <v>17</v>
      </c>
      <c r="E1848" s="21"/>
      <c r="F1848" s="21">
        <f>(0)</f>
      </c>
      <c r="G1848" s="21">
        <f>(C1848 * E1848 + C1848 * E1848 * F1848)</f>
      </c>
    </row>
    <row r="1849">
      <c r="A1849" s="4" t="s">
        <v>1512</v>
      </c>
      <c r="B1849" s="14" t="s">
        <v>194</v>
      </c>
      <c r="C1849" s="21"/>
      <c r="D1849" s="21" t="s">
        <v>17</v>
      </c>
      <c r="E1849" s="21"/>
      <c r="F1849" s="21">
        <f>(0)</f>
      </c>
      <c r="G1849" s="21">
        <f>(C1849 * E1849 + C1849 * E1849 * F1849)</f>
      </c>
    </row>
    <row r="1850">
      <c r="A1850" s="3"/>
      <c r="B1850" s="11" t="s">
        <v>42</v>
      </c>
      <c r="C1850" s="20"/>
      <c r="D1850" s="20"/>
      <c r="E1850" s="20"/>
      <c r="F1850" s="20"/>
      <c r="G1850" s="20"/>
    </row>
    <row r="1851">
      <c r="A1851" s="4" t="s">
        <v>1513</v>
      </c>
      <c r="B1851" s="12" t="s">
        <v>1514</v>
      </c>
      <c r="C1851" s="21">
        <f>(1)*(1)*(1)*(1)*(1 + (0))</f>
      </c>
      <c r="D1851" s="21" t="s">
        <v>45</v>
      </c>
      <c r="E1851" s="21"/>
      <c r="F1851" s="21">
        <f>(0)</f>
      </c>
      <c r="G1851" s="21">
        <f>(C1851 * E1851 + C1851 * E1851 * F1851)</f>
      </c>
    </row>
    <row r="1852">
      <c r="A1852" s="4" t="s">
        <v>1515</v>
      </c>
      <c r="B1852" s="12" t="s">
        <v>632</v>
      </c>
      <c r="C1852" s="21">
        <f>(1)*(1)*(1)*(1)*(1 + (0))</f>
      </c>
      <c r="D1852" s="21" t="s">
        <v>45</v>
      </c>
      <c r="E1852" s="21"/>
      <c r="F1852" s="21">
        <f>(0)</f>
      </c>
      <c r="G1852" s="21">
        <f>(C1852 * E1852 + C1852 * E1852 * F1852)</f>
      </c>
    </row>
    <row r="1853">
      <c r="A1853" s="4" t="s">
        <v>1516</v>
      </c>
      <c r="B1853" s="12" t="s">
        <v>1178</v>
      </c>
      <c r="C1853" s="21">
        <f>(1)*(1)*(1)*(1)*(1 + (0))</f>
      </c>
      <c r="D1853" s="21" t="s">
        <v>45</v>
      </c>
      <c r="E1853" s="21"/>
      <c r="F1853" s="21">
        <f>(0)</f>
      </c>
      <c r="G1853" s="21">
        <f>(C1853 * E1853 + C1853 * E1853 * F1853)</f>
      </c>
    </row>
    <row r="1854">
      <c r="A1854" s="4" t="s">
        <v>1517</v>
      </c>
      <c r="B1854" s="12" t="s">
        <v>832</v>
      </c>
      <c r="C1854" s="21">
        <f>(1)*(1)*(1)*(1)*(1 + (0))</f>
      </c>
      <c r="D1854" s="21" t="s">
        <v>45</v>
      </c>
      <c r="E1854" s="21"/>
      <c r="F1854" s="21">
        <f>(0)</f>
      </c>
      <c r="G1854" s="21">
        <f>(C1854 * E1854 + C1854 * E1854 * F1854)</f>
      </c>
    </row>
    <row r="1855">
      <c r="A1855" s="3"/>
      <c r="B1855" s="11" t="s">
        <v>82</v>
      </c>
      <c r="C1855" s="20"/>
      <c r="D1855" s="20"/>
      <c r="E1855" s="20"/>
      <c r="F1855" s="20"/>
      <c r="G1855" s="20"/>
    </row>
    <row r="1856">
      <c r="A1856" s="4"/>
      <c r="B1856" s="12" t="s">
        <v>1518</v>
      </c>
      <c r="C1856" s="21"/>
      <c r="D1856" s="21" t="s">
        <v>17</v>
      </c>
      <c r="E1856" s="21"/>
      <c r="F1856" s="21">
        <f>(0)</f>
      </c>
      <c r="G1856" s="21">
        <f>(C1856 * E1856 + C1856 * E1856 * F1856)</f>
      </c>
    </row>
    <row r="1857">
      <c r="A1857" s="3"/>
      <c r="B1857" s="11" t="s">
        <v>1519</v>
      </c>
      <c r="C1857" s="20"/>
      <c r="D1857" s="20"/>
      <c r="E1857" s="20"/>
      <c r="F1857" s="20"/>
      <c r="G1857" s="20"/>
    </row>
    <row r="1858">
      <c r="A1858" s="5"/>
      <c r="B1858" s="13" t="s">
        <v>1520</v>
      </c>
      <c r="C1858" s="22"/>
      <c r="D1858" s="22"/>
      <c r="E1858" s="22"/>
      <c r="F1858" s="22"/>
      <c r="G1858" s="22"/>
    </row>
    <row r="1859">
      <c r="A1859" s="4"/>
      <c r="B1859" s="14" t="s">
        <v>840</v>
      </c>
      <c r="C1859" s="21">
        <f>(583)*(1)*(1)*(1)*(1 + (0))</f>
      </c>
      <c r="D1859" s="21" t="s">
        <v>9</v>
      </c>
      <c r="E1859" s="21"/>
      <c r="F1859" s="21">
        <f>(0)</f>
      </c>
      <c r="G1859" s="21">
        <f>(C1859 * E1859 + C1859 * E1859 * F1859)</f>
      </c>
    </row>
    <row r="1860">
      <c r="A1860" s="4"/>
      <c r="B1860" s="14" t="s">
        <v>841</v>
      </c>
      <c r="C1860" s="21">
        <f>(441)*(1)*(1)*(1)*(1 + (0))</f>
      </c>
      <c r="D1860" s="21" t="s">
        <v>9</v>
      </c>
      <c r="E1860" s="21"/>
      <c r="F1860" s="21">
        <f>(0)</f>
      </c>
      <c r="G1860" s="21">
        <f>(C1860 * E1860 + C1860 * E1860 * F1860)</f>
      </c>
    </row>
    <row r="1861">
      <c r="A1861" s="5"/>
      <c r="B1861" s="13" t="s">
        <v>1521</v>
      </c>
      <c r="C1861" s="22"/>
      <c r="D1861" s="22"/>
      <c r="E1861" s="22"/>
      <c r="F1861" s="22"/>
      <c r="G1861" s="22"/>
    </row>
    <row r="1862">
      <c r="A1862" s="4"/>
      <c r="B1862" s="14" t="s">
        <v>840</v>
      </c>
      <c r="C1862" s="21">
        <f>(41)*(1)*(1)*(1)*(1 + (0))</f>
      </c>
      <c r="D1862" s="21" t="s">
        <v>9</v>
      </c>
      <c r="E1862" s="21"/>
      <c r="F1862" s="21">
        <f>(0)</f>
      </c>
      <c r="G1862" s="21">
        <f>(C1862 * E1862 + C1862 * E1862 * F1862)</f>
      </c>
    </row>
    <row r="1863">
      <c r="A1863" s="3"/>
      <c r="B1863" s="11" t="s">
        <v>1522</v>
      </c>
      <c r="C1863" s="20"/>
      <c r="D1863" s="20"/>
      <c r="E1863" s="20"/>
      <c r="F1863" s="20"/>
      <c r="G1863" s="20"/>
    </row>
    <row r="1864">
      <c r="A1864" s="4"/>
      <c r="B1864" s="12" t="s">
        <v>1523</v>
      </c>
      <c r="C1864" s="21">
        <f>(1064)*(1)*(1)*(1)*(1 + (0))</f>
      </c>
      <c r="D1864" s="21" t="s">
        <v>9</v>
      </c>
      <c r="E1864" s="21"/>
      <c r="F1864" s="21">
        <f>(0)</f>
      </c>
      <c r="G1864" s="21">
        <f>(C1864 * E1864 + C1864 * E1864 * F1864)</f>
      </c>
    </row>
    <row r="1865">
      <c r="A1865" s="4"/>
      <c r="B1865" s="12" t="s">
        <v>1524</v>
      </c>
      <c r="C1865" s="21">
        <f>(532)*(1)*(1)*(1)*(1 + (0))</f>
      </c>
      <c r="D1865" s="21" t="s">
        <v>9</v>
      </c>
      <c r="E1865" s="21"/>
      <c r="F1865" s="21">
        <f>(0)</f>
      </c>
      <c r="G1865" s="21">
        <f>(C1865 * E1865 + C1865 * E1865 * F1865)</f>
      </c>
    </row>
    <row r="1866">
      <c r="A1866" s="4"/>
      <c r="B1866" s="12" t="s">
        <v>1525</v>
      </c>
      <c r="C1866" s="21">
        <f>(1064)*(1)*(1)*(1)*(1 + (0))</f>
      </c>
      <c r="D1866" s="21" t="s">
        <v>9</v>
      </c>
      <c r="E1866" s="21"/>
      <c r="F1866" s="21">
        <f>(0)</f>
      </c>
      <c r="G1866" s="21">
        <f>(C1866 * E1866 + C1866 * E1866 * F1866)</f>
      </c>
    </row>
    <row r="1867">
      <c r="A1867" s="2"/>
      <c r="B1867" s="10" t="s">
        <v>1526</v>
      </c>
      <c r="C1867" s="19"/>
      <c r="D1867" s="19"/>
      <c r="E1867" s="19"/>
      <c r="F1867" s="19"/>
      <c r="G1867" s="19"/>
    </row>
    <row r="1868">
      <c r="A1868" s="3"/>
      <c r="B1868" s="11" t="s">
        <v>14</v>
      </c>
      <c r="C1868" s="20"/>
      <c r="D1868" s="20"/>
      <c r="E1868" s="20"/>
      <c r="F1868" s="20"/>
      <c r="G1868" s="20"/>
    </row>
    <row r="1869">
      <c r="A1869" s="4" t="s">
        <v>1527</v>
      </c>
      <c r="B1869" s="12" t="s">
        <v>16</v>
      </c>
      <c r="C1869" s="21"/>
      <c r="D1869" s="21" t="s">
        <v>17</v>
      </c>
      <c r="E1869" s="21"/>
      <c r="F1869" s="21">
        <f>(0)</f>
      </c>
      <c r="G1869" s="21">
        <f>(C1869 * E1869 + C1869 * E1869 * F1869)</f>
      </c>
    </row>
    <row r="1870">
      <c r="A1870" s="4" t="s">
        <v>1528</v>
      </c>
      <c r="B1870" s="12" t="s">
        <v>19</v>
      </c>
      <c r="C1870" s="21"/>
      <c r="D1870" s="21" t="s">
        <v>17</v>
      </c>
      <c r="E1870" s="21"/>
      <c r="F1870" s="21">
        <f>(0)</f>
      </c>
      <c r="G1870" s="21">
        <f>(C1870 * E1870 + C1870 * E1870 * F1870)</f>
      </c>
    </row>
    <row r="1871">
      <c r="A1871" s="3"/>
      <c r="B1871" s="11" t="s">
        <v>98</v>
      </c>
      <c r="C1871" s="20"/>
      <c r="D1871" s="20"/>
      <c r="E1871" s="20"/>
      <c r="F1871" s="20"/>
      <c r="G1871" s="20"/>
    </row>
    <row r="1872">
      <c r="A1872" s="4"/>
      <c r="B1872" s="12" t="s">
        <v>1529</v>
      </c>
      <c r="C1872" s="21"/>
      <c r="D1872" s="21" t="s">
        <v>17</v>
      </c>
      <c r="E1872" s="21"/>
      <c r="F1872" s="21">
        <f>(0)</f>
      </c>
      <c r="G1872" s="21">
        <f>(C1872 * E1872 + C1872 * E1872 * F1872)</f>
      </c>
    </row>
    <row r="1873">
      <c r="A1873" s="4"/>
      <c r="B1873" s="12" t="s">
        <v>803</v>
      </c>
      <c r="C1873" s="21"/>
      <c r="D1873" s="21" t="s">
        <v>17</v>
      </c>
      <c r="E1873" s="21"/>
      <c r="F1873" s="21">
        <f>(0)</f>
      </c>
      <c r="G1873" s="21">
        <f>(C1873 * E1873 + C1873 * E1873 * F1873)</f>
      </c>
    </row>
    <row r="1874">
      <c r="A1874" s="4"/>
      <c r="B1874" s="12" t="s">
        <v>804</v>
      </c>
      <c r="C1874" s="21"/>
      <c r="D1874" s="21" t="s">
        <v>17</v>
      </c>
      <c r="E1874" s="21"/>
      <c r="F1874" s="21">
        <f>(0)</f>
      </c>
      <c r="G1874" s="21">
        <f>(C1874 * E1874 + C1874 * E1874 * F1874)</f>
      </c>
    </row>
    <row r="1875">
      <c r="A1875" s="3"/>
      <c r="B1875" s="11" t="s">
        <v>24</v>
      </c>
      <c r="C1875" s="20"/>
      <c r="D1875" s="20"/>
      <c r="E1875" s="20"/>
      <c r="F1875" s="20"/>
      <c r="G1875" s="20"/>
    </row>
    <row r="1876">
      <c r="A1876" s="5"/>
      <c r="B1876" s="13" t="s">
        <v>25</v>
      </c>
      <c r="C1876" s="22"/>
      <c r="D1876" s="22"/>
      <c r="E1876" s="22"/>
      <c r="F1876" s="22"/>
      <c r="G1876" s="22"/>
    </row>
    <row r="1877">
      <c r="A1877" s="4" t="s">
        <v>1508</v>
      </c>
      <c r="B1877" s="14" t="s">
        <v>1509</v>
      </c>
      <c r="C1877" s="21"/>
      <c r="D1877" s="21" t="s">
        <v>17</v>
      </c>
      <c r="E1877" s="21"/>
      <c r="F1877" s="21">
        <f>(0)</f>
      </c>
      <c r="G1877" s="21">
        <f>(C1877 * E1877 + C1877 * E1877 * F1877)</f>
      </c>
    </row>
    <row r="1878">
      <c r="A1878" s="4" t="s">
        <v>1510</v>
      </c>
      <c r="B1878" s="14" t="s">
        <v>1511</v>
      </c>
      <c r="C1878" s="21"/>
      <c r="D1878" s="21" t="s">
        <v>17</v>
      </c>
      <c r="E1878" s="21"/>
      <c r="F1878" s="21">
        <f>(0)</f>
      </c>
      <c r="G1878" s="21">
        <f>(C1878 * E1878 + C1878 * E1878 * F1878)</f>
      </c>
    </row>
    <row r="1879">
      <c r="A1879" s="4" t="s">
        <v>1512</v>
      </c>
      <c r="B1879" s="14" t="s">
        <v>194</v>
      </c>
      <c r="C1879" s="21"/>
      <c r="D1879" s="21" t="s">
        <v>17</v>
      </c>
      <c r="E1879" s="21"/>
      <c r="F1879" s="21">
        <f>(0)</f>
      </c>
      <c r="G1879" s="21">
        <f>(C1879 * E1879 + C1879 * E1879 * F1879)</f>
      </c>
    </row>
    <row r="1880">
      <c r="A1880" s="3"/>
      <c r="B1880" s="11" t="s">
        <v>42</v>
      </c>
      <c r="C1880" s="20"/>
      <c r="D1880" s="20"/>
      <c r="E1880" s="20"/>
      <c r="F1880" s="20"/>
      <c r="G1880" s="20"/>
    </row>
    <row r="1881">
      <c r="A1881" s="4" t="s">
        <v>1530</v>
      </c>
      <c r="B1881" s="12" t="s">
        <v>1531</v>
      </c>
      <c r="C1881" s="21">
        <f>(1)*(1)*(1)*(1)*(1 + (0))</f>
      </c>
      <c r="D1881" s="21" t="s">
        <v>45</v>
      </c>
      <c r="E1881" s="21"/>
      <c r="F1881" s="21">
        <f>(0)</f>
      </c>
      <c r="G1881" s="21">
        <f>(C1881 * E1881 + C1881 * E1881 * F1881)</f>
      </c>
    </row>
    <row r="1882">
      <c r="A1882" s="4" t="s">
        <v>1532</v>
      </c>
      <c r="B1882" s="12" t="s">
        <v>1019</v>
      </c>
      <c r="C1882" s="21">
        <f>(1)*(1)*(1)*(1)*(1 + (0))</f>
      </c>
      <c r="D1882" s="21" t="s">
        <v>45</v>
      </c>
      <c r="E1882" s="21"/>
      <c r="F1882" s="21">
        <f>(0)</f>
      </c>
      <c r="G1882" s="21">
        <f>(C1882 * E1882 + C1882 * E1882 * F1882)</f>
      </c>
    </row>
    <row r="1883">
      <c r="A1883" s="4" t="s">
        <v>1533</v>
      </c>
      <c r="B1883" s="12" t="s">
        <v>894</v>
      </c>
      <c r="C1883" s="21">
        <f>(1)*(1)*(1)*(1)*(1 + (0))</f>
      </c>
      <c r="D1883" s="21" t="s">
        <v>45</v>
      </c>
      <c r="E1883" s="21"/>
      <c r="F1883" s="21">
        <f>(0)</f>
      </c>
      <c r="G1883" s="21">
        <f>(C1883 * E1883 + C1883 * E1883 * F1883)</f>
      </c>
    </row>
    <row r="1884">
      <c r="A1884" s="4" t="s">
        <v>1534</v>
      </c>
      <c r="B1884" s="12" t="s">
        <v>1178</v>
      </c>
      <c r="C1884" s="21">
        <f>(1)*(1)*(1)*(1)*(1 + (0))</f>
      </c>
      <c r="D1884" s="21" t="s">
        <v>45</v>
      </c>
      <c r="E1884" s="21"/>
      <c r="F1884" s="21">
        <f>(0)</f>
      </c>
      <c r="G1884" s="21">
        <f>(C1884 * E1884 + C1884 * E1884 * F1884)</f>
      </c>
    </row>
    <row r="1885">
      <c r="A1885" s="4" t="s">
        <v>1535</v>
      </c>
      <c r="B1885" s="12" t="s">
        <v>251</v>
      </c>
      <c r="C1885" s="21">
        <f>(1)*(1)*(1)*(1)*(1 + (0))</f>
      </c>
      <c r="D1885" s="21" t="s">
        <v>45</v>
      </c>
      <c r="E1885" s="21"/>
      <c r="F1885" s="21">
        <f>(0)</f>
      </c>
      <c r="G1885" s="21">
        <f>(C1885 * E1885 + C1885 * E1885 * F1885)</f>
      </c>
    </row>
    <row r="1886">
      <c r="A1886" s="4" t="s">
        <v>1536</v>
      </c>
      <c r="B1886" s="12" t="s">
        <v>1169</v>
      </c>
      <c r="C1886" s="21">
        <f>(1)*(1)*(1)*(1)*(1 + (0))</f>
      </c>
      <c r="D1886" s="21" t="s">
        <v>45</v>
      </c>
      <c r="E1886" s="21"/>
      <c r="F1886" s="21">
        <f>(0)</f>
      </c>
      <c r="G1886" s="21">
        <f>(C1886 * E1886 + C1886 * E1886 * F1886)</f>
      </c>
    </row>
    <row r="1887">
      <c r="A1887" s="4" t="s">
        <v>1537</v>
      </c>
      <c r="B1887" s="12" t="s">
        <v>59</v>
      </c>
      <c r="C1887" s="21">
        <f>(1)*(1)*(1)*(1)*(1 + (0))</f>
      </c>
      <c r="D1887" s="21" t="s">
        <v>45</v>
      </c>
      <c r="E1887" s="21"/>
      <c r="F1887" s="21">
        <f>(0)</f>
      </c>
      <c r="G1887" s="21">
        <f>(C1887 * E1887 + C1887 * E1887 * F1887)</f>
      </c>
    </row>
    <row r="1888">
      <c r="A1888" s="4" t="s">
        <v>1538</v>
      </c>
      <c r="B1888" s="12" t="s">
        <v>1539</v>
      </c>
      <c r="C1888" s="21">
        <f>(1)*(1)*(1)*(1)*(1 + (0))</f>
      </c>
      <c r="D1888" s="21" t="s">
        <v>45</v>
      </c>
      <c r="E1888" s="21"/>
      <c r="F1888" s="21">
        <f>(0)</f>
      </c>
      <c r="G1888" s="21">
        <f>(C1888 * E1888 + C1888 * E1888 * F1888)</f>
      </c>
    </row>
    <row r="1889">
      <c r="A1889" s="4" t="s">
        <v>1540</v>
      </c>
      <c r="B1889" s="12" t="s">
        <v>834</v>
      </c>
      <c r="C1889" s="21">
        <f>(1)*(1)*(1)*(1)*(1 + (0))</f>
      </c>
      <c r="D1889" s="21" t="s">
        <v>45</v>
      </c>
      <c r="E1889" s="21"/>
      <c r="F1889" s="21">
        <f>(0)</f>
      </c>
      <c r="G1889" s="21">
        <f>(C1889 * E1889 + C1889 * E1889 * F1889)</f>
      </c>
    </row>
    <row r="1890">
      <c r="A1890" s="4" t="s">
        <v>1541</v>
      </c>
      <c r="B1890" s="12" t="s">
        <v>832</v>
      </c>
      <c r="C1890" s="21">
        <f>(1)*(1)*(1)*(1)*(1 + (0))</f>
      </c>
      <c r="D1890" s="21" t="s">
        <v>45</v>
      </c>
      <c r="E1890" s="21"/>
      <c r="F1890" s="21">
        <f>(0)</f>
      </c>
      <c r="G1890" s="21">
        <f>(C1890 * E1890 + C1890 * E1890 * F1890)</f>
      </c>
    </row>
    <row r="1891">
      <c r="A1891" s="3"/>
      <c r="B1891" s="11" t="s">
        <v>82</v>
      </c>
      <c r="C1891" s="20"/>
      <c r="D1891" s="20"/>
      <c r="E1891" s="20"/>
      <c r="F1891" s="20"/>
      <c r="G1891" s="20"/>
    </row>
    <row r="1892">
      <c r="A1892" s="4"/>
      <c r="B1892" s="12" t="s">
        <v>1518</v>
      </c>
      <c r="C1892" s="21"/>
      <c r="D1892" s="21" t="s">
        <v>17</v>
      </c>
      <c r="E1892" s="21"/>
      <c r="F1892" s="21">
        <f>(0)</f>
      </c>
      <c r="G1892" s="21">
        <f>(C1892 * E1892 + C1892 * E1892 * F1892)</f>
      </c>
    </row>
    <row r="1893">
      <c r="A1893" s="3"/>
      <c r="B1893" s="11" t="s">
        <v>1542</v>
      </c>
      <c r="C1893" s="20"/>
      <c r="D1893" s="20"/>
      <c r="E1893" s="20"/>
      <c r="F1893" s="20"/>
      <c r="G1893" s="20"/>
    </row>
    <row r="1894">
      <c r="A1894" s="5"/>
      <c r="B1894" s="13" t="s">
        <v>1543</v>
      </c>
      <c r="C1894" s="22"/>
      <c r="D1894" s="22"/>
      <c r="E1894" s="22"/>
      <c r="F1894" s="22"/>
      <c r="G1894" s="22"/>
    </row>
    <row r="1895">
      <c r="A1895" s="4"/>
      <c r="B1895" s="14" t="s">
        <v>840</v>
      </c>
      <c r="C1895" s="21">
        <f>(106)*(1)*(1)*(1)*(1 + (0))</f>
      </c>
      <c r="D1895" s="21" t="s">
        <v>9</v>
      </c>
      <c r="E1895" s="21"/>
      <c r="F1895" s="21">
        <f>(0)</f>
      </c>
      <c r="G1895" s="21">
        <f>(C1895 * E1895 + C1895 * E1895 * F1895)</f>
      </c>
    </row>
    <row r="1896">
      <c r="A1896" s="4"/>
      <c r="B1896" s="14" t="s">
        <v>841</v>
      </c>
      <c r="C1896" s="21">
        <f>(15)*(1)*(1)*(1)*(1 + (0))</f>
      </c>
      <c r="D1896" s="21" t="s">
        <v>9</v>
      </c>
      <c r="E1896" s="21"/>
      <c r="F1896" s="21">
        <f>(0)</f>
      </c>
      <c r="G1896" s="21">
        <f>(C1896 * E1896 + C1896 * E1896 * F1896)</f>
      </c>
    </row>
    <row r="1897">
      <c r="A1897" s="3"/>
      <c r="B1897" s="11" t="s">
        <v>1544</v>
      </c>
      <c r="C1897" s="20"/>
      <c r="D1897" s="20"/>
      <c r="E1897" s="20"/>
      <c r="F1897" s="20"/>
      <c r="G1897" s="20"/>
    </row>
    <row r="1898">
      <c r="A1898" s="5"/>
      <c r="B1898" s="13" t="s">
        <v>1545</v>
      </c>
      <c r="C1898" s="22"/>
      <c r="D1898" s="22"/>
      <c r="E1898" s="22"/>
      <c r="F1898" s="22"/>
      <c r="G1898" s="22"/>
    </row>
    <row r="1899">
      <c r="A1899" s="4"/>
      <c r="B1899" s="14" t="s">
        <v>840</v>
      </c>
      <c r="C1899" s="21">
        <f>(309)*(1)*(1)*(1)*(1 + (0))</f>
      </c>
      <c r="D1899" s="21" t="s">
        <v>9</v>
      </c>
      <c r="E1899" s="21"/>
      <c r="F1899" s="21">
        <f>(0)</f>
      </c>
      <c r="G1899" s="21">
        <f>(C1899 * E1899 + C1899 * E1899 * F1899)</f>
      </c>
    </row>
    <row r="1900">
      <c r="A1900" s="3"/>
      <c r="B1900" s="11" t="s">
        <v>1546</v>
      </c>
      <c r="C1900" s="20"/>
      <c r="D1900" s="20"/>
      <c r="E1900" s="20"/>
      <c r="F1900" s="20"/>
      <c r="G1900" s="20"/>
    </row>
    <row r="1901">
      <c r="A1901" s="5"/>
      <c r="B1901" s="13" t="s">
        <v>1547</v>
      </c>
      <c r="C1901" s="22"/>
      <c r="D1901" s="22"/>
      <c r="E1901" s="22"/>
      <c r="F1901" s="22"/>
      <c r="G1901" s="22"/>
    </row>
    <row r="1902">
      <c r="A1902" s="4"/>
      <c r="B1902" s="14" t="s">
        <v>840</v>
      </c>
      <c r="C1902" s="21">
        <f>(3)*(1)*(1)*(1)*(1 + (0))</f>
      </c>
      <c r="D1902" s="21" t="s">
        <v>167</v>
      </c>
      <c r="E1902" s="21"/>
      <c r="F1902" s="21">
        <f>(0)</f>
      </c>
      <c r="G1902" s="21">
        <f>(C1902 * E1902 + C1902 * E1902 * F1902)</f>
      </c>
    </row>
    <row r="1903">
      <c r="A1903" s="5"/>
      <c r="B1903" s="13" t="s">
        <v>1548</v>
      </c>
      <c r="C1903" s="22"/>
      <c r="D1903" s="22"/>
      <c r="E1903" s="22"/>
      <c r="F1903" s="22"/>
      <c r="G1903" s="22"/>
    </row>
    <row r="1904">
      <c r="A1904" s="4"/>
      <c r="B1904" s="14" t="s">
        <v>841</v>
      </c>
      <c r="C1904" s="21">
        <f>(2)*(1)*(1)*(1)*(1 + (0))</f>
      </c>
      <c r="D1904" s="21" t="s">
        <v>167</v>
      </c>
      <c r="E1904" s="21"/>
      <c r="F1904" s="21">
        <f>(0)</f>
      </c>
      <c r="G1904" s="21">
        <f>(C1904 * E1904 + C1904 * E1904 * F1904)</f>
      </c>
    </row>
    <row r="1905">
      <c r="A1905" s="5"/>
      <c r="B1905" s="13" t="s">
        <v>1549</v>
      </c>
      <c r="C1905" s="22"/>
      <c r="D1905" s="22"/>
      <c r="E1905" s="22"/>
      <c r="F1905" s="22"/>
      <c r="G1905" s="22"/>
    </row>
    <row r="1906">
      <c r="A1906" s="4"/>
      <c r="B1906" s="14" t="s">
        <v>840</v>
      </c>
      <c r="C1906" s="21">
        <f>(1)*(1)*(1)*(1)*(1 + (0))</f>
      </c>
      <c r="D1906" s="21" t="s">
        <v>167</v>
      </c>
      <c r="E1906" s="21"/>
      <c r="F1906" s="21">
        <f>(0)</f>
      </c>
      <c r="G1906" s="21">
        <f>(C1906 * E1906 + C1906 * E1906 * F1906)</f>
      </c>
    </row>
    <row r="1907">
      <c r="A1907" s="5"/>
      <c r="B1907" s="13" t="s">
        <v>1550</v>
      </c>
      <c r="C1907" s="22"/>
      <c r="D1907" s="22"/>
      <c r="E1907" s="22"/>
      <c r="F1907" s="22"/>
      <c r="G1907" s="22"/>
    </row>
    <row r="1908">
      <c r="A1908" s="4"/>
      <c r="B1908" s="14" t="s">
        <v>840</v>
      </c>
      <c r="C1908" s="21">
        <f>(3)*(1)*(1)*(1)*(1 + (0))</f>
      </c>
      <c r="D1908" s="21" t="s">
        <v>167</v>
      </c>
      <c r="E1908" s="21"/>
      <c r="F1908" s="21">
        <f>(0)</f>
      </c>
      <c r="G1908" s="21">
        <f>(C1908 * E1908 + C1908 * E1908 * F1908)</f>
      </c>
    </row>
    <row r="1909">
      <c r="A1909" s="3"/>
      <c r="B1909" s="11" t="s">
        <v>1522</v>
      </c>
      <c r="C1909" s="20"/>
      <c r="D1909" s="20"/>
      <c r="E1909" s="20"/>
      <c r="F1909" s="20"/>
      <c r="G1909" s="20"/>
    </row>
    <row r="1910">
      <c r="A1910" s="4"/>
      <c r="B1910" s="12" t="s">
        <v>1523</v>
      </c>
      <c r="C1910" s="21">
        <f>(429)*(1)*(1)*(1)*(1 + (0))</f>
      </c>
      <c r="D1910" s="21" t="s">
        <v>9</v>
      </c>
      <c r="E1910" s="21"/>
      <c r="F1910" s="21">
        <f>(0)</f>
      </c>
      <c r="G1910" s="21">
        <f>(C1910 * E1910 + C1910 * E1910 * F1910)</f>
      </c>
    </row>
    <row r="1911">
      <c r="A1911" s="4"/>
      <c r="B1911" s="12" t="s">
        <v>1551</v>
      </c>
      <c r="C1911" s="21">
        <f>(15)*(1)*(1)*(1)*(1 + (0))</f>
      </c>
      <c r="D1911" s="21" t="s">
        <v>9</v>
      </c>
      <c r="E1911" s="21"/>
      <c r="F1911" s="21">
        <f>(0)</f>
      </c>
      <c r="G1911" s="21">
        <f>(C1911 * E1911 + C1911 * E1911 * F1911)</f>
      </c>
    </row>
    <row r="1912">
      <c r="A1912" s="4"/>
      <c r="B1912" s="12" t="s">
        <v>1524</v>
      </c>
      <c r="C1912" s="21">
        <f>(215)*(1)*(1)*(1)*(1 + (0))</f>
      </c>
      <c r="D1912" s="21" t="s">
        <v>9</v>
      </c>
      <c r="E1912" s="21"/>
      <c r="F1912" s="21">
        <f>(0)</f>
      </c>
      <c r="G1912" s="21">
        <f>(C1912 * E1912 + C1912 * E1912 * F1912)</f>
      </c>
    </row>
    <row r="1913">
      <c r="A1913" s="4"/>
      <c r="B1913" s="12" t="s">
        <v>1552</v>
      </c>
      <c r="C1913" s="21">
        <f>(120)*(1)*(1)*(1)*(1 + (0))</f>
      </c>
      <c r="D1913" s="21" t="s">
        <v>9</v>
      </c>
      <c r="E1913" s="21"/>
      <c r="F1913" s="21">
        <f>(0)</f>
      </c>
      <c r="G1913" s="21">
        <f>(C1913 * E1913 + C1913 * E1913 * F1913)</f>
      </c>
    </row>
    <row r="1914">
      <c r="A1914" s="4"/>
      <c r="B1914" s="12" t="s">
        <v>1553</v>
      </c>
      <c r="C1914" s="21">
        <f>(120)*(1)*(1)*(1)*(1 + (0))</f>
      </c>
      <c r="D1914" s="21" t="s">
        <v>9</v>
      </c>
      <c r="E1914" s="21"/>
      <c r="F1914" s="21">
        <f>(0)</f>
      </c>
      <c r="G1914" s="21">
        <f>(C1914 * E1914 + C1914 * E1914 * F1914)</f>
      </c>
    </row>
    <row r="1915">
      <c r="A1915" s="3"/>
      <c r="B1915" s="11" t="s">
        <v>1554</v>
      </c>
      <c r="C1915" s="20"/>
      <c r="D1915" s="20"/>
      <c r="E1915" s="20"/>
      <c r="F1915" s="20"/>
      <c r="G1915" s="20"/>
    </row>
    <row r="1916">
      <c r="A1916" s="5"/>
      <c r="B1916" s="13" t="s">
        <v>1555</v>
      </c>
      <c r="C1916" s="22"/>
      <c r="D1916" s="22"/>
      <c r="E1916" s="22"/>
      <c r="F1916" s="22"/>
      <c r="G1916" s="22"/>
    </row>
    <row r="1917">
      <c r="A1917" s="4"/>
      <c r="B1917" s="14" t="s">
        <v>997</v>
      </c>
      <c r="C1917" s="21">
        <f>(93)*(1)*(1)*(1)*(1 + (0))</f>
      </c>
      <c r="D1917" s="21" t="s">
        <v>167</v>
      </c>
      <c r="E1917" s="21"/>
      <c r="F1917" s="21">
        <f>(0)</f>
      </c>
      <c r="G1917" s="21">
        <f>(C1917 * E1917 + C1917 * E1917 * F1917)</f>
      </c>
    </row>
    <row r="1918">
      <c r="A1918" s="3"/>
      <c r="B1918" s="11" t="s">
        <v>1556</v>
      </c>
      <c r="C1918" s="20"/>
      <c r="D1918" s="20"/>
      <c r="E1918" s="20"/>
      <c r="F1918" s="20"/>
      <c r="G1918" s="20"/>
    </row>
    <row r="1919">
      <c r="A1919" s="5"/>
      <c r="B1919" s="13" t="s">
        <v>1557</v>
      </c>
      <c r="C1919" s="22"/>
      <c r="D1919" s="22"/>
      <c r="E1919" s="22"/>
      <c r="F1919" s="22"/>
      <c r="G1919" s="22"/>
    </row>
    <row r="1920">
      <c r="A1920" s="4"/>
      <c r="B1920" s="14" t="s">
        <v>997</v>
      </c>
      <c r="C1920" s="21">
        <f>(343)*(1)*(1)*(1)*(1 + (0))</f>
      </c>
      <c r="D1920" s="21" t="s">
        <v>167</v>
      </c>
      <c r="E1920" s="21"/>
      <c r="F1920" s="21">
        <f>(0)</f>
      </c>
      <c r="G1920" s="21">
        <f>(C1920 * E1920 + C1920 * E1920 * F1920)</f>
      </c>
    </row>
    <row r="1921">
      <c r="A1921" s="4"/>
      <c r="B1921" s="14" t="s">
        <v>1558</v>
      </c>
      <c r="C1921" s="21">
        <f>(287)*(1)*(1)*(1)*(1 + (0))</f>
      </c>
      <c r="D1921" s="21" t="s">
        <v>167</v>
      </c>
      <c r="E1921" s="21"/>
      <c r="F1921" s="21">
        <f>(0)</f>
      </c>
      <c r="G1921" s="21">
        <f>(C1921 * E1921 + C1921 * E1921 * F1921)</f>
      </c>
    </row>
    <row r="1922">
      <c r="A1922" s="5"/>
      <c r="B1922" s="13" t="s">
        <v>1559</v>
      </c>
      <c r="C1922" s="22"/>
      <c r="D1922" s="22"/>
      <c r="E1922" s="22"/>
      <c r="F1922" s="22"/>
      <c r="G1922" s="22"/>
    </row>
    <row r="1923">
      <c r="A1923" s="4"/>
      <c r="B1923" s="14" t="s">
        <v>997</v>
      </c>
      <c r="C1923" s="21">
        <f>(112)*(1)*(1)*(1)*(1 + (0))</f>
      </c>
      <c r="D1923" s="21" t="s">
        <v>167</v>
      </c>
      <c r="E1923" s="21"/>
      <c r="F1923" s="21">
        <f>(0)</f>
      </c>
      <c r="G1923" s="21">
        <f>(C1923 * E1923 + C1923 * E1923 * F1923)</f>
      </c>
    </row>
    <row r="1924">
      <c r="A1924" s="2"/>
      <c r="B1924" s="10" t="s">
        <v>1560</v>
      </c>
      <c r="C1924" s="19"/>
      <c r="D1924" s="19"/>
      <c r="E1924" s="19"/>
      <c r="F1924" s="19"/>
      <c r="G1924" s="19"/>
    </row>
    <row r="1925">
      <c r="A1925" s="3"/>
      <c r="B1925" s="11" t="s">
        <v>14</v>
      </c>
      <c r="C1925" s="20"/>
      <c r="D1925" s="20"/>
      <c r="E1925" s="20"/>
      <c r="F1925" s="20"/>
      <c r="G1925" s="20"/>
    </row>
    <row r="1926">
      <c r="A1926" s="4" t="s">
        <v>1505</v>
      </c>
      <c r="B1926" s="12" t="s">
        <v>16</v>
      </c>
      <c r="C1926" s="21"/>
      <c r="D1926" s="21" t="s">
        <v>17</v>
      </c>
      <c r="E1926" s="21"/>
      <c r="F1926" s="21">
        <f>(0)</f>
      </c>
      <c r="G1926" s="21">
        <f>(C1926 * E1926 + C1926 * E1926 * F1926)</f>
      </c>
    </row>
    <row r="1927">
      <c r="A1927" s="4" t="s">
        <v>1506</v>
      </c>
      <c r="B1927" s="12" t="s">
        <v>19</v>
      </c>
      <c r="C1927" s="21"/>
      <c r="D1927" s="21" t="s">
        <v>17</v>
      </c>
      <c r="E1927" s="21"/>
      <c r="F1927" s="21">
        <f>(0)</f>
      </c>
      <c r="G1927" s="21">
        <f>(C1927 * E1927 + C1927 * E1927 * F1927)</f>
      </c>
    </row>
    <row r="1928">
      <c r="A1928" s="3"/>
      <c r="B1928" s="11" t="s">
        <v>98</v>
      </c>
      <c r="C1928" s="20"/>
      <c r="D1928" s="20"/>
      <c r="E1928" s="20"/>
      <c r="F1928" s="20"/>
      <c r="G1928" s="20"/>
    </row>
    <row r="1929">
      <c r="A1929" s="4"/>
      <c r="B1929" s="12" t="s">
        <v>1561</v>
      </c>
      <c r="C1929" s="21"/>
      <c r="D1929" s="21" t="s">
        <v>17</v>
      </c>
      <c r="E1929" s="21"/>
      <c r="F1929" s="21">
        <f>(0)</f>
      </c>
      <c r="G1929" s="21">
        <f>(C1929 * E1929 + C1929 * E1929 * F1929)</f>
      </c>
    </row>
    <row r="1930">
      <c r="A1930" s="4"/>
      <c r="B1930" s="12" t="s">
        <v>803</v>
      </c>
      <c r="C1930" s="21"/>
      <c r="D1930" s="21" t="s">
        <v>17</v>
      </c>
      <c r="E1930" s="21"/>
      <c r="F1930" s="21">
        <f>(0)</f>
      </c>
      <c r="G1930" s="21">
        <f>(C1930 * E1930 + C1930 * E1930 * F1930)</f>
      </c>
    </row>
    <row r="1931">
      <c r="A1931" s="4"/>
      <c r="B1931" s="12" t="s">
        <v>1562</v>
      </c>
      <c r="C1931" s="21"/>
      <c r="D1931" s="21" t="s">
        <v>17</v>
      </c>
      <c r="E1931" s="21"/>
      <c r="F1931" s="21">
        <f>(0)</f>
      </c>
      <c r="G1931" s="21">
        <f>(C1931 * E1931 + C1931 * E1931 * F1931)</f>
      </c>
    </row>
    <row r="1932">
      <c r="A1932" s="3"/>
      <c r="B1932" s="11" t="s">
        <v>24</v>
      </c>
      <c r="C1932" s="20"/>
      <c r="D1932" s="20"/>
      <c r="E1932" s="20"/>
      <c r="F1932" s="20"/>
      <c r="G1932" s="20"/>
    </row>
    <row r="1933">
      <c r="A1933" s="5"/>
      <c r="B1933" s="13" t="s">
        <v>25</v>
      </c>
      <c r="C1933" s="22"/>
      <c r="D1933" s="22"/>
      <c r="E1933" s="22"/>
      <c r="F1933" s="22"/>
      <c r="G1933" s="22"/>
    </row>
    <row r="1934">
      <c r="A1934" s="4" t="s">
        <v>1563</v>
      </c>
      <c r="B1934" s="14" t="s">
        <v>1564</v>
      </c>
      <c r="C1934" s="21"/>
      <c r="D1934" s="21" t="s">
        <v>17</v>
      </c>
      <c r="E1934" s="21"/>
      <c r="F1934" s="21">
        <f>(0)</f>
      </c>
      <c r="G1934" s="21">
        <f>(C1934 * E1934 + C1934 * E1934 * F1934)</f>
      </c>
    </row>
    <row r="1935">
      <c r="A1935" s="4" t="s">
        <v>1565</v>
      </c>
      <c r="B1935" s="14" t="s">
        <v>1566</v>
      </c>
      <c r="C1935" s="21"/>
      <c r="D1935" s="21" t="s">
        <v>17</v>
      </c>
      <c r="E1935" s="21"/>
      <c r="F1935" s="21">
        <f>(0)</f>
      </c>
      <c r="G1935" s="21">
        <f>(C1935 * E1935 + C1935 * E1935 * F1935)</f>
      </c>
    </row>
    <row r="1936">
      <c r="A1936" s="4" t="s">
        <v>1567</v>
      </c>
      <c r="B1936" s="14" t="s">
        <v>1568</v>
      </c>
      <c r="C1936" s="21"/>
      <c r="D1936" s="21" t="s">
        <v>17</v>
      </c>
      <c r="E1936" s="21"/>
      <c r="F1936" s="21">
        <f>(0)</f>
      </c>
      <c r="G1936" s="21">
        <f>(C1936 * E1936 + C1936 * E1936 * F1936)</f>
      </c>
    </row>
    <row r="1937">
      <c r="A1937" s="4" t="s">
        <v>1569</v>
      </c>
      <c r="B1937" s="14" t="s">
        <v>1570</v>
      </c>
      <c r="C1937" s="21"/>
      <c r="D1937" s="21" t="s">
        <v>17</v>
      </c>
      <c r="E1937" s="21"/>
      <c r="F1937" s="21">
        <f>(0)</f>
      </c>
      <c r="G1937" s="21">
        <f>(C1937 * E1937 + C1937 * E1937 * F1937)</f>
      </c>
    </row>
    <row r="1938">
      <c r="A1938" s="4" t="s">
        <v>1571</v>
      </c>
      <c r="B1938" s="14" t="s">
        <v>1572</v>
      </c>
      <c r="C1938" s="21"/>
      <c r="D1938" s="21" t="s">
        <v>17</v>
      </c>
      <c r="E1938" s="21"/>
      <c r="F1938" s="21">
        <f>(0)</f>
      </c>
      <c r="G1938" s="21">
        <f>(C1938 * E1938 + C1938 * E1938 * F1938)</f>
      </c>
    </row>
    <row r="1939">
      <c r="A1939" s="4" t="s">
        <v>1573</v>
      </c>
      <c r="B1939" s="14" t="s">
        <v>194</v>
      </c>
      <c r="C1939" s="21"/>
      <c r="D1939" s="21" t="s">
        <v>17</v>
      </c>
      <c r="E1939" s="21"/>
      <c r="F1939" s="21">
        <f>(0)</f>
      </c>
      <c r="G1939" s="21">
        <f>(C1939 * E1939 + C1939 * E1939 * F1939)</f>
      </c>
    </row>
    <row r="1940">
      <c r="A1940" s="3"/>
      <c r="B1940" s="11" t="s">
        <v>42</v>
      </c>
      <c r="C1940" s="20"/>
      <c r="D1940" s="20"/>
      <c r="E1940" s="20"/>
      <c r="F1940" s="20"/>
      <c r="G1940" s="20"/>
    </row>
    <row r="1941">
      <c r="A1941" s="4" t="s">
        <v>1574</v>
      </c>
      <c r="B1941" s="12" t="s">
        <v>1531</v>
      </c>
      <c r="C1941" s="21">
        <f>(1)*(1)*(1)*(1)*(1 + (0))</f>
      </c>
      <c r="D1941" s="21" t="s">
        <v>45</v>
      </c>
      <c r="E1941" s="21"/>
      <c r="F1941" s="21">
        <f>(0)</f>
      </c>
      <c r="G1941" s="21">
        <f>(C1941 * E1941 + C1941 * E1941 * F1941)</f>
      </c>
    </row>
    <row r="1942">
      <c r="A1942" s="4" t="s">
        <v>1575</v>
      </c>
      <c r="B1942" s="12" t="s">
        <v>1019</v>
      </c>
      <c r="C1942" s="21">
        <f>(1)*(1)*(1)*(1)*(1 + (0))</f>
      </c>
      <c r="D1942" s="21" t="s">
        <v>45</v>
      </c>
      <c r="E1942" s="21"/>
      <c r="F1942" s="21">
        <f>(0)</f>
      </c>
      <c r="G1942" s="21">
        <f>(C1942 * E1942 + C1942 * E1942 * F1942)</f>
      </c>
    </row>
    <row r="1943">
      <c r="A1943" s="4" t="s">
        <v>1576</v>
      </c>
      <c r="B1943" s="12" t="s">
        <v>251</v>
      </c>
      <c r="C1943" s="21">
        <f>(1)*(1)*(1)*(1)*(1 + (0))</f>
      </c>
      <c r="D1943" s="21" t="s">
        <v>45</v>
      </c>
      <c r="E1943" s="21"/>
      <c r="F1943" s="21">
        <f>(0)</f>
      </c>
      <c r="G1943" s="21">
        <f>(C1943 * E1943 + C1943 * E1943 * F1943)</f>
      </c>
    </row>
    <row r="1944">
      <c r="A1944" s="4" t="s">
        <v>1577</v>
      </c>
      <c r="B1944" s="12" t="s">
        <v>1578</v>
      </c>
      <c r="C1944" s="21">
        <f>(1)*(1)*(1)*(1)*(1 + (0))</f>
      </c>
      <c r="D1944" s="21" t="s">
        <v>45</v>
      </c>
      <c r="E1944" s="21"/>
      <c r="F1944" s="21">
        <f>(0)</f>
      </c>
      <c r="G1944" s="21">
        <f>(C1944 * E1944 + C1944 * E1944 * F1944)</f>
      </c>
    </row>
    <row r="1945">
      <c r="A1945" s="4" t="s">
        <v>1579</v>
      </c>
      <c r="B1945" s="12" t="s">
        <v>1302</v>
      </c>
      <c r="C1945" s="21">
        <f>(1)*(1)*(1)*(1)*(1 + (0))</f>
      </c>
      <c r="D1945" s="21" t="s">
        <v>45</v>
      </c>
      <c r="E1945" s="21"/>
      <c r="F1945" s="21">
        <f>(0)</f>
      </c>
      <c r="G1945" s="21">
        <f>(C1945 * E1945 + C1945 * E1945 * F1945)</f>
      </c>
    </row>
    <row r="1946">
      <c r="A1946" s="4" t="s">
        <v>1580</v>
      </c>
      <c r="B1946" s="12" t="s">
        <v>1581</v>
      </c>
      <c r="C1946" s="21">
        <f>(1)*(1)*(1)*(1)*(1 + (0))</f>
      </c>
      <c r="D1946" s="21" t="s">
        <v>45</v>
      </c>
      <c r="E1946" s="21"/>
      <c r="F1946" s="21">
        <f>(0)</f>
      </c>
      <c r="G1946" s="21">
        <f>(C1946 * E1946 + C1946 * E1946 * F1946)</f>
      </c>
    </row>
    <row r="1947">
      <c r="A1947" s="4" t="s">
        <v>1582</v>
      </c>
      <c r="B1947" s="12" t="s">
        <v>1583</v>
      </c>
      <c r="C1947" s="21">
        <f>(1)*(1)*(1)*(1)*(1 + (0))</f>
      </c>
      <c r="D1947" s="21" t="s">
        <v>45</v>
      </c>
      <c r="E1947" s="21"/>
      <c r="F1947" s="21">
        <f>(0)</f>
      </c>
      <c r="G1947" s="21">
        <f>(C1947 * E1947 + C1947 * E1947 * F1947)</f>
      </c>
    </row>
    <row r="1948">
      <c r="A1948" s="4" t="s">
        <v>1584</v>
      </c>
      <c r="B1948" s="12" t="s">
        <v>1585</v>
      </c>
      <c r="C1948" s="21">
        <f>(1)*(1)*(1)*(1)*(1 + (0))</f>
      </c>
      <c r="D1948" s="21" t="s">
        <v>45</v>
      </c>
      <c r="E1948" s="21"/>
      <c r="F1948" s="21">
        <f>(0)</f>
      </c>
      <c r="G1948" s="21">
        <f>(C1948 * E1948 + C1948 * E1948 * F1948)</f>
      </c>
    </row>
    <row r="1949">
      <c r="A1949" s="4" t="s">
        <v>1586</v>
      </c>
      <c r="B1949" s="12" t="s">
        <v>1587</v>
      </c>
      <c r="C1949" s="21">
        <f>(1)*(1)*(1)*(1)*(1 + (0))</f>
      </c>
      <c r="D1949" s="21" t="s">
        <v>45</v>
      </c>
      <c r="E1949" s="21"/>
      <c r="F1949" s="21">
        <f>(0)</f>
      </c>
      <c r="G1949" s="21">
        <f>(C1949 * E1949 + C1949 * E1949 * F1949)</f>
      </c>
    </row>
    <row r="1950">
      <c r="A1950" s="4" t="s">
        <v>1588</v>
      </c>
      <c r="B1950" s="12" t="s">
        <v>832</v>
      </c>
      <c r="C1950" s="21">
        <f>(1)*(1)*(1)*(1)*(1 + (0))</f>
      </c>
      <c r="D1950" s="21" t="s">
        <v>45</v>
      </c>
      <c r="E1950" s="21"/>
      <c r="F1950" s="21">
        <f>(0)</f>
      </c>
      <c r="G1950" s="21">
        <f>(C1950 * E1950 + C1950 * E1950 * F1950)</f>
      </c>
    </row>
    <row r="1951">
      <c r="A1951" s="3"/>
      <c r="B1951" s="11" t="s">
        <v>82</v>
      </c>
      <c r="C1951" s="20"/>
      <c r="D1951" s="20"/>
      <c r="E1951" s="20"/>
      <c r="F1951" s="20"/>
      <c r="G1951" s="20"/>
    </row>
    <row r="1952">
      <c r="A1952" s="4"/>
      <c r="B1952" s="12" t="s">
        <v>1589</v>
      </c>
      <c r="C1952" s="21"/>
      <c r="D1952" s="21" t="s">
        <v>17</v>
      </c>
      <c r="E1952" s="21"/>
      <c r="F1952" s="21">
        <f>(0)</f>
      </c>
      <c r="G1952" s="21">
        <f>(C1952 * E1952 + C1952 * E1952 * F1952)</f>
      </c>
    </row>
    <row r="1953">
      <c r="A1953" s="3"/>
      <c r="B1953" s="11" t="s">
        <v>1590</v>
      </c>
      <c r="C1953" s="20"/>
      <c r="D1953" s="20"/>
      <c r="E1953" s="20"/>
      <c r="F1953" s="20"/>
      <c r="G1953" s="20"/>
    </row>
    <row r="1954">
      <c r="A1954" s="5"/>
      <c r="B1954" s="13" t="s">
        <v>1591</v>
      </c>
      <c r="C1954" s="22"/>
      <c r="D1954" s="22"/>
      <c r="E1954" s="22"/>
      <c r="F1954" s="22"/>
      <c r="G1954" s="22"/>
    </row>
    <row r="1955">
      <c r="A1955" s="4"/>
      <c r="B1955" s="14" t="s">
        <v>840</v>
      </c>
      <c r="C1955" s="21">
        <f>(231)*(1)*(1)*(1)*(1 + (0))</f>
      </c>
      <c r="D1955" s="21" t="s">
        <v>9</v>
      </c>
      <c r="E1955" s="21"/>
      <c r="F1955" s="21">
        <f>(0)</f>
      </c>
      <c r="G1955" s="21">
        <f>(C1955 * E1955 + C1955 * E1955 * F1955)</f>
      </c>
    </row>
    <row r="1956">
      <c r="A1956" s="4"/>
      <c r="B1956" s="14" t="s">
        <v>841</v>
      </c>
      <c r="C1956" s="21">
        <f>(40)*(1)*(1)*(1)*(1 + (0))</f>
      </c>
      <c r="D1956" s="21" t="s">
        <v>9</v>
      </c>
      <c r="E1956" s="21"/>
      <c r="F1956" s="21">
        <f>(0)</f>
      </c>
      <c r="G1956" s="21">
        <f>(C1956 * E1956 + C1956 * E1956 * F1956)</f>
      </c>
    </row>
    <row r="1957">
      <c r="A1957" s="3"/>
      <c r="B1957" s="11" t="s">
        <v>1592</v>
      </c>
      <c r="C1957" s="20"/>
      <c r="D1957" s="20"/>
      <c r="E1957" s="20"/>
      <c r="F1957" s="20"/>
      <c r="G1957" s="20"/>
    </row>
    <row r="1958">
      <c r="A1958" s="5"/>
      <c r="B1958" s="13" t="s">
        <v>1593</v>
      </c>
      <c r="C1958" s="22"/>
      <c r="D1958" s="22"/>
      <c r="E1958" s="22"/>
      <c r="F1958" s="22"/>
      <c r="G1958" s="22"/>
    </row>
    <row r="1959">
      <c r="A1959" s="4"/>
      <c r="B1959" s="14" t="s">
        <v>999</v>
      </c>
      <c r="C1959" s="21">
        <f>(649)*(1)*(1)*(1)*(1 + (0))</f>
      </c>
      <c r="D1959" s="21" t="s">
        <v>9</v>
      </c>
      <c r="E1959" s="21"/>
      <c r="F1959" s="21">
        <f>(0)</f>
      </c>
      <c r="G1959" s="21">
        <f>(C1959 * E1959 + C1959 * E1959 * F1959)</f>
      </c>
    </row>
    <row r="1960">
      <c r="A1960" s="4"/>
      <c r="B1960" s="14" t="s">
        <v>1558</v>
      </c>
      <c r="C1960" s="21">
        <f>(85)*(1)*(1)*(1)*(1 + (0))</f>
      </c>
      <c r="D1960" s="21" t="s">
        <v>9</v>
      </c>
      <c r="E1960" s="21"/>
      <c r="F1960" s="21">
        <f>(0)</f>
      </c>
      <c r="G1960" s="21">
        <f>(C1960 * E1960 + C1960 * E1960 * F1960)</f>
      </c>
    </row>
    <row r="1961">
      <c r="A1961" s="3"/>
      <c r="B1961" s="11" t="s">
        <v>1594</v>
      </c>
      <c r="C1961" s="20"/>
      <c r="D1961" s="20"/>
      <c r="E1961" s="20"/>
      <c r="F1961" s="20"/>
      <c r="G1961" s="20"/>
    </row>
    <row r="1962">
      <c r="A1962" s="5"/>
      <c r="B1962" s="13" t="s">
        <v>1595</v>
      </c>
      <c r="C1962" s="22"/>
      <c r="D1962" s="22"/>
      <c r="E1962" s="22"/>
      <c r="F1962" s="22"/>
      <c r="G1962" s="22"/>
    </row>
    <row r="1963">
      <c r="A1963" s="4"/>
      <c r="B1963" s="14" t="s">
        <v>997</v>
      </c>
      <c r="C1963" s="21">
        <f>(161)*(1)*(1)*(1)*(1 + (0))</f>
      </c>
      <c r="D1963" s="21" t="s">
        <v>167</v>
      </c>
      <c r="E1963" s="21"/>
      <c r="F1963" s="21">
        <f>(0)</f>
      </c>
      <c r="G1963" s="21">
        <f>(C1963 * E1963 + C1963 * E1963 * F1963)</f>
      </c>
    </row>
    <row r="1964">
      <c r="A1964" s="3"/>
      <c r="B1964" s="11" t="s">
        <v>1546</v>
      </c>
      <c r="C1964" s="20"/>
      <c r="D1964" s="20"/>
      <c r="E1964" s="20"/>
      <c r="F1964" s="20"/>
      <c r="G1964" s="20"/>
    </row>
    <row r="1965">
      <c r="A1965" s="5"/>
      <c r="B1965" s="13" t="s">
        <v>1596</v>
      </c>
      <c r="C1965" s="22"/>
      <c r="D1965" s="22"/>
      <c r="E1965" s="22"/>
      <c r="F1965" s="22"/>
      <c r="G1965" s="22"/>
    </row>
    <row r="1966">
      <c r="A1966" s="4"/>
      <c r="B1966" s="14" t="s">
        <v>840</v>
      </c>
      <c r="C1966" s="21">
        <f>(11)*(1)*(1)*(1)*(1 + (0))</f>
      </c>
      <c r="D1966" s="21" t="s">
        <v>167</v>
      </c>
      <c r="E1966" s="21"/>
      <c r="F1966" s="21">
        <f>(0)</f>
      </c>
      <c r="G1966" s="21">
        <f>(C1966 * E1966 + C1966 * E1966 * F1966)</f>
      </c>
    </row>
    <row r="1967">
      <c r="A1967" s="4"/>
      <c r="B1967" s="14" t="s">
        <v>1597</v>
      </c>
      <c r="C1967" s="21">
        <f>(6)*(1)*(1)*(1)*(1 + (0))</f>
      </c>
      <c r="D1967" s="21" t="s">
        <v>167</v>
      </c>
      <c r="E1967" s="21"/>
      <c r="F1967" s="21">
        <f>(0)</f>
      </c>
      <c r="G1967" s="21">
        <f>(C1967 * E1967 + C1967 * E1967 * F1967)</f>
      </c>
    </row>
    <row r="1968">
      <c r="A1968" s="2"/>
      <c r="B1968" s="10" t="s">
        <v>1598</v>
      </c>
      <c r="C1968" s="19"/>
      <c r="D1968" s="19"/>
      <c r="E1968" s="19"/>
      <c r="F1968" s="19"/>
      <c r="G1968" s="19"/>
    </row>
    <row r="1969">
      <c r="A1969" s="3"/>
      <c r="B1969" s="11" t="s">
        <v>14</v>
      </c>
      <c r="C1969" s="20"/>
      <c r="D1969" s="20"/>
      <c r="E1969" s="20"/>
      <c r="F1969" s="20"/>
      <c r="G1969" s="20"/>
    </row>
    <row r="1970">
      <c r="A1970" s="4" t="s">
        <v>1599</v>
      </c>
      <c r="B1970" s="12" t="s">
        <v>16</v>
      </c>
      <c r="C1970" s="21"/>
      <c r="D1970" s="21" t="s">
        <v>17</v>
      </c>
      <c r="E1970" s="21"/>
      <c r="F1970" s="21">
        <f>(0)</f>
      </c>
      <c r="G1970" s="21">
        <f>(C1970 * E1970 + C1970 * E1970 * F1970)</f>
      </c>
    </row>
    <row r="1971">
      <c r="A1971" s="4" t="s">
        <v>1600</v>
      </c>
      <c r="B1971" s="12" t="s">
        <v>19</v>
      </c>
      <c r="C1971" s="21"/>
      <c r="D1971" s="21" t="s">
        <v>17</v>
      </c>
      <c r="E1971" s="21"/>
      <c r="F1971" s="21">
        <f>(0)</f>
      </c>
      <c r="G1971" s="21">
        <f>(C1971 * E1971 + C1971 * E1971 * F1971)</f>
      </c>
    </row>
    <row r="1972">
      <c r="A1972" s="3"/>
      <c r="B1972" s="11" t="s">
        <v>22</v>
      </c>
      <c r="C1972" s="20"/>
      <c r="D1972" s="20"/>
      <c r="E1972" s="20"/>
      <c r="F1972" s="20"/>
      <c r="G1972" s="20"/>
    </row>
    <row r="1973">
      <c r="A1973" s="4"/>
      <c r="B1973" s="12" t="s">
        <v>1601</v>
      </c>
      <c r="C1973" s="21"/>
      <c r="D1973" s="21" t="s">
        <v>17</v>
      </c>
      <c r="E1973" s="21"/>
      <c r="F1973" s="21">
        <f>(0)</f>
      </c>
      <c r="G1973" s="21">
        <f>(C1973 * E1973 + C1973 * E1973 * F1973)</f>
      </c>
    </row>
    <row r="1974">
      <c r="A1974" s="4"/>
      <c r="B1974" s="12" t="s">
        <v>1602</v>
      </c>
      <c r="C1974" s="21"/>
      <c r="D1974" s="21" t="s">
        <v>17</v>
      </c>
      <c r="E1974" s="21"/>
      <c r="F1974" s="21">
        <f>(0)</f>
      </c>
      <c r="G1974" s="21">
        <f>(C1974 * E1974 + C1974 * E1974 * F1974)</f>
      </c>
    </row>
    <row r="1975">
      <c r="A1975" s="3"/>
      <c r="B1975" s="11" t="s">
        <v>24</v>
      </c>
      <c r="C1975" s="20"/>
      <c r="D1975" s="20"/>
      <c r="E1975" s="20"/>
      <c r="F1975" s="20"/>
      <c r="G1975" s="20"/>
    </row>
    <row r="1976">
      <c r="A1976" s="5"/>
      <c r="B1976" s="13" t="s">
        <v>25</v>
      </c>
      <c r="C1976" s="22"/>
      <c r="D1976" s="22"/>
      <c r="E1976" s="22"/>
      <c r="F1976" s="22"/>
      <c r="G1976" s="22"/>
    </row>
    <row r="1977">
      <c r="A1977" s="4" t="s">
        <v>1603</v>
      </c>
      <c r="B1977" s="14" t="s">
        <v>1604</v>
      </c>
      <c r="C1977" s="21"/>
      <c r="D1977" s="21" t="s">
        <v>17</v>
      </c>
      <c r="E1977" s="21"/>
      <c r="F1977" s="21">
        <f>(0)</f>
      </c>
      <c r="G1977" s="21">
        <f>(C1977 * E1977 + C1977 * E1977 * F1977)</f>
      </c>
    </row>
    <row r="1978">
      <c r="A1978" s="4" t="s">
        <v>1605</v>
      </c>
      <c r="B1978" s="14" t="s">
        <v>1606</v>
      </c>
      <c r="C1978" s="21"/>
      <c r="D1978" s="21" t="s">
        <v>17</v>
      </c>
      <c r="E1978" s="21"/>
      <c r="F1978" s="21">
        <f>(0)</f>
      </c>
      <c r="G1978" s="21">
        <f>(C1978 * E1978 + C1978 * E1978 * F1978)</f>
      </c>
    </row>
    <row r="1979">
      <c r="A1979" s="4" t="s">
        <v>1607</v>
      </c>
      <c r="B1979" s="14" t="s">
        <v>1608</v>
      </c>
      <c r="C1979" s="21"/>
      <c r="D1979" s="21" t="s">
        <v>17</v>
      </c>
      <c r="E1979" s="21"/>
      <c r="F1979" s="21">
        <f>(0)</f>
      </c>
      <c r="G1979" s="21">
        <f>(C1979 * E1979 + C1979 * E1979 * F1979)</f>
      </c>
    </row>
    <row r="1980">
      <c r="A1980" s="4" t="s">
        <v>1609</v>
      </c>
      <c r="B1980" s="14" t="s">
        <v>1610</v>
      </c>
      <c r="C1980" s="21"/>
      <c r="D1980" s="21" t="s">
        <v>17</v>
      </c>
      <c r="E1980" s="21"/>
      <c r="F1980" s="21">
        <f>(0)</f>
      </c>
      <c r="G1980" s="21">
        <f>(C1980 * E1980 + C1980 * E1980 * F1980)</f>
      </c>
    </row>
    <row r="1981">
      <c r="A1981" s="4" t="s">
        <v>1611</v>
      </c>
      <c r="B1981" s="14" t="s">
        <v>1612</v>
      </c>
      <c r="C1981" s="21"/>
      <c r="D1981" s="21" t="s">
        <v>17</v>
      </c>
      <c r="E1981" s="21"/>
      <c r="F1981" s="21">
        <f>(0)</f>
      </c>
      <c r="G1981" s="21">
        <f>(C1981 * E1981 + C1981 * E1981 * F1981)</f>
      </c>
    </row>
    <row r="1982">
      <c r="A1982" s="4" t="s">
        <v>1613</v>
      </c>
      <c r="B1982" s="14" t="s">
        <v>1614</v>
      </c>
      <c r="C1982" s="21"/>
      <c r="D1982" s="21" t="s">
        <v>17</v>
      </c>
      <c r="E1982" s="21"/>
      <c r="F1982" s="21">
        <f>(0)</f>
      </c>
      <c r="G1982" s="21">
        <f>(C1982 * E1982 + C1982 * E1982 * F1982)</f>
      </c>
    </row>
    <row r="1983">
      <c r="A1983" s="4" t="s">
        <v>1615</v>
      </c>
      <c r="B1983" s="14" t="s">
        <v>1616</v>
      </c>
      <c r="C1983" s="21"/>
      <c r="D1983" s="21" t="s">
        <v>17</v>
      </c>
      <c r="E1983" s="21"/>
      <c r="F1983" s="21">
        <f>(0)</f>
      </c>
      <c r="G1983" s="21">
        <f>(C1983 * E1983 + C1983 * E1983 * F1983)</f>
      </c>
    </row>
    <row r="1984">
      <c r="A1984" s="4" t="s">
        <v>1617</v>
      </c>
      <c r="B1984" s="14" t="s">
        <v>194</v>
      </c>
      <c r="C1984" s="21"/>
      <c r="D1984" s="21" t="s">
        <v>17</v>
      </c>
      <c r="E1984" s="21"/>
      <c r="F1984" s="21">
        <f>(0)</f>
      </c>
      <c r="G1984" s="21">
        <f>(C1984 * E1984 + C1984 * E1984 * F1984)</f>
      </c>
    </row>
    <row r="1985">
      <c r="A1985" s="3"/>
      <c r="B1985" s="11" t="s">
        <v>42</v>
      </c>
      <c r="C1985" s="20"/>
      <c r="D1985" s="20"/>
      <c r="E1985" s="20"/>
      <c r="F1985" s="20"/>
      <c r="G1985" s="20"/>
    </row>
    <row r="1986">
      <c r="A1986" s="4" t="s">
        <v>1618</v>
      </c>
      <c r="B1986" s="12" t="s">
        <v>128</v>
      </c>
      <c r="C1986" s="21">
        <f>(1)*(1)*(1)*(1)*(1 + (0))</f>
      </c>
      <c r="D1986" s="21" t="s">
        <v>45</v>
      </c>
      <c r="E1986" s="21"/>
      <c r="F1986" s="21">
        <f>(0)</f>
      </c>
      <c r="G1986" s="21">
        <f>(C1986 * E1986 + C1986 * E1986 * F1986)</f>
      </c>
    </row>
    <row r="1987">
      <c r="A1987" s="4" t="s">
        <v>1619</v>
      </c>
      <c r="B1987" s="12" t="s">
        <v>1620</v>
      </c>
      <c r="C1987" s="21">
        <f>(1)*(1)*(1)*(1)*(1 + (0))</f>
      </c>
      <c r="D1987" s="21" t="s">
        <v>45</v>
      </c>
      <c r="E1987" s="21"/>
      <c r="F1987" s="21">
        <f>(0)</f>
      </c>
      <c r="G1987" s="21">
        <f>(C1987 * E1987 + C1987 * E1987 * F1987)</f>
      </c>
    </row>
    <row r="1988">
      <c r="A1988" s="4" t="s">
        <v>1621</v>
      </c>
      <c r="B1988" s="12" t="s">
        <v>1622</v>
      </c>
      <c r="C1988" s="21">
        <f>(1)*(1)*(1)*(1)*(1 + (0))</f>
      </c>
      <c r="D1988" s="21" t="s">
        <v>45</v>
      </c>
      <c r="E1988" s="21"/>
      <c r="F1988" s="21">
        <f>(0)</f>
      </c>
      <c r="G1988" s="21">
        <f>(C1988 * E1988 + C1988 * E1988 * F1988)</f>
      </c>
    </row>
    <row r="1989">
      <c r="A1989" s="4" t="s">
        <v>1623</v>
      </c>
      <c r="B1989" s="12" t="s">
        <v>251</v>
      </c>
      <c r="C1989" s="21">
        <f>(1)*(1)*(1)*(1)*(1 + (0))</f>
      </c>
      <c r="D1989" s="21" t="s">
        <v>45</v>
      </c>
      <c r="E1989" s="21"/>
      <c r="F1989" s="21">
        <f>(0)</f>
      </c>
      <c r="G1989" s="21">
        <f>(C1989 * E1989 + C1989 * E1989 * F1989)</f>
      </c>
    </row>
    <row r="1990">
      <c r="A1990" s="4" t="s">
        <v>1624</v>
      </c>
      <c r="B1990" s="12" t="s">
        <v>1169</v>
      </c>
      <c r="C1990" s="21">
        <f>(1)*(1)*(1)*(1)*(1 + (0))</f>
      </c>
      <c r="D1990" s="21" t="s">
        <v>45</v>
      </c>
      <c r="E1990" s="21"/>
      <c r="F1990" s="21">
        <f>(0)</f>
      </c>
      <c r="G1990" s="21">
        <f>(C1990 * E1990 + C1990 * E1990 * F1990)</f>
      </c>
    </row>
    <row r="1991">
      <c r="A1991" s="4" t="s">
        <v>1625</v>
      </c>
      <c r="B1991" s="12" t="s">
        <v>61</v>
      </c>
      <c r="C1991" s="21">
        <f>(1)*(1)*(1)*(1)*(1 + (0))</f>
      </c>
      <c r="D1991" s="21" t="s">
        <v>45</v>
      </c>
      <c r="E1991" s="21"/>
      <c r="F1991" s="21">
        <f>(0)</f>
      </c>
      <c r="G1991" s="21">
        <f>(C1991 * E1991 + C1991 * E1991 * F1991)</f>
      </c>
    </row>
    <row r="1992">
      <c r="A1992" s="4" t="s">
        <v>1626</v>
      </c>
      <c r="B1992" s="12" t="s">
        <v>59</v>
      </c>
      <c r="C1992" s="21">
        <f>(1)*(1)*(1)*(1)*(1 + (0))</f>
      </c>
      <c r="D1992" s="21" t="s">
        <v>45</v>
      </c>
      <c r="E1992" s="21"/>
      <c r="F1992" s="21">
        <f>(0)</f>
      </c>
      <c r="G1992" s="21">
        <f>(C1992 * E1992 + C1992 * E1992 * F1992)</f>
      </c>
    </row>
    <row r="1993">
      <c r="A1993" s="4" t="s">
        <v>1627</v>
      </c>
      <c r="B1993" s="12" t="s">
        <v>1628</v>
      </c>
      <c r="C1993" s="21">
        <f>(1)*(1)*(1)*(1)*(1 + (0))</f>
      </c>
      <c r="D1993" s="21" t="s">
        <v>45</v>
      </c>
      <c r="E1993" s="21"/>
      <c r="F1993" s="21">
        <f>(0)</f>
      </c>
      <c r="G1993" s="21">
        <f>(C1993 * E1993 + C1993 * E1993 * F1993)</f>
      </c>
    </row>
    <row r="1994">
      <c r="A1994" s="4" t="s">
        <v>1629</v>
      </c>
      <c r="B1994" s="12" t="s">
        <v>832</v>
      </c>
      <c r="C1994" s="21">
        <f>(1)*(1)*(1)*(1)*(1 + (0))</f>
      </c>
      <c r="D1994" s="21" t="s">
        <v>45</v>
      </c>
      <c r="E1994" s="21"/>
      <c r="F1994" s="21">
        <f>(0)</f>
      </c>
      <c r="G1994" s="21">
        <f>(C1994 * E1994 + C1994 * E1994 * F1994)</f>
      </c>
    </row>
    <row r="1995">
      <c r="A1995" s="3"/>
      <c r="B1995" s="11" t="s">
        <v>82</v>
      </c>
      <c r="C1995" s="20"/>
      <c r="D1995" s="20"/>
      <c r="E1995" s="20"/>
      <c r="F1995" s="20"/>
      <c r="G1995" s="20"/>
    </row>
    <row r="1996">
      <c r="A1996" s="4"/>
      <c r="B1996" s="12" t="s">
        <v>1630</v>
      </c>
      <c r="C1996" s="21"/>
      <c r="D1996" s="21" t="s">
        <v>17</v>
      </c>
      <c r="E1996" s="21"/>
      <c r="F1996" s="21">
        <f>(0)</f>
      </c>
      <c r="G1996" s="21">
        <f>(C1996 * E1996 + C1996 * E1996 * F1996)</f>
      </c>
    </row>
    <row r="1997">
      <c r="A1997" s="4"/>
      <c r="B1997" s="12" t="s">
        <v>1631</v>
      </c>
      <c r="C1997" s="21"/>
      <c r="D1997" s="21" t="s">
        <v>17</v>
      </c>
      <c r="E1997" s="21"/>
      <c r="F1997" s="21">
        <f>(0)</f>
      </c>
      <c r="G1997" s="21">
        <f>(C1997 * E1997 + C1997 * E1997 * F1997)</f>
      </c>
    </row>
    <row r="1998">
      <c r="A1998" s="3"/>
      <c r="B1998" s="11" t="s">
        <v>1632</v>
      </c>
      <c r="C1998" s="20"/>
      <c r="D1998" s="20"/>
      <c r="E1998" s="20"/>
      <c r="F1998" s="20"/>
      <c r="G1998" s="20"/>
    </row>
    <row r="1999">
      <c r="A1999" s="5"/>
      <c r="B1999" s="13" t="s">
        <v>1633</v>
      </c>
      <c r="C1999" s="22"/>
      <c r="D1999" s="22"/>
      <c r="E1999" s="22"/>
      <c r="F1999" s="22"/>
      <c r="G1999" s="22"/>
    </row>
    <row r="2000">
      <c r="A2000" s="6"/>
      <c r="B2000" s="15" t="s">
        <v>1634</v>
      </c>
      <c r="C2000" s="23"/>
      <c r="D2000" s="23"/>
      <c r="E2000" s="23"/>
      <c r="F2000" s="23"/>
      <c r="G2000" s="23"/>
    </row>
    <row r="2001">
      <c r="A2001" s="4"/>
      <c r="B2001" s="16" t="s">
        <v>1635</v>
      </c>
      <c r="C2001" s="21"/>
      <c r="D2001" s="21"/>
      <c r="E2001" s="21"/>
      <c r="F2001" s="21"/>
      <c r="G2001" s="21"/>
    </row>
    <row r="2002">
      <c r="A2002" s="4"/>
      <c r="B2002" s="17" t="s">
        <v>1490</v>
      </c>
      <c r="C2002" s="21">
        <f>(423)*(1)*(1)*(1)*(1 + (0))</f>
      </c>
      <c r="D2002" s="21" t="s">
        <v>9</v>
      </c>
      <c r="E2002" s="21"/>
      <c r="F2002" s="21">
        <f>(0)</f>
      </c>
      <c r="G2002" s="21">
        <f>(C2002 * E2002 + C2002 * E2002 * F2002)</f>
      </c>
    </row>
    <row r="2003">
      <c r="A2003" s="4"/>
      <c r="B2003" s="17" t="s">
        <v>1491</v>
      </c>
      <c r="C2003" s="21">
        <f>(462)*(1)*(1)*(1)*(1 + (0))</f>
      </c>
      <c r="D2003" s="21" t="s">
        <v>9</v>
      </c>
      <c r="E2003" s="21"/>
      <c r="F2003" s="21">
        <f>(0)</f>
      </c>
      <c r="G2003" s="21">
        <f>(C2003 * E2003 + C2003 * E2003 * F2003)</f>
      </c>
    </row>
    <row r="2004">
      <c r="A2004" s="4"/>
      <c r="B2004" s="16" t="s">
        <v>1636</v>
      </c>
      <c r="C2004" s="21"/>
      <c r="D2004" s="21"/>
      <c r="E2004" s="21"/>
      <c r="F2004" s="21"/>
      <c r="G2004" s="21"/>
    </row>
    <row r="2005">
      <c r="A2005" s="4"/>
      <c r="B2005" s="17" t="s">
        <v>1490</v>
      </c>
      <c r="C2005" s="21">
        <f>(319)*(1)*(1)*(1)*(1 + (0))</f>
      </c>
      <c r="D2005" s="21" t="s">
        <v>9</v>
      </c>
      <c r="E2005" s="21"/>
      <c r="F2005" s="21">
        <f>(0)</f>
      </c>
      <c r="G2005" s="21">
        <f>(C2005 * E2005 + C2005 * E2005 * F2005)</f>
      </c>
    </row>
    <row r="2006">
      <c r="A2006" s="4"/>
      <c r="B2006" s="17" t="s">
        <v>1491</v>
      </c>
      <c r="C2006" s="21">
        <f>(31)*(1)*(1)*(1)*(1 + (0))</f>
      </c>
      <c r="D2006" s="21" t="s">
        <v>9</v>
      </c>
      <c r="E2006" s="21"/>
      <c r="F2006" s="21">
        <f>(0)</f>
      </c>
      <c r="G2006" s="21">
        <f>(C2006 * E2006 + C2006 * E2006 * F2006)</f>
      </c>
    </row>
    <row r="2007">
      <c r="A2007" s="4"/>
      <c r="B2007" s="16" t="s">
        <v>1637</v>
      </c>
      <c r="C2007" s="21"/>
      <c r="D2007" s="21"/>
      <c r="E2007" s="21"/>
      <c r="F2007" s="21"/>
      <c r="G2007" s="21"/>
    </row>
    <row r="2008">
      <c r="A2008" s="4"/>
      <c r="B2008" s="17" t="s">
        <v>1490</v>
      </c>
      <c r="C2008" s="21">
        <f>(9)*(1)*(1)*(1)*(1 + (0))</f>
      </c>
      <c r="D2008" s="21" t="s">
        <v>9</v>
      </c>
      <c r="E2008" s="21"/>
      <c r="F2008" s="21">
        <f>(0)</f>
      </c>
      <c r="G2008" s="21">
        <f>(C2008 * E2008 + C2008 * E2008 * F2008)</f>
      </c>
    </row>
    <row r="2009">
      <c r="A2009" s="3"/>
      <c r="B2009" s="11" t="s">
        <v>1638</v>
      </c>
      <c r="C2009" s="20"/>
      <c r="D2009" s="20"/>
      <c r="E2009" s="20"/>
      <c r="F2009" s="20"/>
      <c r="G2009" s="20"/>
    </row>
    <row r="2010">
      <c r="A2010" s="5"/>
      <c r="B2010" s="13" t="s">
        <v>1639</v>
      </c>
      <c r="C2010" s="22"/>
      <c r="D2010" s="22"/>
      <c r="E2010" s="22"/>
      <c r="F2010" s="22"/>
      <c r="G2010" s="22"/>
    </row>
    <row r="2011">
      <c r="A2011" s="4"/>
      <c r="B2011" s="14" t="s">
        <v>841</v>
      </c>
      <c r="C2011" s="21">
        <f>(22)*(1)*(1)*(1)*(1 + (0))</f>
      </c>
      <c r="D2011" s="21" t="s">
        <v>9</v>
      </c>
      <c r="E2011" s="21"/>
      <c r="F2011" s="21">
        <f>(0)</f>
      </c>
      <c r="G2011" s="21">
        <f>(C2011 * E2011 + C2011 * E2011 * F2011)</f>
      </c>
    </row>
    <row r="2012">
      <c r="A2012" s="3"/>
      <c r="B2012" s="11" t="s">
        <v>1640</v>
      </c>
      <c r="C2012" s="20"/>
      <c r="D2012" s="20"/>
      <c r="E2012" s="20"/>
      <c r="F2012" s="20"/>
      <c r="G2012" s="20"/>
    </row>
    <row r="2013">
      <c r="A2013" s="5"/>
      <c r="B2013" s="13" t="s">
        <v>1641</v>
      </c>
      <c r="C2013" s="22"/>
      <c r="D2013" s="22"/>
      <c r="E2013" s="22"/>
      <c r="F2013" s="22"/>
      <c r="G2013" s="22"/>
    </row>
    <row r="2014">
      <c r="A2014" s="4"/>
      <c r="B2014" s="14" t="s">
        <v>999</v>
      </c>
      <c r="C2014" s="21">
        <f>(2676)*(1)*(1)*(1)*(1 + (0))</f>
      </c>
      <c r="D2014" s="21" t="s">
        <v>9</v>
      </c>
      <c r="E2014" s="21"/>
      <c r="F2014" s="21">
        <f>(0)</f>
      </c>
      <c r="G2014" s="21">
        <f>(C2014 * E2014 + C2014 * E2014 * F2014)</f>
      </c>
    </row>
    <row r="2015">
      <c r="A2015" s="4"/>
      <c r="B2015" s="14" t="s">
        <v>1642</v>
      </c>
      <c r="C2015" s="21">
        <f>(840)*(1)*(1)*(1)*(1 + (0))</f>
      </c>
      <c r="D2015" s="21" t="s">
        <v>9</v>
      </c>
      <c r="E2015" s="21"/>
      <c r="F2015" s="21">
        <f>(0)</f>
      </c>
      <c r="G2015" s="21">
        <f>(C2015 * E2015 + C2015 * E2015 * F2015)</f>
      </c>
    </row>
    <row r="2016">
      <c r="A2016" s="5"/>
      <c r="B2016" s="13" t="s">
        <v>1643</v>
      </c>
      <c r="C2016" s="22"/>
      <c r="D2016" s="22"/>
      <c r="E2016" s="22"/>
      <c r="F2016" s="22"/>
      <c r="G2016" s="22"/>
    </row>
    <row r="2017">
      <c r="A2017" s="4"/>
      <c r="B2017" s="14" t="s">
        <v>999</v>
      </c>
      <c r="C2017" s="21">
        <f>(364)*(1)*(1)*(1)*(1 + (0))</f>
      </c>
      <c r="D2017" s="21" t="s">
        <v>9</v>
      </c>
      <c r="E2017" s="21"/>
      <c r="F2017" s="21">
        <f>(0)</f>
      </c>
      <c r="G2017" s="21">
        <f>(C2017 * E2017 + C2017 * E2017 * F2017)</f>
      </c>
    </row>
    <row r="2018">
      <c r="A2018" s="4"/>
      <c r="B2018" s="14" t="s">
        <v>1558</v>
      </c>
      <c r="C2018" s="21">
        <f>(149)*(1)*(1)*(1)*(1 + (0))</f>
      </c>
      <c r="D2018" s="21" t="s">
        <v>9</v>
      </c>
      <c r="E2018" s="21"/>
      <c r="F2018" s="21">
        <f>(0)</f>
      </c>
      <c r="G2018" s="21">
        <f>(C2018 * E2018 + C2018 * E2018 * F2018)</f>
      </c>
    </row>
    <row r="2019">
      <c r="A2019" s="3"/>
      <c r="B2019" s="11" t="s">
        <v>1644</v>
      </c>
      <c r="C2019" s="20"/>
      <c r="D2019" s="20"/>
      <c r="E2019" s="20"/>
      <c r="F2019" s="20"/>
      <c r="G2019" s="20"/>
    </row>
    <row r="2020">
      <c r="A2020" s="5"/>
      <c r="B2020" s="13" t="s">
        <v>1238</v>
      </c>
      <c r="C2020" s="22"/>
      <c r="D2020" s="22"/>
      <c r="E2020" s="22"/>
      <c r="F2020" s="22"/>
      <c r="G2020" s="22"/>
    </row>
    <row r="2021">
      <c r="A2021" s="4"/>
      <c r="B2021" s="14" t="s">
        <v>1645</v>
      </c>
      <c r="C2021" s="21">
        <f>(3)*(1)*(1)*(1)*(1 + (0))</f>
      </c>
      <c r="D2021" s="21" t="s">
        <v>170</v>
      </c>
      <c r="E2021" s="21"/>
      <c r="F2021" s="21">
        <f>(0)</f>
      </c>
      <c r="G2021" s="21">
        <f>(C2021 * E2021 + C2021 * E2021 * F2021)</f>
      </c>
    </row>
    <row r="2022">
      <c r="A2022" s="4"/>
      <c r="B2022" s="14" t="s">
        <v>1646</v>
      </c>
      <c r="C2022" s="21">
        <f>(4)*(1)*(1)*(1)*(1 + (0))</f>
      </c>
      <c r="D2022" s="21" t="s">
        <v>170</v>
      </c>
      <c r="E2022" s="21"/>
      <c r="F2022" s="21">
        <f>(0)</f>
      </c>
      <c r="G2022" s="21">
        <f>(C2022 * E2022 + C2022 * E2022 * F2022)</f>
      </c>
    </row>
    <row r="2023">
      <c r="A2023" s="4"/>
      <c r="B2023" s="14" t="s">
        <v>1647</v>
      </c>
      <c r="C2023" s="21">
        <f>(6)*(1)*(1)*(1)*(1 + (0))</f>
      </c>
      <c r="D2023" s="21" t="s">
        <v>170</v>
      </c>
      <c r="E2023" s="21"/>
      <c r="F2023" s="21">
        <f>(0)</f>
      </c>
      <c r="G2023" s="21">
        <f>(C2023 * E2023 + C2023 * E2023 * F2023)</f>
      </c>
    </row>
    <row r="2024">
      <c r="A2024" s="5"/>
      <c r="B2024" s="13" t="s">
        <v>1257</v>
      </c>
      <c r="C2024" s="22"/>
      <c r="D2024" s="22"/>
      <c r="E2024" s="22"/>
      <c r="F2024" s="22"/>
      <c r="G2024" s="22"/>
    </row>
    <row r="2025">
      <c r="A2025" s="4"/>
      <c r="B2025" s="14" t="s">
        <v>1648</v>
      </c>
      <c r="C2025" s="21">
        <f>(2)*(1)*(1)*(1)*(1 + (0))</f>
      </c>
      <c r="D2025" s="21" t="s">
        <v>170</v>
      </c>
      <c r="E2025" s="21"/>
      <c r="F2025" s="21">
        <f>(0)</f>
      </c>
      <c r="G2025" s="21">
        <f>(C2025 * E2025 + C2025 * E2025 * F2025)</f>
      </c>
    </row>
    <row r="2026">
      <c r="A2026" s="3"/>
      <c r="B2026" s="11" t="s">
        <v>1649</v>
      </c>
      <c r="C2026" s="20"/>
      <c r="D2026" s="20"/>
      <c r="E2026" s="20"/>
      <c r="F2026" s="20"/>
      <c r="G2026" s="20"/>
    </row>
    <row r="2027">
      <c r="A2027" s="5"/>
      <c r="B2027" s="13" t="s">
        <v>1238</v>
      </c>
      <c r="C2027" s="22"/>
      <c r="D2027" s="22"/>
      <c r="E2027" s="22"/>
      <c r="F2027" s="22"/>
      <c r="G2027" s="22"/>
    </row>
    <row r="2028">
      <c r="A2028" s="4"/>
      <c r="B2028" s="14" t="s">
        <v>1650</v>
      </c>
      <c r="C2028" s="21">
        <f>(19)*(1)*(1)*(1)*(1 + (0))</f>
      </c>
      <c r="D2028" s="21" t="s">
        <v>170</v>
      </c>
      <c r="E2028" s="21"/>
      <c r="F2028" s="21">
        <f>(0)</f>
      </c>
      <c r="G2028" s="21">
        <f>(C2028 * E2028 + C2028 * E2028 * F2028)</f>
      </c>
    </row>
    <row r="2029">
      <c r="A2029" s="4"/>
      <c r="B2029" s="14" t="s">
        <v>1646</v>
      </c>
      <c r="C2029" s="21">
        <f>(4)*(1)*(1)*(1)*(1 + (0))</f>
      </c>
      <c r="D2029" s="21" t="s">
        <v>170</v>
      </c>
      <c r="E2029" s="21"/>
      <c r="F2029" s="21">
        <f>(0)</f>
      </c>
      <c r="G2029" s="21">
        <f>(C2029 * E2029 + C2029 * E2029 * F2029)</f>
      </c>
    </row>
    <row r="2030">
      <c r="A2030" s="4"/>
      <c r="B2030" s="14" t="s">
        <v>1647</v>
      </c>
      <c r="C2030" s="21">
        <f>(3)*(1)*(1)*(1)*(1 + (0))</f>
      </c>
      <c r="D2030" s="21" t="s">
        <v>170</v>
      </c>
      <c r="E2030" s="21"/>
      <c r="F2030" s="21">
        <f>(0)</f>
      </c>
      <c r="G2030" s="21">
        <f>(C2030 * E2030 + C2030 * E2030 * F2030)</f>
      </c>
    </row>
    <row r="2031">
      <c r="A2031" s="4"/>
      <c r="B2031" s="14" t="s">
        <v>1651</v>
      </c>
      <c r="C2031" s="21">
        <f>(3)*(1)*(1)*(1)*(1 + (0))</f>
      </c>
      <c r="D2031" s="21" t="s">
        <v>170</v>
      </c>
      <c r="E2031" s="21"/>
      <c r="F2031" s="21">
        <f>(0)</f>
      </c>
      <c r="G2031" s="21">
        <f>(C2031 * E2031 + C2031 * E2031 * F2031)</f>
      </c>
    </row>
    <row r="2032">
      <c r="A2032" s="5"/>
      <c r="B2032" s="13" t="s">
        <v>1257</v>
      </c>
      <c r="C2032" s="22"/>
      <c r="D2032" s="22"/>
      <c r="E2032" s="22"/>
      <c r="F2032" s="22"/>
      <c r="G2032" s="22"/>
    </row>
    <row r="2033">
      <c r="A2033" s="4"/>
      <c r="B2033" s="14" t="s">
        <v>1650</v>
      </c>
      <c r="C2033" s="21">
        <f>(5)*(1)*(1)*(1)*(1 + (0))</f>
      </c>
      <c r="D2033" s="21" t="s">
        <v>170</v>
      </c>
      <c r="E2033" s="21"/>
      <c r="F2033" s="21">
        <f>(0)</f>
      </c>
      <c r="G2033" s="21">
        <f>(C2033 * E2033 + C2033 * E2033 * F2033)</f>
      </c>
    </row>
    <row r="2034">
      <c r="A2034" s="4"/>
      <c r="B2034" s="14" t="s">
        <v>1646</v>
      </c>
      <c r="C2034" s="21">
        <f>(3)*(1)*(1)*(1)*(1 + (0))</f>
      </c>
      <c r="D2034" s="21" t="s">
        <v>170</v>
      </c>
      <c r="E2034" s="21"/>
      <c r="F2034" s="21">
        <f>(0)</f>
      </c>
      <c r="G2034" s="21">
        <f>(C2034 * E2034 + C2034 * E2034 * F2034)</f>
      </c>
    </row>
    <row r="2035">
      <c r="A2035" s="2"/>
      <c r="B2035" s="10" t="s">
        <v>1652</v>
      </c>
      <c r="C2035" s="19"/>
      <c r="D2035" s="19"/>
      <c r="E2035" s="19"/>
      <c r="F2035" s="19"/>
      <c r="G2035" s="19"/>
    </row>
    <row r="2036">
      <c r="A2036" s="3"/>
      <c r="B2036" s="11" t="s">
        <v>14</v>
      </c>
      <c r="C2036" s="20"/>
      <c r="D2036" s="20"/>
      <c r="E2036" s="20"/>
      <c r="F2036" s="20"/>
      <c r="G2036" s="20"/>
    </row>
    <row r="2037">
      <c r="A2037" s="4" t="s">
        <v>1653</v>
      </c>
      <c r="B2037" s="12" t="s">
        <v>16</v>
      </c>
      <c r="C2037" s="21"/>
      <c r="D2037" s="21" t="s">
        <v>17</v>
      </c>
      <c r="E2037" s="21"/>
      <c r="F2037" s="21">
        <f>(0)</f>
      </c>
      <c r="G2037" s="21">
        <f>(C2037 * E2037 + C2037 * E2037 * F2037)</f>
      </c>
    </row>
    <row r="2038">
      <c r="A2038" s="4" t="s">
        <v>1654</v>
      </c>
      <c r="B2038" s="12" t="s">
        <v>19</v>
      </c>
      <c r="C2038" s="21"/>
      <c r="D2038" s="21" t="s">
        <v>17</v>
      </c>
      <c r="E2038" s="21"/>
      <c r="F2038" s="21">
        <f>(0)</f>
      </c>
      <c r="G2038" s="21">
        <f>(C2038 * E2038 + C2038 * E2038 * F2038)</f>
      </c>
    </row>
    <row r="2039">
      <c r="A2039" s="3"/>
      <c r="B2039" s="11" t="s">
        <v>22</v>
      </c>
      <c r="C2039" s="20"/>
      <c r="D2039" s="20"/>
      <c r="E2039" s="20"/>
      <c r="F2039" s="20"/>
      <c r="G2039" s="20"/>
    </row>
    <row r="2040">
      <c r="A2040" s="4"/>
      <c r="B2040" s="12" t="s">
        <v>1655</v>
      </c>
      <c r="C2040" s="21"/>
      <c r="D2040" s="21" t="s">
        <v>17</v>
      </c>
      <c r="E2040" s="21"/>
      <c r="F2040" s="21">
        <f>(0)</f>
      </c>
      <c r="G2040" s="21">
        <f>(C2040 * E2040 + C2040 * E2040 * F2040)</f>
      </c>
    </row>
    <row r="2041">
      <c r="A2041" s="4"/>
      <c r="B2041" s="12" t="s">
        <v>1656</v>
      </c>
      <c r="C2041" s="21"/>
      <c r="D2041" s="21" t="s">
        <v>17</v>
      </c>
      <c r="E2041" s="21"/>
      <c r="F2041" s="21">
        <f>(0)</f>
      </c>
      <c r="G2041" s="21">
        <f>(C2041 * E2041 + C2041 * E2041 * F2041)</f>
      </c>
    </row>
    <row r="2042">
      <c r="A2042" s="4"/>
      <c r="B2042" s="12" t="s">
        <v>1657</v>
      </c>
      <c r="C2042" s="21"/>
      <c r="D2042" s="21" t="s">
        <v>17</v>
      </c>
      <c r="E2042" s="21"/>
      <c r="F2042" s="21">
        <f>(0)</f>
      </c>
      <c r="G2042" s="21">
        <f>(C2042 * E2042 + C2042 * E2042 * F2042)</f>
      </c>
    </row>
    <row r="2043">
      <c r="A2043" s="4"/>
      <c r="B2043" s="12" t="s">
        <v>1658</v>
      </c>
      <c r="C2043" s="21"/>
      <c r="D2043" s="21" t="s">
        <v>17</v>
      </c>
      <c r="E2043" s="21"/>
      <c r="F2043" s="21">
        <f>(0)</f>
      </c>
      <c r="G2043" s="21">
        <f>(C2043 * E2043 + C2043 * E2043 * F2043)</f>
      </c>
    </row>
    <row r="2044">
      <c r="A2044" s="3"/>
      <c r="B2044" s="11" t="s">
        <v>24</v>
      </c>
      <c r="C2044" s="20"/>
      <c r="D2044" s="20"/>
      <c r="E2044" s="20"/>
      <c r="F2044" s="20"/>
      <c r="G2044" s="20"/>
    </row>
    <row r="2045">
      <c r="A2045" s="5"/>
      <c r="B2045" s="13" t="s">
        <v>25</v>
      </c>
      <c r="C2045" s="22"/>
      <c r="D2045" s="22"/>
      <c r="E2045" s="22"/>
      <c r="F2045" s="22"/>
      <c r="G2045" s="22"/>
    </row>
    <row r="2046">
      <c r="A2046" s="4" t="s">
        <v>1659</v>
      </c>
      <c r="B2046" s="14" t="s">
        <v>1137</v>
      </c>
      <c r="C2046" s="21"/>
      <c r="D2046" s="21" t="s">
        <v>17</v>
      </c>
      <c r="E2046" s="21"/>
      <c r="F2046" s="21">
        <f>(0)</f>
      </c>
      <c r="G2046" s="21">
        <f>(C2046 * E2046 + C2046 * E2046 * F2046)</f>
      </c>
    </row>
    <row r="2047">
      <c r="A2047" s="4" t="s">
        <v>1660</v>
      </c>
      <c r="B2047" s="14" t="s">
        <v>194</v>
      </c>
      <c r="C2047" s="21"/>
      <c r="D2047" s="21" t="s">
        <v>17</v>
      </c>
      <c r="E2047" s="21"/>
      <c r="F2047" s="21">
        <f>(0)</f>
      </c>
      <c r="G2047" s="21">
        <f>(C2047 * E2047 + C2047 * E2047 * F2047)</f>
      </c>
    </row>
    <row r="2048">
      <c r="A2048" s="3"/>
      <c r="B2048" s="11" t="s">
        <v>42</v>
      </c>
      <c r="C2048" s="20"/>
      <c r="D2048" s="20"/>
      <c r="E2048" s="20"/>
      <c r="F2048" s="20"/>
      <c r="G2048" s="20"/>
    </row>
    <row r="2049">
      <c r="A2049" s="4" t="s">
        <v>1661</v>
      </c>
      <c r="B2049" s="12" t="s">
        <v>251</v>
      </c>
      <c r="C2049" s="21">
        <f>(1)*(1)*(1)*(1)*(1 + (0))</f>
      </c>
      <c r="D2049" s="21" t="s">
        <v>45</v>
      </c>
      <c r="E2049" s="21"/>
      <c r="F2049" s="21">
        <f>(0)</f>
      </c>
      <c r="G2049" s="21">
        <f>(C2049 * E2049 + C2049 * E2049 * F2049)</f>
      </c>
    </row>
    <row r="2050">
      <c r="A2050" s="4" t="s">
        <v>1662</v>
      </c>
      <c r="B2050" s="12" t="s">
        <v>59</v>
      </c>
      <c r="C2050" s="21">
        <f>(1)*(1)*(1)*(1)*(1 + (0))</f>
      </c>
      <c r="D2050" s="21" t="s">
        <v>45</v>
      </c>
      <c r="E2050" s="21"/>
      <c r="F2050" s="21">
        <f>(0)</f>
      </c>
      <c r="G2050" s="21">
        <f>(C2050 * E2050 + C2050 * E2050 * F2050)</f>
      </c>
    </row>
    <row r="2051">
      <c r="A2051" s="4" t="s">
        <v>1663</v>
      </c>
      <c r="B2051" s="12" t="s">
        <v>1304</v>
      </c>
      <c r="C2051" s="21">
        <f>(1)*(1)*(1)*(1)*(1 + (0))</f>
      </c>
      <c r="D2051" s="21" t="s">
        <v>45</v>
      </c>
      <c r="E2051" s="21"/>
      <c r="F2051" s="21">
        <f>(0)</f>
      </c>
      <c r="G2051" s="21">
        <f>(C2051 * E2051 + C2051 * E2051 * F2051)</f>
      </c>
    </row>
    <row r="2052">
      <c r="A2052" s="4" t="s">
        <v>1664</v>
      </c>
      <c r="B2052" s="12" t="s">
        <v>832</v>
      </c>
      <c r="C2052" s="21">
        <f>(1)*(1)*(1)*(1)*(1 + (0))</f>
      </c>
      <c r="D2052" s="21" t="s">
        <v>45</v>
      </c>
      <c r="E2052" s="21"/>
      <c r="F2052" s="21">
        <f>(0)</f>
      </c>
      <c r="G2052" s="21">
        <f>(C2052 * E2052 + C2052 * E2052 * F2052)</f>
      </c>
    </row>
    <row r="2053">
      <c r="A2053" s="3"/>
      <c r="B2053" s="11" t="s">
        <v>82</v>
      </c>
      <c r="C2053" s="20"/>
      <c r="D2053" s="20"/>
      <c r="E2053" s="20"/>
      <c r="F2053" s="20"/>
      <c r="G2053" s="20"/>
    </row>
    <row r="2054">
      <c r="A2054" s="4"/>
      <c r="B2054" s="12" t="s">
        <v>1665</v>
      </c>
      <c r="C2054" s="21"/>
      <c r="D2054" s="21" t="s">
        <v>17</v>
      </c>
      <c r="E2054" s="21"/>
      <c r="F2054" s="21">
        <f>(0)</f>
      </c>
      <c r="G2054" s="21">
        <f>(C2054 * E2054 + C2054 * E2054 * F2054)</f>
      </c>
    </row>
    <row r="2055">
      <c r="A2055" s="4"/>
      <c r="B2055" s="12" t="s">
        <v>1666</v>
      </c>
      <c r="C2055" s="21"/>
      <c r="D2055" s="21" t="s">
        <v>17</v>
      </c>
      <c r="E2055" s="21"/>
      <c r="F2055" s="21">
        <f>(0)</f>
      </c>
      <c r="G2055" s="21">
        <f>(C2055 * E2055 + C2055 * E2055 * F2055)</f>
      </c>
    </row>
    <row r="2056">
      <c r="A2056" s="4"/>
      <c r="B2056" s="12" t="s">
        <v>1667</v>
      </c>
      <c r="C2056" s="21"/>
      <c r="D2056" s="21" t="s">
        <v>17</v>
      </c>
      <c r="E2056" s="21"/>
      <c r="F2056" s="21">
        <f>(0)</f>
      </c>
      <c r="G2056" s="21">
        <f>(C2056 * E2056 + C2056 * E2056 * F2056)</f>
      </c>
    </row>
    <row r="2057">
      <c r="A2057" s="3"/>
      <c r="B2057" s="11" t="s">
        <v>1668</v>
      </c>
      <c r="C2057" s="20"/>
      <c r="D2057" s="20"/>
      <c r="E2057" s="20"/>
      <c r="F2057" s="20"/>
      <c r="G2057" s="20"/>
    </row>
    <row r="2058">
      <c r="A2058" s="5"/>
      <c r="B2058" s="13" t="s">
        <v>1669</v>
      </c>
      <c r="C2058" s="22"/>
      <c r="D2058" s="22"/>
      <c r="E2058" s="22"/>
      <c r="F2058" s="22"/>
      <c r="G2058" s="22"/>
    </row>
    <row r="2059">
      <c r="A2059" s="4"/>
      <c r="B2059" s="14" t="s">
        <v>1670</v>
      </c>
      <c r="C2059" s="21">
        <f>(6)*(1)*(1)*(1)*(1 + (0))</f>
      </c>
      <c r="D2059" s="21" t="s">
        <v>170</v>
      </c>
      <c r="E2059" s="21"/>
      <c r="F2059" s="21">
        <f>(0)</f>
      </c>
      <c r="G2059" s="21">
        <f>(C2059 * E2059 + C2059 * E2059 * F2059)</f>
      </c>
    </row>
    <row r="2060">
      <c r="A2060" s="5"/>
      <c r="B2060" s="13" t="s">
        <v>1671</v>
      </c>
      <c r="C2060" s="22"/>
      <c r="D2060" s="22"/>
      <c r="E2060" s="22"/>
      <c r="F2060" s="22"/>
      <c r="G2060" s="22"/>
    </row>
    <row r="2061">
      <c r="A2061" s="4"/>
      <c r="B2061" s="14" t="s">
        <v>1672</v>
      </c>
      <c r="C2061" s="21">
        <f>(2)*(1)*(1)*(1)*(1 + (0))</f>
      </c>
      <c r="D2061" s="21" t="s">
        <v>170</v>
      </c>
      <c r="E2061" s="21"/>
      <c r="F2061" s="21">
        <f>(0)</f>
      </c>
      <c r="G2061" s="21">
        <f>(C2061 * E2061 + C2061 * E2061 * F2061)</f>
      </c>
    </row>
    <row r="2062">
      <c r="A2062" s="4"/>
      <c r="B2062" s="14" t="s">
        <v>1673</v>
      </c>
      <c r="C2062" s="21">
        <f>(5)*(1)*(1)*(1)*(1 + (0))</f>
      </c>
      <c r="D2062" s="21" t="s">
        <v>170</v>
      </c>
      <c r="E2062" s="21"/>
      <c r="F2062" s="21">
        <f>(0)</f>
      </c>
      <c r="G2062" s="21">
        <f>(C2062 * E2062 + C2062 * E2062 * F2062)</f>
      </c>
    </row>
    <row r="2063">
      <c r="A2063" s="4"/>
      <c r="B2063" s="14" t="s">
        <v>1674</v>
      </c>
      <c r="C2063" s="21">
        <f>(29)*(1)*(1)*(1)*(1 + (0))</f>
      </c>
      <c r="D2063" s="21" t="s">
        <v>170</v>
      </c>
      <c r="E2063" s="21"/>
      <c r="F2063" s="21">
        <f>(0)</f>
      </c>
      <c r="G2063" s="21">
        <f>(C2063 * E2063 + C2063 * E2063 * F2063)</f>
      </c>
    </row>
    <row r="2064">
      <c r="A2064" s="4"/>
      <c r="B2064" s="14" t="s">
        <v>1675</v>
      </c>
      <c r="C2064" s="21">
        <f>(12)*(1)*(1)*(1)*(1 + (0))</f>
      </c>
      <c r="D2064" s="21" t="s">
        <v>170</v>
      </c>
      <c r="E2064" s="21"/>
      <c r="F2064" s="21">
        <f>(0)</f>
      </c>
      <c r="G2064" s="21">
        <f>(C2064 * E2064 + C2064 * E2064 * F2064)</f>
      </c>
    </row>
    <row r="2065">
      <c r="A2065" s="4"/>
      <c r="B2065" s="14" t="s">
        <v>1676</v>
      </c>
      <c r="C2065" s="21">
        <f>(12)*(1)*(1)*(1)*(1 + (0))</f>
      </c>
      <c r="D2065" s="21" t="s">
        <v>170</v>
      </c>
      <c r="E2065" s="21"/>
      <c r="F2065" s="21">
        <f>(0)</f>
      </c>
      <c r="G2065" s="21">
        <f>(C2065 * E2065 + C2065 * E2065 * F2065)</f>
      </c>
    </row>
    <row r="2066">
      <c r="A2066" s="4"/>
      <c r="B2066" s="14" t="s">
        <v>1677</v>
      </c>
      <c r="C2066" s="21">
        <f>(4)*(1)*(1)*(1)*(1 + (0))</f>
      </c>
      <c r="D2066" s="21" t="s">
        <v>170</v>
      </c>
      <c r="E2066" s="21"/>
      <c r="F2066" s="21">
        <f>(0)</f>
      </c>
      <c r="G2066" s="21">
        <f>(C2066 * E2066 + C2066 * E2066 * F2066)</f>
      </c>
    </row>
    <row r="2067">
      <c r="A2067" s="4"/>
      <c r="B2067" s="14" t="s">
        <v>1678</v>
      </c>
      <c r="C2067" s="21">
        <f>(4)*(1)*(1)*(1)*(1 + (0))</f>
      </c>
      <c r="D2067" s="21" t="s">
        <v>170</v>
      </c>
      <c r="E2067" s="21"/>
      <c r="F2067" s="21">
        <f>(0)</f>
      </c>
      <c r="G2067" s="21">
        <f>(C2067 * E2067 + C2067 * E2067 * F2067)</f>
      </c>
    </row>
    <row r="2068">
      <c r="A2068" s="4"/>
      <c r="B2068" s="14" t="s">
        <v>1679</v>
      </c>
      <c r="C2068" s="21">
        <f>(1)*(1)*(1)*(1)*(1 + (0))</f>
      </c>
      <c r="D2068" s="21" t="s">
        <v>170</v>
      </c>
      <c r="E2068" s="21"/>
      <c r="F2068" s="21">
        <f>(0)</f>
      </c>
      <c r="G2068" s="21">
        <f>(C2068 * E2068 + C2068 * E2068 * F2068)</f>
      </c>
    </row>
    <row r="2069">
      <c r="A2069" s="4"/>
      <c r="B2069" s="14" t="s">
        <v>1680</v>
      </c>
      <c r="C2069" s="21">
        <f>(3)*(1)*(1)*(1)*(1 + (0))</f>
      </c>
      <c r="D2069" s="21" t="s">
        <v>170</v>
      </c>
      <c r="E2069" s="21"/>
      <c r="F2069" s="21">
        <f>(0)</f>
      </c>
      <c r="G2069" s="21">
        <f>(C2069 * E2069 + C2069 * E2069 * F2069)</f>
      </c>
    </row>
    <row r="2070">
      <c r="A2070" s="4"/>
      <c r="B2070" s="14" t="s">
        <v>1681</v>
      </c>
      <c r="C2070" s="21">
        <f>(12)*(1)*(1)*(1)*(1 + (0))</f>
      </c>
      <c r="D2070" s="21" t="s">
        <v>170</v>
      </c>
      <c r="E2070" s="21"/>
      <c r="F2070" s="21">
        <f>(0)</f>
      </c>
      <c r="G2070" s="21">
        <f>(C2070 * E2070 + C2070 * E2070 * F2070)</f>
      </c>
    </row>
    <row r="2071">
      <c r="A2071" s="4"/>
      <c r="B2071" s="14" t="s">
        <v>1682</v>
      </c>
      <c r="C2071" s="21">
        <f>(12)*(1)*(1)*(1)*(1 + (0))</f>
      </c>
      <c r="D2071" s="21" t="s">
        <v>170</v>
      </c>
      <c r="E2071" s="21"/>
      <c r="F2071" s="21">
        <f>(0)</f>
      </c>
      <c r="G2071" s="21">
        <f>(C2071 * E2071 + C2071 * E2071 * F2071)</f>
      </c>
    </row>
    <row r="2072">
      <c r="A2072" s="4"/>
      <c r="B2072" s="14" t="s">
        <v>1683</v>
      </c>
      <c r="C2072" s="21">
        <f>(3)*(1)*(1)*(1)*(1 + (0))</f>
      </c>
      <c r="D2072" s="21" t="s">
        <v>170</v>
      </c>
      <c r="E2072" s="21"/>
      <c r="F2072" s="21">
        <f>(0)</f>
      </c>
      <c r="G2072" s="21">
        <f>(C2072 * E2072 + C2072 * E2072 * F2072)</f>
      </c>
    </row>
    <row r="2073">
      <c r="A2073" s="4"/>
      <c r="B2073" s="14" t="s">
        <v>1684</v>
      </c>
      <c r="C2073" s="21">
        <f>(8)*(1)*(1)*(1)*(1 + (0))</f>
      </c>
      <c r="D2073" s="21" t="s">
        <v>170</v>
      </c>
      <c r="E2073" s="21"/>
      <c r="F2073" s="21">
        <f>(0)</f>
      </c>
      <c r="G2073" s="21">
        <f>(C2073 * E2073 + C2073 * E2073 * F2073)</f>
      </c>
    </row>
    <row r="2074">
      <c r="A2074" s="4"/>
      <c r="B2074" s="14" t="s">
        <v>1685</v>
      </c>
      <c r="C2074" s="21">
        <f>(8)*(1)*(1)*(1)*(1 + (0))</f>
      </c>
      <c r="D2074" s="21" t="s">
        <v>170</v>
      </c>
      <c r="E2074" s="21"/>
      <c r="F2074" s="21">
        <f>(0)</f>
      </c>
      <c r="G2074" s="21">
        <f>(C2074 * E2074 + C2074 * E2074 * F2074)</f>
      </c>
    </row>
    <row r="2075">
      <c r="A2075" s="4"/>
      <c r="B2075" s="14" t="s">
        <v>1686</v>
      </c>
      <c r="C2075" s="21">
        <f>(1)*(1)*(1)*(1)*(1 + (0))</f>
      </c>
      <c r="D2075" s="21" t="s">
        <v>170</v>
      </c>
      <c r="E2075" s="21"/>
      <c r="F2075" s="21">
        <f>(0)</f>
      </c>
      <c r="G2075" s="21">
        <f>(C2075 * E2075 + C2075 * E2075 * F2075)</f>
      </c>
    </row>
    <row r="2076">
      <c r="A2076" s="4"/>
      <c r="B2076" s="14" t="s">
        <v>1687</v>
      </c>
      <c r="C2076" s="21">
        <f>(1)*(1)*(1)*(1)*(1 + (0))</f>
      </c>
      <c r="D2076" s="21" t="s">
        <v>170</v>
      </c>
      <c r="E2076" s="21"/>
      <c r="F2076" s="21">
        <f>(0)</f>
      </c>
      <c r="G2076" s="21">
        <f>(C2076 * E2076 + C2076 * E2076 * F2076)</f>
      </c>
    </row>
    <row r="2077">
      <c r="A2077" s="4"/>
      <c r="B2077" s="14" t="s">
        <v>1688</v>
      </c>
      <c r="C2077" s="21">
        <f>(4)*(1)*(1)*(1)*(1 + (0))</f>
      </c>
      <c r="D2077" s="21" t="s">
        <v>170</v>
      </c>
      <c r="E2077" s="21"/>
      <c r="F2077" s="21">
        <f>(0)</f>
      </c>
      <c r="G2077" s="21">
        <f>(C2077 * E2077 + C2077 * E2077 * F2077)</f>
      </c>
    </row>
    <row r="2078">
      <c r="A2078" s="4"/>
      <c r="B2078" s="14" t="s">
        <v>1689</v>
      </c>
      <c r="C2078" s="21">
        <f>(4)*(1)*(1)*(1)*(1 + (0))</f>
      </c>
      <c r="D2078" s="21" t="s">
        <v>170</v>
      </c>
      <c r="E2078" s="21"/>
      <c r="F2078" s="21">
        <f>(0)</f>
      </c>
      <c r="G2078" s="21">
        <f>(C2078 * E2078 + C2078 * E2078 * F2078)</f>
      </c>
    </row>
    <row r="2079">
      <c r="A2079" s="4"/>
      <c r="B2079" s="14" t="s">
        <v>1690</v>
      </c>
      <c r="C2079" s="21">
        <f>(4)*(1)*(1)*(1)*(1 + (0))</f>
      </c>
      <c r="D2079" s="21" t="s">
        <v>170</v>
      </c>
      <c r="E2079" s="21"/>
      <c r="F2079" s="21">
        <f>(0)</f>
      </c>
      <c r="G2079" s="21">
        <f>(C2079 * E2079 + C2079 * E2079 * F2079)</f>
      </c>
    </row>
    <row r="2080">
      <c r="A2080" s="4"/>
      <c r="B2080" s="14" t="s">
        <v>1691</v>
      </c>
      <c r="C2080" s="21">
        <f>(1)*(1)*(1)*(1)*(1 + (0))</f>
      </c>
      <c r="D2080" s="21" t="s">
        <v>170</v>
      </c>
      <c r="E2080" s="21"/>
      <c r="F2080" s="21">
        <f>(0)</f>
      </c>
      <c r="G2080" s="21">
        <f>(C2080 * E2080 + C2080 * E2080 * F2080)</f>
      </c>
    </row>
    <row r="2081">
      <c r="A2081" s="4"/>
      <c r="B2081" s="14" t="s">
        <v>1692</v>
      </c>
      <c r="C2081" s="21">
        <f>(6)*(1)*(1)*(1)*(1 + (0))</f>
      </c>
      <c r="D2081" s="21" t="s">
        <v>170</v>
      </c>
      <c r="E2081" s="21"/>
      <c r="F2081" s="21">
        <f>(0)</f>
      </c>
      <c r="G2081" s="21">
        <f>(C2081 * E2081 + C2081 * E2081 * F2081)</f>
      </c>
    </row>
    <row r="2082">
      <c r="A2082" s="4"/>
      <c r="B2082" s="14" t="s">
        <v>1693</v>
      </c>
      <c r="C2082" s="21">
        <f>(1)*(1)*(1)*(1)*(1 + (0))</f>
      </c>
      <c r="D2082" s="21" t="s">
        <v>170</v>
      </c>
      <c r="E2082" s="21"/>
      <c r="F2082" s="21">
        <f>(0)</f>
      </c>
      <c r="G2082" s="21">
        <f>(C2082 * E2082 + C2082 * E2082 * F2082)</f>
      </c>
    </row>
    <row r="2083">
      <c r="A2083" s="5"/>
      <c r="B2083" s="13" t="s">
        <v>1694</v>
      </c>
      <c r="C2083" s="22"/>
      <c r="D2083" s="22"/>
      <c r="E2083" s="22"/>
      <c r="F2083" s="22"/>
      <c r="G2083" s="22"/>
    </row>
    <row r="2084">
      <c r="A2084" s="4"/>
      <c r="B2084" s="14" t="s">
        <v>1695</v>
      </c>
      <c r="C2084" s="21">
        <f>(13)*(1)*(1)*(1)*(1 + (0))</f>
      </c>
      <c r="D2084" s="21" t="s">
        <v>170</v>
      </c>
      <c r="E2084" s="21"/>
      <c r="F2084" s="21">
        <f>(0)</f>
      </c>
      <c r="G2084" s="21">
        <f>(C2084 * E2084 + C2084 * E2084 * F2084)</f>
      </c>
    </row>
    <row r="2085">
      <c r="A2085" s="4"/>
      <c r="B2085" s="14" t="s">
        <v>1696</v>
      </c>
      <c r="C2085" s="21">
        <f>(17)*(1)*(1)*(1)*(1 + (0))</f>
      </c>
      <c r="D2085" s="21" t="s">
        <v>170</v>
      </c>
      <c r="E2085" s="21"/>
      <c r="F2085" s="21">
        <f>(0)</f>
      </c>
      <c r="G2085" s="21">
        <f>(C2085 * E2085 + C2085 * E2085 * F2085)</f>
      </c>
    </row>
    <row r="2086">
      <c r="A2086" s="4"/>
      <c r="B2086" s="14" t="s">
        <v>1697</v>
      </c>
      <c r="C2086" s="21">
        <f>(17)*(1)*(1)*(1)*(1 + (0))</f>
      </c>
      <c r="D2086" s="21" t="s">
        <v>170</v>
      </c>
      <c r="E2086" s="21"/>
      <c r="F2086" s="21">
        <f>(0)</f>
      </c>
      <c r="G2086" s="21">
        <f>(C2086 * E2086 + C2086 * E2086 * F2086)</f>
      </c>
    </row>
    <row r="2087">
      <c r="A2087" s="4"/>
      <c r="B2087" s="14" t="s">
        <v>1698</v>
      </c>
      <c r="C2087" s="21">
        <f>(4)*(1)*(1)*(1)*(1 + (0))</f>
      </c>
      <c r="D2087" s="21" t="s">
        <v>170</v>
      </c>
      <c r="E2087" s="21"/>
      <c r="F2087" s="21">
        <f>(0)</f>
      </c>
      <c r="G2087" s="21">
        <f>(C2087 * E2087 + C2087 * E2087 * F2087)</f>
      </c>
    </row>
    <row r="2088">
      <c r="A2088" s="4"/>
      <c r="B2088" s="14" t="s">
        <v>1699</v>
      </c>
      <c r="C2088" s="21">
        <f>(4)*(1)*(1)*(1)*(1 + (0))</f>
      </c>
      <c r="D2088" s="21" t="s">
        <v>170</v>
      </c>
      <c r="E2088" s="21"/>
      <c r="F2088" s="21">
        <f>(0)</f>
      </c>
      <c r="G2088" s="21">
        <f>(C2088 * E2088 + C2088 * E2088 * F2088)</f>
      </c>
    </row>
    <row r="2089">
      <c r="A2089" s="4"/>
      <c r="B2089" s="14" t="s">
        <v>1700</v>
      </c>
      <c r="C2089" s="21">
        <f>(17)*(1)*(1)*(1)*(1 + (0))</f>
      </c>
      <c r="D2089" s="21" t="s">
        <v>170</v>
      </c>
      <c r="E2089" s="21"/>
      <c r="F2089" s="21">
        <f>(0)</f>
      </c>
      <c r="G2089" s="21">
        <f>(C2089 * E2089 + C2089 * E2089 * F2089)</f>
      </c>
    </row>
    <row r="2090">
      <c r="A2090" s="4"/>
      <c r="B2090" s="14" t="s">
        <v>1701</v>
      </c>
      <c r="C2090" s="21">
        <f>(4)*(1)*(1)*(1)*(1 + (0))</f>
      </c>
      <c r="D2090" s="21" t="s">
        <v>170</v>
      </c>
      <c r="E2090" s="21"/>
      <c r="F2090" s="21">
        <f>(0)</f>
      </c>
      <c r="G2090" s="21">
        <f>(C2090 * E2090 + C2090 * E2090 * F2090)</f>
      </c>
    </row>
    <row r="2091">
      <c r="A2091" s="4"/>
      <c r="B2091" s="14" t="s">
        <v>1702</v>
      </c>
      <c r="C2091" s="21">
        <f>(6)*(1)*(1)*(1)*(1 + (0))</f>
      </c>
      <c r="D2091" s="21" t="s">
        <v>170</v>
      </c>
      <c r="E2091" s="21"/>
      <c r="F2091" s="21">
        <f>(0)</f>
      </c>
      <c r="G2091" s="21">
        <f>(C2091 * E2091 + C2091 * E2091 * F2091)</f>
      </c>
    </row>
    <row r="2092">
      <c r="A2092" s="5"/>
      <c r="B2092" s="13" t="s">
        <v>1703</v>
      </c>
      <c r="C2092" s="22"/>
      <c r="D2092" s="22"/>
      <c r="E2092" s="22"/>
      <c r="F2092" s="22"/>
      <c r="G2092" s="22"/>
    </row>
    <row r="2093">
      <c r="A2093" s="4"/>
      <c r="B2093" s="14" t="s">
        <v>1704</v>
      </c>
      <c r="C2093" s="21">
        <f>(4)*(1)*(1)*(1)*(1 + (0))</f>
      </c>
      <c r="D2093" s="21" t="s">
        <v>170</v>
      </c>
      <c r="E2093" s="21"/>
      <c r="F2093" s="21">
        <f>(0)</f>
      </c>
      <c r="G2093" s="21">
        <f>(C2093 * E2093 + C2093 * E2093 * F2093)</f>
      </c>
    </row>
    <row r="2094">
      <c r="A2094" s="4"/>
      <c r="B2094" s="14" t="s">
        <v>1705</v>
      </c>
      <c r="C2094" s="21">
        <f>(5)*(1)*(1)*(1)*(1 + (0))</f>
      </c>
      <c r="D2094" s="21" t="s">
        <v>170</v>
      </c>
      <c r="E2094" s="21"/>
      <c r="F2094" s="21">
        <f>(0)</f>
      </c>
      <c r="G2094" s="21">
        <f>(C2094 * E2094 + C2094 * E2094 * F2094)</f>
      </c>
    </row>
    <row r="2095">
      <c r="A2095" s="4"/>
      <c r="B2095" s="14" t="s">
        <v>1706</v>
      </c>
      <c r="C2095" s="21">
        <f>(4)*(1)*(1)*(1)*(1 + (0))</f>
      </c>
      <c r="D2095" s="21" t="s">
        <v>170</v>
      </c>
      <c r="E2095" s="21"/>
      <c r="F2095" s="21">
        <f>(0)</f>
      </c>
      <c r="G2095" s="21">
        <f>(C2095 * E2095 + C2095 * E2095 * F2095)</f>
      </c>
    </row>
    <row r="2096">
      <c r="A2096" s="5"/>
      <c r="B2096" s="13" t="s">
        <v>1707</v>
      </c>
      <c r="C2096" s="22"/>
      <c r="D2096" s="22"/>
      <c r="E2096" s="22"/>
      <c r="F2096" s="22"/>
      <c r="G2096" s="22"/>
    </row>
    <row r="2097">
      <c r="A2097" s="4"/>
      <c r="B2097" s="14" t="s">
        <v>1708</v>
      </c>
      <c r="C2097" s="21">
        <f>(12)*(1)*(1)*(1)*(1 + (0))</f>
      </c>
      <c r="D2097" s="21" t="s">
        <v>167</v>
      </c>
      <c r="E2097" s="21"/>
      <c r="F2097" s="21">
        <f>(0)</f>
      </c>
      <c r="G2097" s="21">
        <f>(C2097 * E2097 + C2097 * E2097 * F2097)</f>
      </c>
    </row>
    <row r="2098">
      <c r="A2098" s="5"/>
      <c r="B2098" s="13" t="s">
        <v>1709</v>
      </c>
      <c r="C2098" s="22"/>
      <c r="D2098" s="22"/>
      <c r="E2098" s="22"/>
      <c r="F2098" s="22"/>
      <c r="G2098" s="22"/>
    </row>
    <row r="2099">
      <c r="A2099" s="4"/>
      <c r="B2099" s="14" t="s">
        <v>1710</v>
      </c>
      <c r="C2099" s="21">
        <f>(161)*(1)*(1)*(1)*(1 + (0))</f>
      </c>
      <c r="D2099" s="21" t="s">
        <v>9</v>
      </c>
      <c r="E2099" s="21"/>
      <c r="F2099" s="21">
        <f>(0)</f>
      </c>
      <c r="G2099" s="21">
        <f>(C2099 * E2099 + C2099 * E2099 * F2099)</f>
      </c>
    </row>
    <row r="2100">
      <c r="A2100" s="4"/>
      <c r="B2100" s="14" t="s">
        <v>1711</v>
      </c>
      <c r="C2100" s="21">
        <f>(29)*(1)*(1)*(1)*(1 + (0))</f>
      </c>
      <c r="D2100" s="21" t="s">
        <v>170</v>
      </c>
      <c r="E2100" s="21"/>
      <c r="F2100" s="21">
        <f>(0)</f>
      </c>
      <c r="G2100" s="21">
        <f>(C2100 * E2100 + C2100 * E2100 * F2100)</f>
      </c>
    </row>
    <row r="2101">
      <c r="A2101" s="4"/>
      <c r="B2101" s="14" t="s">
        <v>1712</v>
      </c>
      <c r="C2101" s="21">
        <f>(5)*(1)*(1)*(1)*(1 + (0))</f>
      </c>
      <c r="D2101" s="21" t="s">
        <v>170</v>
      </c>
      <c r="E2101" s="21"/>
      <c r="F2101" s="21">
        <f>(0)</f>
      </c>
      <c r="G2101" s="21">
        <f>(C2101 * E2101 + C2101 * E2101 * F2101)</f>
      </c>
    </row>
    <row r="2102">
      <c r="A2102" s="4"/>
      <c r="B2102" s="14" t="s">
        <v>1713</v>
      </c>
      <c r="C2102" s="21">
        <f>(6)*(1)*(1)*(1)*(1 + (0))</f>
      </c>
      <c r="D2102" s="21" t="s">
        <v>170</v>
      </c>
      <c r="E2102" s="21"/>
      <c r="F2102" s="21">
        <f>(0)</f>
      </c>
      <c r="G2102" s="21">
        <f>(C2102 * E2102 + C2102 * E2102 * F2102)</f>
      </c>
    </row>
    <row r="2103">
      <c r="A2103" s="4"/>
      <c r="B2103" s="14" t="s">
        <v>1714</v>
      </c>
      <c r="C2103" s="21">
        <f>(1)*(1)*(1)*(1)*(1 + (0))</f>
      </c>
      <c r="D2103" s="21" t="s">
        <v>170</v>
      </c>
      <c r="E2103" s="21"/>
      <c r="F2103" s="21">
        <f>(0)</f>
      </c>
      <c r="G2103" s="21">
        <f>(C2103 * E2103 + C2103 * E2103 * F2103)</f>
      </c>
    </row>
    <row r="2104">
      <c r="A2104" s="4"/>
      <c r="B2104" s="14" t="s">
        <v>1715</v>
      </c>
      <c r="C2104" s="21">
        <f>(11)*(1)*(1)*(1)*(1 + (0))</f>
      </c>
      <c r="D2104" s="21" t="s">
        <v>170</v>
      </c>
      <c r="E2104" s="21"/>
      <c r="F2104" s="21">
        <f>(0)</f>
      </c>
      <c r="G2104" s="21">
        <f>(C2104 * E2104 + C2104 * E2104 * F2104)</f>
      </c>
    </row>
    <row r="2105">
      <c r="A2105" s="5"/>
      <c r="B2105" s="13" t="s">
        <v>1716</v>
      </c>
      <c r="C2105" s="22"/>
      <c r="D2105" s="22"/>
      <c r="E2105" s="22"/>
      <c r="F2105" s="22"/>
      <c r="G2105" s="22"/>
    </row>
    <row r="2106">
      <c r="A2106" s="4"/>
      <c r="B2106" s="14" t="s">
        <v>1717</v>
      </c>
      <c r="C2106" s="21">
        <f>(23)*(1)*(1)*(1)*(1 + (0))</f>
      </c>
      <c r="D2106" s="21" t="s">
        <v>170</v>
      </c>
      <c r="E2106" s="21"/>
      <c r="F2106" s="21">
        <f>(0)</f>
      </c>
      <c r="G2106" s="21">
        <f>(C2106 * E2106 + C2106 * E2106 * F2106)</f>
      </c>
    </row>
    <row r="2107">
      <c r="A2107" s="4"/>
      <c r="B2107" s="14" t="s">
        <v>1718</v>
      </c>
      <c r="C2107" s="21">
        <f>(1)*(1)*(1)*(1)*(1 + (0))</f>
      </c>
      <c r="D2107" s="21" t="s">
        <v>170</v>
      </c>
      <c r="E2107" s="21"/>
      <c r="F2107" s="21">
        <f>(0)</f>
      </c>
      <c r="G2107" s="21">
        <f>(C2107 * E2107 + C2107 * E2107 * F2107)</f>
      </c>
    </row>
    <row r="2108">
      <c r="A2108" s="5"/>
      <c r="B2108" s="13" t="s">
        <v>989</v>
      </c>
      <c r="C2108" s="22"/>
      <c r="D2108" s="22"/>
      <c r="E2108" s="22"/>
      <c r="F2108" s="22"/>
      <c r="G2108" s="22"/>
    </row>
    <row r="2109">
      <c r="A2109" s="4"/>
      <c r="B2109" s="14" t="s">
        <v>1719</v>
      </c>
      <c r="C2109" s="21">
        <f>(2)*(1)*(1)*(1)*(1 + (0))</f>
      </c>
      <c r="D2109" s="21" t="s">
        <v>170</v>
      </c>
      <c r="E2109" s="21"/>
      <c r="F2109" s="21">
        <f>(0)</f>
      </c>
      <c r="G2109" s="21">
        <f>(C2109 * E2109 + C2109 * E2109 * F2109)</f>
      </c>
    </row>
    <row r="2110">
      <c r="A2110" s="4"/>
      <c r="B2110" s="14" t="s">
        <v>1720</v>
      </c>
      <c r="C2110" s="21">
        <f>(4)*(1)*(1)*(1)*(1 + (0))</f>
      </c>
      <c r="D2110" s="21" t="s">
        <v>170</v>
      </c>
      <c r="E2110" s="21"/>
      <c r="F2110" s="21">
        <f>(0)</f>
      </c>
      <c r="G2110" s="21">
        <f>(C2110 * E2110 + C2110 * E2110 * F2110)</f>
      </c>
    </row>
    <row r="2111">
      <c r="A2111" s="4"/>
      <c r="B2111" s="14" t="s">
        <v>1721</v>
      </c>
      <c r="C2111" s="21">
        <f>(3)*(1)*(1)*(1)*(1 + (0))</f>
      </c>
      <c r="D2111" s="21" t="s">
        <v>170</v>
      </c>
      <c r="E2111" s="21"/>
      <c r="F2111" s="21">
        <f>(0)</f>
      </c>
      <c r="G2111" s="21">
        <f>(C2111 * E2111 + C2111 * E2111 * F2111)</f>
      </c>
    </row>
    <row r="2112">
      <c r="A2112" s="4"/>
      <c r="B2112" s="14" t="s">
        <v>1722</v>
      </c>
      <c r="C2112" s="21">
        <f>(10)*(1)*(1)*(1)*(1 + (0))</f>
      </c>
      <c r="D2112" s="21" t="s">
        <v>170</v>
      </c>
      <c r="E2112" s="21"/>
      <c r="F2112" s="21">
        <f>(0)</f>
      </c>
      <c r="G2112" s="21">
        <f>(C2112 * E2112 + C2112 * E2112 * F2112)</f>
      </c>
    </row>
    <row r="2113">
      <c r="A2113" s="5"/>
      <c r="B2113" s="13" t="s">
        <v>1723</v>
      </c>
      <c r="C2113" s="22"/>
      <c r="D2113" s="22"/>
      <c r="E2113" s="22"/>
      <c r="F2113" s="22"/>
      <c r="G2113" s="22"/>
    </row>
    <row r="2114">
      <c r="A2114" s="4"/>
      <c r="B2114" s="14" t="s">
        <v>1724</v>
      </c>
      <c r="C2114" s="21">
        <f>(4)*(1)*(1)*(1)*(1 + (0))</f>
      </c>
      <c r="D2114" s="21" t="s">
        <v>170</v>
      </c>
      <c r="E2114" s="21"/>
      <c r="F2114" s="21">
        <f>(0)</f>
      </c>
      <c r="G2114" s="21">
        <f>(C2114 * E2114 + C2114 * E2114 * F2114)</f>
      </c>
    </row>
    <row r="2115">
      <c r="A2115" s="4"/>
      <c r="B2115" s="14" t="s">
        <v>1725</v>
      </c>
      <c r="C2115" s="21">
        <f>(4)*(1)*(1)*(1)*(1 + (0))</f>
      </c>
      <c r="D2115" s="21" t="s">
        <v>170</v>
      </c>
      <c r="E2115" s="21"/>
      <c r="F2115" s="21">
        <f>(0)</f>
      </c>
      <c r="G2115" s="21">
        <f>(C2115 * E2115 + C2115 * E2115 * F2115)</f>
      </c>
    </row>
    <row r="2116">
      <c r="A2116" s="4"/>
      <c r="B2116" s="14" t="s">
        <v>1726</v>
      </c>
      <c r="C2116" s="21">
        <f>(12)*(1)*(1)*(1)*(1 + (0))</f>
      </c>
      <c r="D2116" s="21" t="s">
        <v>170</v>
      </c>
      <c r="E2116" s="21"/>
      <c r="F2116" s="21">
        <f>(0)</f>
      </c>
      <c r="G2116" s="21">
        <f>(C2116 * E2116 + C2116 * E2116 * F2116)</f>
      </c>
    </row>
    <row r="2117">
      <c r="A2117" s="3"/>
      <c r="B2117" s="11" t="s">
        <v>1727</v>
      </c>
      <c r="C2117" s="20"/>
      <c r="D2117" s="20"/>
      <c r="E2117" s="20"/>
      <c r="F2117" s="20"/>
      <c r="G2117" s="20"/>
    </row>
    <row r="2118">
      <c r="A2118" s="5"/>
      <c r="B2118" s="13" t="s">
        <v>1703</v>
      </c>
      <c r="C2118" s="22"/>
      <c r="D2118" s="22"/>
      <c r="E2118" s="22"/>
      <c r="F2118" s="22"/>
      <c r="G2118" s="22"/>
    </row>
    <row r="2119">
      <c r="A2119" s="4"/>
      <c r="B2119" s="14" t="s">
        <v>1728</v>
      </c>
      <c r="C2119" s="21">
        <f>(1)*(1)*(1)*(1)*(1 + (0))</f>
      </c>
      <c r="D2119" s="21" t="s">
        <v>170</v>
      </c>
      <c r="E2119" s="21"/>
      <c r="F2119" s="21">
        <f>(0)</f>
      </c>
      <c r="G2119" s="21">
        <f>(C2119 * E2119 + C2119 * E2119 * F2119)</f>
      </c>
    </row>
    <row r="2120">
      <c r="A2120" s="4"/>
      <c r="B2120" s="14" t="s">
        <v>1729</v>
      </c>
      <c r="C2120" s="21">
        <f>(1)*(1)*(1)*(1)*(1 + (0))</f>
      </c>
      <c r="D2120" s="21" t="s">
        <v>170</v>
      </c>
      <c r="E2120" s="21"/>
      <c r="F2120" s="21">
        <f>(0)</f>
      </c>
      <c r="G2120" s="21">
        <f>(C2120 * E2120 + C2120 * E2120 * F2120)</f>
      </c>
    </row>
    <row r="2121">
      <c r="A2121" s="4"/>
      <c r="B2121" s="14" t="s">
        <v>1730</v>
      </c>
      <c r="C2121" s="21">
        <f>(4)*(1)*(1)*(1)*(1 + (0))</f>
      </c>
      <c r="D2121" s="21" t="s">
        <v>170</v>
      </c>
      <c r="E2121" s="21"/>
      <c r="F2121" s="21">
        <f>(0)</f>
      </c>
      <c r="G2121" s="21">
        <f>(C2121 * E2121 + C2121 * E2121 * F2121)</f>
      </c>
    </row>
    <row r="2122">
      <c r="A2122" s="5"/>
      <c r="B2122" s="13" t="s">
        <v>1731</v>
      </c>
      <c r="C2122" s="22"/>
      <c r="D2122" s="22"/>
      <c r="E2122" s="22"/>
      <c r="F2122" s="22"/>
      <c r="G2122" s="22"/>
    </row>
    <row r="2123">
      <c r="A2123" s="4"/>
      <c r="B2123" s="14" t="s">
        <v>1732</v>
      </c>
      <c r="C2123" s="21">
        <f>(3)*(1)*(1)*(1)*(1 + (0))</f>
      </c>
      <c r="D2123" s="21" t="s">
        <v>170</v>
      </c>
      <c r="E2123" s="21"/>
      <c r="F2123" s="21">
        <f>(0)</f>
      </c>
      <c r="G2123" s="21">
        <f>(C2123 * E2123 + C2123 * E2123 * F2123)</f>
      </c>
    </row>
    <row r="2124">
      <c r="A2124" s="3"/>
      <c r="B2124" s="11" t="s">
        <v>1733</v>
      </c>
      <c r="C2124" s="20"/>
      <c r="D2124" s="20"/>
      <c r="E2124" s="20"/>
      <c r="F2124" s="20"/>
      <c r="G2124" s="20"/>
    </row>
    <row r="2125">
      <c r="A2125" s="5"/>
      <c r="B2125" s="13" t="s">
        <v>1669</v>
      </c>
      <c r="C2125" s="22"/>
      <c r="D2125" s="22"/>
      <c r="E2125" s="22"/>
      <c r="F2125" s="22"/>
      <c r="G2125" s="22"/>
    </row>
    <row r="2126">
      <c r="A2126" s="4"/>
      <c r="B2126" s="14" t="s">
        <v>1734</v>
      </c>
      <c r="C2126" s="21">
        <f>(1)*(1)*(1)*(1)*(1 + (0))</f>
      </c>
      <c r="D2126" s="21" t="s">
        <v>170</v>
      </c>
      <c r="E2126" s="21"/>
      <c r="F2126" s="21">
        <f>(0)</f>
      </c>
      <c r="G2126" s="21">
        <f>(C2126 * E2126 + C2126 * E2126 * F2126)</f>
      </c>
    </row>
    <row r="2127">
      <c r="A2127" s="4"/>
      <c r="B2127" s="14" t="s">
        <v>1735</v>
      </c>
      <c r="C2127" s="21">
        <f>(2)*(1)*(1)*(1)*(1 + (0))</f>
      </c>
      <c r="D2127" s="21" t="s">
        <v>170</v>
      </c>
      <c r="E2127" s="21"/>
      <c r="F2127" s="21">
        <f>(0)</f>
      </c>
      <c r="G2127" s="21">
        <f>(C2127 * E2127 + C2127 * E2127 * F2127)</f>
      </c>
    </row>
    <row r="2128">
      <c r="A2128" s="4"/>
      <c r="B2128" s="14" t="s">
        <v>1736</v>
      </c>
      <c r="C2128" s="21">
        <f>(1)*(1)*(1)*(1)*(1 + (0))</f>
      </c>
      <c r="D2128" s="21" t="s">
        <v>170</v>
      </c>
      <c r="E2128" s="21"/>
      <c r="F2128" s="21">
        <f>(0)</f>
      </c>
      <c r="G2128" s="21">
        <f>(C2128 * E2128 + C2128 * E2128 * F2128)</f>
      </c>
    </row>
    <row r="2129">
      <c r="A2129" s="4"/>
      <c r="B2129" s="14" t="s">
        <v>1737</v>
      </c>
      <c r="C2129" s="21">
        <f>(2)*(1)*(1)*(1)*(1 + (0))</f>
      </c>
      <c r="D2129" s="21" t="s">
        <v>170</v>
      </c>
      <c r="E2129" s="21"/>
      <c r="F2129" s="21">
        <f>(0)</f>
      </c>
      <c r="G2129" s="21">
        <f>(C2129 * E2129 + C2129 * E2129 * F2129)</f>
      </c>
    </row>
    <row r="2130">
      <c r="A2130" s="4"/>
      <c r="B2130" s="14" t="s">
        <v>1738</v>
      </c>
      <c r="C2130" s="21">
        <f>(4)*(1)*(1)*(1)*(1 + (0))</f>
      </c>
      <c r="D2130" s="21" t="s">
        <v>170</v>
      </c>
      <c r="E2130" s="21"/>
      <c r="F2130" s="21">
        <f>(0)</f>
      </c>
      <c r="G2130" s="21">
        <f>(C2130 * E2130 + C2130 * E2130 * F2130)</f>
      </c>
    </row>
    <row r="2131">
      <c r="A2131" s="4"/>
      <c r="B2131" s="14" t="s">
        <v>1739</v>
      </c>
      <c r="C2131" s="21">
        <f>(1)*(1)*(1)*(1)*(1 + (0))</f>
      </c>
      <c r="D2131" s="21" t="s">
        <v>170</v>
      </c>
      <c r="E2131" s="21"/>
      <c r="F2131" s="21">
        <f>(0)</f>
      </c>
      <c r="G2131" s="21">
        <f>(C2131 * E2131 + C2131 * E2131 * F2131)</f>
      </c>
    </row>
    <row r="2132">
      <c r="A2132" s="4"/>
      <c r="B2132" s="14" t="s">
        <v>1740</v>
      </c>
      <c r="C2132" s="21">
        <f>(1)*(1)*(1)*(1)*(1 + (0))</f>
      </c>
      <c r="D2132" s="21" t="s">
        <v>170</v>
      </c>
      <c r="E2132" s="21"/>
      <c r="F2132" s="21">
        <f>(0)</f>
      </c>
      <c r="G2132" s="21">
        <f>(C2132 * E2132 + C2132 * E2132 * F2132)</f>
      </c>
    </row>
    <row r="2133">
      <c r="A2133" s="4"/>
      <c r="B2133" s="14" t="s">
        <v>1741</v>
      </c>
      <c r="C2133" s="21">
        <f>(1)*(1)*(1)*(1)*(1 + (0))</f>
      </c>
      <c r="D2133" s="21" t="s">
        <v>170</v>
      </c>
      <c r="E2133" s="21"/>
      <c r="F2133" s="21">
        <f>(0)</f>
      </c>
      <c r="G2133" s="21">
        <f>(C2133 * E2133 + C2133 * E2133 * F2133)</f>
      </c>
    </row>
    <row r="2134">
      <c r="A2134" s="4"/>
      <c r="B2134" s="14" t="s">
        <v>1742</v>
      </c>
      <c r="C2134" s="21">
        <f>(12)*(1)*(1)*(1)*(1 + (0))</f>
      </c>
      <c r="D2134" s="21" t="s">
        <v>170</v>
      </c>
      <c r="E2134" s="21"/>
      <c r="F2134" s="21">
        <f>(0)</f>
      </c>
      <c r="G2134" s="21">
        <f>(C2134 * E2134 + C2134 * E2134 * F2134)</f>
      </c>
    </row>
    <row r="2135">
      <c r="A2135" s="5"/>
      <c r="B2135" s="13" t="s">
        <v>1703</v>
      </c>
      <c r="C2135" s="22"/>
      <c r="D2135" s="22"/>
      <c r="E2135" s="22"/>
      <c r="F2135" s="22"/>
      <c r="G2135" s="22"/>
    </row>
    <row r="2136">
      <c r="A2136" s="4"/>
      <c r="B2136" s="14" t="s">
        <v>1728</v>
      </c>
      <c r="C2136" s="21">
        <f>(1)*(1)*(1)*(1)*(1 + (0))</f>
      </c>
      <c r="D2136" s="21" t="s">
        <v>170</v>
      </c>
      <c r="E2136" s="21"/>
      <c r="F2136" s="21">
        <f>(0)</f>
      </c>
      <c r="G2136" s="21">
        <f>(C2136 * E2136 + C2136 * E2136 * F2136)</f>
      </c>
    </row>
    <row r="2137">
      <c r="A2137" s="4"/>
      <c r="B2137" s="14" t="s">
        <v>1729</v>
      </c>
      <c r="C2137" s="21">
        <f>(1)*(1)*(1)*(1)*(1 + (0))</f>
      </c>
      <c r="D2137" s="21" t="s">
        <v>170</v>
      </c>
      <c r="E2137" s="21"/>
      <c r="F2137" s="21">
        <f>(0)</f>
      </c>
      <c r="G2137" s="21">
        <f>(C2137 * E2137 + C2137 * E2137 * F2137)</f>
      </c>
    </row>
    <row r="2138">
      <c r="A2138" s="4"/>
      <c r="B2138" s="14" t="s">
        <v>1730</v>
      </c>
      <c r="C2138" s="21">
        <f>(4)*(1)*(1)*(1)*(1 + (0))</f>
      </c>
      <c r="D2138" s="21" t="s">
        <v>170</v>
      </c>
      <c r="E2138" s="21"/>
      <c r="F2138" s="21">
        <f>(0)</f>
      </c>
      <c r="G2138" s="21">
        <f>(C2138 * E2138 + C2138 * E2138 * F2138)</f>
      </c>
    </row>
    <row r="2139">
      <c r="A2139" s="4"/>
      <c r="B2139" s="14" t="s">
        <v>1743</v>
      </c>
      <c r="C2139" s="21">
        <f>(1)*(1)*(1)*(1)*(1 + (0))</f>
      </c>
      <c r="D2139" s="21" t="s">
        <v>170</v>
      </c>
      <c r="E2139" s="21"/>
      <c r="F2139" s="21">
        <f>(0)</f>
      </c>
      <c r="G2139" s="21">
        <f>(C2139 * E2139 + C2139 * E2139 * F2139)</f>
      </c>
    </row>
    <row r="2140">
      <c r="A2140" s="4"/>
      <c r="B2140" s="14" t="s">
        <v>1744</v>
      </c>
      <c r="C2140" s="21">
        <f>(1)*(1)*(1)*(1)*(1 + (0))</f>
      </c>
      <c r="D2140" s="21" t="s">
        <v>170</v>
      </c>
      <c r="E2140" s="21"/>
      <c r="F2140" s="21">
        <f>(0)</f>
      </c>
      <c r="G2140" s="21">
        <f>(C2140 * E2140 + C2140 * E2140 * F2140)</f>
      </c>
    </row>
    <row r="2141">
      <c r="A2141" s="4"/>
      <c r="B2141" s="14" t="s">
        <v>1745</v>
      </c>
      <c r="C2141" s="21">
        <f>(1)*(1)*(1)*(1)*(1 + (0))</f>
      </c>
      <c r="D2141" s="21" t="s">
        <v>170</v>
      </c>
      <c r="E2141" s="21"/>
      <c r="F2141" s="21">
        <f>(0)</f>
      </c>
      <c r="G2141" s="21">
        <f>(C2141 * E2141 + C2141 * E2141 * F2141)</f>
      </c>
    </row>
    <row r="2142">
      <c r="A2142" s="4"/>
      <c r="B2142" s="14" t="s">
        <v>1746</v>
      </c>
      <c r="C2142" s="21">
        <f>(1)*(1)*(1)*(1)*(1 + (0))</f>
      </c>
      <c r="D2142" s="21" t="s">
        <v>170</v>
      </c>
      <c r="E2142" s="21"/>
      <c r="F2142" s="21">
        <f>(0)</f>
      </c>
      <c r="G2142" s="21">
        <f>(C2142 * E2142 + C2142 * E2142 * F2142)</f>
      </c>
    </row>
    <row r="2143">
      <c r="A2143" s="5"/>
      <c r="B2143" s="13" t="s">
        <v>1671</v>
      </c>
      <c r="C2143" s="22"/>
      <c r="D2143" s="22"/>
      <c r="E2143" s="22"/>
      <c r="F2143" s="22"/>
      <c r="G2143" s="22"/>
    </row>
    <row r="2144">
      <c r="A2144" s="4"/>
      <c r="B2144" s="14" t="s">
        <v>1747</v>
      </c>
      <c r="C2144" s="21">
        <f>(1)*(1)*(1)*(1)*(1 + (0))</f>
      </c>
      <c r="D2144" s="21" t="s">
        <v>170</v>
      </c>
      <c r="E2144" s="21"/>
      <c r="F2144" s="21">
        <f>(0)</f>
      </c>
      <c r="G2144" s="21">
        <f>(C2144 * E2144 + C2144 * E2144 * F2144)</f>
      </c>
    </row>
    <row r="2145">
      <c r="A2145" s="4"/>
      <c r="B2145" s="14" t="s">
        <v>1748</v>
      </c>
      <c r="C2145" s="21">
        <f>(1)*(1)*(1)*(1)*(1 + (0))</f>
      </c>
      <c r="D2145" s="21" t="s">
        <v>170</v>
      </c>
      <c r="E2145" s="21"/>
      <c r="F2145" s="21">
        <f>(0)</f>
      </c>
      <c r="G2145" s="21">
        <f>(C2145 * E2145 + C2145 * E2145 * F2145)</f>
      </c>
    </row>
    <row r="2146">
      <c r="A2146" s="5"/>
      <c r="B2146" s="13" t="s">
        <v>989</v>
      </c>
      <c r="C2146" s="22"/>
      <c r="D2146" s="22"/>
      <c r="E2146" s="22"/>
      <c r="F2146" s="22"/>
      <c r="G2146" s="22"/>
    </row>
    <row r="2147">
      <c r="A2147" s="4"/>
      <c r="B2147" s="14" t="s">
        <v>1749</v>
      </c>
      <c r="C2147" s="21">
        <f>(8)*(1)*(1)*(1)*(1 + (0))</f>
      </c>
      <c r="D2147" s="21" t="s">
        <v>170</v>
      </c>
      <c r="E2147" s="21"/>
      <c r="F2147" s="21">
        <f>(0)</f>
      </c>
      <c r="G2147" s="21">
        <f>(C2147 * E2147 + C2147 * E2147 * F2147)</f>
      </c>
    </row>
    <row r="2148">
      <c r="A2148" s="2"/>
      <c r="B2148" s="10" t="s">
        <v>1750</v>
      </c>
      <c r="C2148" s="19"/>
      <c r="D2148" s="19"/>
      <c r="E2148" s="19"/>
      <c r="F2148" s="19"/>
      <c r="G2148" s="19"/>
    </row>
    <row r="2149">
      <c r="A2149" s="3"/>
      <c r="B2149" s="11" t="s">
        <v>14</v>
      </c>
      <c r="C2149" s="20"/>
      <c r="D2149" s="20"/>
      <c r="E2149" s="20"/>
      <c r="F2149" s="20"/>
      <c r="G2149" s="20"/>
    </row>
    <row r="2150">
      <c r="A2150" s="4" t="s">
        <v>1653</v>
      </c>
      <c r="B2150" s="12" t="s">
        <v>16</v>
      </c>
      <c r="C2150" s="21"/>
      <c r="D2150" s="21" t="s">
        <v>17</v>
      </c>
      <c r="E2150" s="21"/>
      <c r="F2150" s="21">
        <f>(0)</f>
      </c>
      <c r="G2150" s="21">
        <f>(C2150 * E2150 + C2150 * E2150 * F2150)</f>
      </c>
    </row>
    <row r="2151">
      <c r="A2151" s="4" t="s">
        <v>1654</v>
      </c>
      <c r="B2151" s="12" t="s">
        <v>19</v>
      </c>
      <c r="C2151" s="21"/>
      <c r="D2151" s="21" t="s">
        <v>17</v>
      </c>
      <c r="E2151" s="21"/>
      <c r="F2151" s="21">
        <f>(0)</f>
      </c>
      <c r="G2151" s="21">
        <f>(C2151 * E2151 + C2151 * E2151 * F2151)</f>
      </c>
    </row>
    <row r="2152">
      <c r="A2152" s="3"/>
      <c r="B2152" s="11" t="s">
        <v>22</v>
      </c>
      <c r="C2152" s="20"/>
      <c r="D2152" s="20"/>
      <c r="E2152" s="20"/>
      <c r="F2152" s="20"/>
      <c r="G2152" s="20"/>
    </row>
    <row r="2153">
      <c r="A2153" s="4"/>
      <c r="B2153" s="12" t="s">
        <v>1655</v>
      </c>
      <c r="C2153" s="21"/>
      <c r="D2153" s="21" t="s">
        <v>17</v>
      </c>
      <c r="E2153" s="21"/>
      <c r="F2153" s="21">
        <f>(0)</f>
      </c>
      <c r="G2153" s="21">
        <f>(C2153 * E2153 + C2153 * E2153 * F2153)</f>
      </c>
    </row>
    <row r="2154">
      <c r="A2154" s="4"/>
      <c r="B2154" s="12" t="s">
        <v>1656</v>
      </c>
      <c r="C2154" s="21"/>
      <c r="D2154" s="21" t="s">
        <v>17</v>
      </c>
      <c r="E2154" s="21"/>
      <c r="F2154" s="21">
        <f>(0)</f>
      </c>
      <c r="G2154" s="21">
        <f>(C2154 * E2154 + C2154 * E2154 * F2154)</f>
      </c>
    </row>
    <row r="2155">
      <c r="A2155" s="4"/>
      <c r="B2155" s="12" t="s">
        <v>1657</v>
      </c>
      <c r="C2155" s="21"/>
      <c r="D2155" s="21" t="s">
        <v>17</v>
      </c>
      <c r="E2155" s="21"/>
      <c r="F2155" s="21">
        <f>(0)</f>
      </c>
      <c r="G2155" s="21">
        <f>(C2155 * E2155 + C2155 * E2155 * F2155)</f>
      </c>
    </row>
    <row r="2156">
      <c r="A2156" s="4"/>
      <c r="B2156" s="12" t="s">
        <v>1658</v>
      </c>
      <c r="C2156" s="21"/>
      <c r="D2156" s="21" t="s">
        <v>17</v>
      </c>
      <c r="E2156" s="21"/>
      <c r="F2156" s="21">
        <f>(0)</f>
      </c>
      <c r="G2156" s="21">
        <f>(C2156 * E2156 + C2156 * E2156 * F2156)</f>
      </c>
    </row>
    <row r="2157">
      <c r="A2157" s="3"/>
      <c r="B2157" s="11" t="s">
        <v>24</v>
      </c>
      <c r="C2157" s="20"/>
      <c r="D2157" s="20"/>
      <c r="E2157" s="20"/>
      <c r="F2157" s="20"/>
      <c r="G2157" s="20"/>
    </row>
    <row r="2158">
      <c r="A2158" s="5"/>
      <c r="B2158" s="13" t="s">
        <v>25</v>
      </c>
      <c r="C2158" s="22"/>
      <c r="D2158" s="22"/>
      <c r="E2158" s="22"/>
      <c r="F2158" s="22"/>
      <c r="G2158" s="22"/>
    </row>
    <row r="2159">
      <c r="A2159" s="4" t="s">
        <v>1659</v>
      </c>
      <c r="B2159" s="14" t="s">
        <v>1137</v>
      </c>
      <c r="C2159" s="21"/>
      <c r="D2159" s="21" t="s">
        <v>17</v>
      </c>
      <c r="E2159" s="21"/>
      <c r="F2159" s="21">
        <f>(0)</f>
      </c>
      <c r="G2159" s="21">
        <f>(C2159 * E2159 + C2159 * E2159 * F2159)</f>
      </c>
    </row>
    <row r="2160">
      <c r="A2160" s="4" t="s">
        <v>1660</v>
      </c>
      <c r="B2160" s="14" t="s">
        <v>194</v>
      </c>
      <c r="C2160" s="21"/>
      <c r="D2160" s="21" t="s">
        <v>17</v>
      </c>
      <c r="E2160" s="21"/>
      <c r="F2160" s="21">
        <f>(0)</f>
      </c>
      <c r="G2160" s="21">
        <f>(C2160 * E2160 + C2160 * E2160 * F2160)</f>
      </c>
    </row>
    <row r="2161">
      <c r="A2161" s="3"/>
      <c r="B2161" s="11" t="s">
        <v>42</v>
      </c>
      <c r="C2161" s="20"/>
      <c r="D2161" s="20"/>
      <c r="E2161" s="20"/>
      <c r="F2161" s="20"/>
      <c r="G2161" s="20"/>
    </row>
    <row r="2162">
      <c r="A2162" s="4" t="s">
        <v>1661</v>
      </c>
      <c r="B2162" s="12" t="s">
        <v>251</v>
      </c>
      <c r="C2162" s="21">
        <f>(1)*(1)*(1)*(1)*(1 + (0))</f>
      </c>
      <c r="D2162" s="21" t="s">
        <v>45</v>
      </c>
      <c r="E2162" s="21"/>
      <c r="F2162" s="21">
        <f>(0)</f>
      </c>
      <c r="G2162" s="21">
        <f>(C2162 * E2162 + C2162 * E2162 * F2162)</f>
      </c>
    </row>
    <row r="2163">
      <c r="A2163" s="4" t="s">
        <v>1662</v>
      </c>
      <c r="B2163" s="12" t="s">
        <v>59</v>
      </c>
      <c r="C2163" s="21">
        <f>(1)*(1)*(1)*(1)*(1 + (0))</f>
      </c>
      <c r="D2163" s="21" t="s">
        <v>45</v>
      </c>
      <c r="E2163" s="21"/>
      <c r="F2163" s="21">
        <f>(0)</f>
      </c>
      <c r="G2163" s="21">
        <f>(C2163 * E2163 + C2163 * E2163 * F2163)</f>
      </c>
    </row>
    <row r="2164">
      <c r="A2164" s="4" t="s">
        <v>1663</v>
      </c>
      <c r="B2164" s="12" t="s">
        <v>1304</v>
      </c>
      <c r="C2164" s="21">
        <f>(1)*(1)*(1)*(1)*(1 + (0))</f>
      </c>
      <c r="D2164" s="21" t="s">
        <v>45</v>
      </c>
      <c r="E2164" s="21"/>
      <c r="F2164" s="21">
        <f>(0)</f>
      </c>
      <c r="G2164" s="21">
        <f>(C2164 * E2164 + C2164 * E2164 * F2164)</f>
      </c>
    </row>
    <row r="2165">
      <c r="A2165" s="4" t="s">
        <v>1664</v>
      </c>
      <c r="B2165" s="12" t="s">
        <v>832</v>
      </c>
      <c r="C2165" s="21">
        <f>(1)*(1)*(1)*(1)*(1 + (0))</f>
      </c>
      <c r="D2165" s="21" t="s">
        <v>45</v>
      </c>
      <c r="E2165" s="21"/>
      <c r="F2165" s="21">
        <f>(0)</f>
      </c>
      <c r="G2165" s="21">
        <f>(C2165 * E2165 + C2165 * E2165 * F2165)</f>
      </c>
    </row>
    <row r="2166">
      <c r="A2166" s="3"/>
      <c r="B2166" s="11" t="s">
        <v>82</v>
      </c>
      <c r="C2166" s="20"/>
      <c r="D2166" s="20"/>
      <c r="E2166" s="20"/>
      <c r="F2166" s="20"/>
      <c r="G2166" s="20"/>
    </row>
    <row r="2167">
      <c r="A2167" s="4"/>
      <c r="B2167" s="12" t="s">
        <v>1665</v>
      </c>
      <c r="C2167" s="21"/>
      <c r="D2167" s="21" t="s">
        <v>17</v>
      </c>
      <c r="E2167" s="21"/>
      <c r="F2167" s="21">
        <f>(0)</f>
      </c>
      <c r="G2167" s="21">
        <f>(C2167 * E2167 + C2167 * E2167 * F2167)</f>
      </c>
    </row>
    <row r="2168">
      <c r="A2168" s="4"/>
      <c r="B2168" s="12" t="s">
        <v>1666</v>
      </c>
      <c r="C2168" s="21"/>
      <c r="D2168" s="21" t="s">
        <v>17</v>
      </c>
      <c r="E2168" s="21"/>
      <c r="F2168" s="21">
        <f>(0)</f>
      </c>
      <c r="G2168" s="21">
        <f>(C2168 * E2168 + C2168 * E2168 * F2168)</f>
      </c>
    </row>
    <row r="2169">
      <c r="A2169" s="4"/>
      <c r="B2169" s="12" t="s">
        <v>1667</v>
      </c>
      <c r="C2169" s="21"/>
      <c r="D2169" s="21" t="s">
        <v>17</v>
      </c>
      <c r="E2169" s="21"/>
      <c r="F2169" s="21">
        <f>(0)</f>
      </c>
      <c r="G2169" s="21">
        <f>(C2169 * E2169 + C2169 * E2169 * F2169)</f>
      </c>
    </row>
    <row r="2170">
      <c r="A2170" s="3"/>
      <c r="B2170" s="11" t="s">
        <v>1668</v>
      </c>
      <c r="C2170" s="20"/>
      <c r="D2170" s="20"/>
      <c r="E2170" s="20"/>
      <c r="F2170" s="20"/>
      <c r="G2170" s="20"/>
    </row>
    <row r="2171">
      <c r="A2171" s="5"/>
      <c r="B2171" s="13" t="s">
        <v>1751</v>
      </c>
      <c r="C2171" s="22"/>
      <c r="D2171" s="22"/>
      <c r="E2171" s="22"/>
      <c r="F2171" s="22"/>
      <c r="G2171" s="22"/>
    </row>
    <row r="2172">
      <c r="A2172" s="4"/>
      <c r="B2172" s="14" t="s">
        <v>1752</v>
      </c>
      <c r="C2172" s="21">
        <f>(3)*(1)*(1)*(1)*(1 + (0))</f>
      </c>
      <c r="D2172" s="21" t="s">
        <v>170</v>
      </c>
      <c r="E2172" s="21"/>
      <c r="F2172" s="21">
        <f>(0)</f>
      </c>
      <c r="G2172" s="21">
        <f>(C2172 * E2172 + C2172 * E2172 * F2172)</f>
      </c>
    </row>
    <row r="2173">
      <c r="A2173" s="4"/>
      <c r="B2173" s="14" t="s">
        <v>1753</v>
      </c>
      <c r="C2173" s="21">
        <f>(1)*(1)*(1)*(1)*(1 + (0))</f>
      </c>
      <c r="D2173" s="21" t="s">
        <v>170</v>
      </c>
      <c r="E2173" s="21"/>
      <c r="F2173" s="21">
        <f>(0)</f>
      </c>
      <c r="G2173" s="21">
        <f>(C2173 * E2173 + C2173 * E2173 * F2173)</f>
      </c>
    </row>
    <row r="2174">
      <c r="A2174" s="3"/>
      <c r="B2174" s="11" t="s">
        <v>1733</v>
      </c>
      <c r="C2174" s="20"/>
      <c r="D2174" s="20"/>
      <c r="E2174" s="20"/>
      <c r="F2174" s="20"/>
      <c r="G2174" s="20"/>
    </row>
    <row r="2175">
      <c r="A2175" s="5"/>
      <c r="B2175" s="13" t="s">
        <v>1751</v>
      </c>
      <c r="C2175" s="22"/>
      <c r="D2175" s="22"/>
      <c r="E2175" s="22"/>
      <c r="F2175" s="22"/>
      <c r="G2175" s="22"/>
    </row>
    <row r="2176">
      <c r="A2176" s="4"/>
      <c r="B2176" s="14" t="s">
        <v>1754</v>
      </c>
      <c r="C2176" s="21">
        <f>(1)*(1)*(1)*(1)*(1 + (0))</f>
      </c>
      <c r="D2176" s="21" t="s">
        <v>170</v>
      </c>
      <c r="E2176" s="21"/>
      <c r="F2176" s="21">
        <f>(0)</f>
      </c>
      <c r="G2176" s="21">
        <f>(C2176 * E2176 + C2176 * E2176 * F2176)</f>
      </c>
    </row>
    <row r="2177">
      <c r="A2177" s="4"/>
      <c r="B2177" s="14" t="s">
        <v>1755</v>
      </c>
      <c r="C2177" s="21">
        <f>(1)*(1)*(1)*(1)*(1 + (0))</f>
      </c>
      <c r="D2177" s="21" t="s">
        <v>170</v>
      </c>
      <c r="E2177" s="21"/>
      <c r="F2177" s="21">
        <f>(0)</f>
      </c>
      <c r="G2177" s="21">
        <f>(C2177 * E2177 + C2177 * E2177 * F2177)</f>
      </c>
    </row>
    <row r="2178">
      <c r="A2178" s="4"/>
      <c r="B2178" s="14" t="s">
        <v>1756</v>
      </c>
      <c r="C2178" s="21">
        <f>(2)*(1)*(1)*(1)*(1 + (0))</f>
      </c>
      <c r="D2178" s="21" t="s">
        <v>170</v>
      </c>
      <c r="E2178" s="21"/>
      <c r="F2178" s="21">
        <f>(0)</f>
      </c>
      <c r="G2178" s="21">
        <f>(C2178 * E2178 + C2178 * E2178 * F2178)</f>
      </c>
    </row>
    <row r="2179">
      <c r="A2179" s="4"/>
      <c r="B2179" s="14" t="s">
        <v>1757</v>
      </c>
      <c r="C2179" s="21">
        <f>(1)*(1)*(1)*(1)*(1 + (0))</f>
      </c>
      <c r="D2179" s="21" t="s">
        <v>170</v>
      </c>
      <c r="E2179" s="21"/>
      <c r="F2179" s="21">
        <f>(0)</f>
      </c>
      <c r="G2179" s="21">
        <f>(C2179 * E2179 + C2179 * E2179 * F2179)</f>
      </c>
    </row>
    <row r="2180">
      <c r="A2180" s="4"/>
      <c r="B2180" s="14" t="s">
        <v>1758</v>
      </c>
      <c r="C2180" s="21">
        <f>(1)*(1)*(1)*(1)*(1 + (0))</f>
      </c>
      <c r="D2180" s="21" t="s">
        <v>170</v>
      </c>
      <c r="E2180" s="21"/>
      <c r="F2180" s="21">
        <f>(0)</f>
      </c>
      <c r="G2180" s="21">
        <f>(C2180 * E2180 + C2180 * E2180 * F2180)</f>
      </c>
    </row>
    <row r="2181">
      <c r="A2181" s="4"/>
      <c r="B2181" s="14" t="s">
        <v>1759</v>
      </c>
      <c r="C2181" s="21">
        <f>(1)*(1)*(1)*(1)*(1 + (0))</f>
      </c>
      <c r="D2181" s="21" t="s">
        <v>170</v>
      </c>
      <c r="E2181" s="21"/>
      <c r="F2181" s="21">
        <f>(0)</f>
      </c>
      <c r="G2181" s="21">
        <f>(C2181 * E2181 + C2181 * E2181 * F2181)</f>
      </c>
    </row>
    <row r="2182">
      <c r="A2182" s="4"/>
      <c r="B2182" s="14" t="s">
        <v>1760</v>
      </c>
      <c r="C2182" s="21">
        <f>(2)*(1)*(1)*(1)*(1 + (0))</f>
      </c>
      <c r="D2182" s="21" t="s">
        <v>170</v>
      </c>
      <c r="E2182" s="21"/>
      <c r="F2182" s="21">
        <f>(0)</f>
      </c>
      <c r="G2182" s="21">
        <f>(C2182 * E2182 + C2182 * E2182 * F2182)</f>
      </c>
    </row>
    <row r="2183">
      <c r="A2183" s="4"/>
      <c r="B2183" s="14" t="s">
        <v>1761</v>
      </c>
      <c r="C2183" s="21">
        <f>(1)*(1)*(1)*(1)*(1 + (0))</f>
      </c>
      <c r="D2183" s="21" t="s">
        <v>170</v>
      </c>
      <c r="E2183" s="21"/>
      <c r="F2183" s="21">
        <f>(0)</f>
      </c>
      <c r="G2183" s="21">
        <f>(C2183 * E2183 + C2183 * E2183 * F2183)</f>
      </c>
    </row>
    <row r="2184">
      <c r="A2184" s="4"/>
      <c r="B2184" s="14" t="s">
        <v>1762</v>
      </c>
      <c r="C2184" s="21">
        <f>(1)*(1)*(1)*(1)*(1 + (0))</f>
      </c>
      <c r="D2184" s="21" t="s">
        <v>170</v>
      </c>
      <c r="E2184" s="21"/>
      <c r="F2184" s="21">
        <f>(0)</f>
      </c>
      <c r="G2184" s="21">
        <f>(C2184 * E2184 + C2184 * E2184 * F2184)</f>
      </c>
    </row>
    <row r="2185">
      <c r="A2185" s="4"/>
      <c r="B2185" s="14" t="s">
        <v>1763</v>
      </c>
      <c r="C2185" s="21">
        <f>(2)*(1)*(1)*(1)*(1 + (0))</f>
      </c>
      <c r="D2185" s="21" t="s">
        <v>170</v>
      </c>
      <c r="E2185" s="21"/>
      <c r="F2185" s="21">
        <f>(0)</f>
      </c>
      <c r="G2185" s="21">
        <f>(C2185 * E2185 + C2185 * E2185 * F2185)</f>
      </c>
    </row>
    <row r="2186">
      <c r="A2186" s="4"/>
      <c r="B2186" s="14" t="s">
        <v>1764</v>
      </c>
      <c r="C2186" s="21">
        <f>(2)*(1)*(1)*(1)*(1 + (0))</f>
      </c>
      <c r="D2186" s="21" t="s">
        <v>170</v>
      </c>
      <c r="E2186" s="21"/>
      <c r="F2186" s="21">
        <f>(0)</f>
      </c>
      <c r="G2186" s="21">
        <f>(C2186 * E2186 + C2186 * E2186 * F2186)</f>
      </c>
    </row>
    <row r="2187">
      <c r="A2187" s="2"/>
      <c r="B2187" s="10" t="s">
        <v>1765</v>
      </c>
      <c r="C2187" s="19"/>
      <c r="D2187" s="19"/>
      <c r="E2187" s="19"/>
      <c r="F2187" s="19"/>
      <c r="G2187" s="19"/>
    </row>
    <row r="2188">
      <c r="A2188" s="3"/>
      <c r="B2188" s="11" t="s">
        <v>14</v>
      </c>
      <c r="C2188" s="20"/>
      <c r="D2188" s="20"/>
      <c r="E2188" s="20"/>
      <c r="F2188" s="20"/>
      <c r="G2188" s="20"/>
    </row>
    <row r="2189">
      <c r="A2189" s="4" t="s">
        <v>1766</v>
      </c>
      <c r="B2189" s="12" t="s">
        <v>16</v>
      </c>
      <c r="C2189" s="21"/>
      <c r="D2189" s="21" t="s">
        <v>17</v>
      </c>
      <c r="E2189" s="21"/>
      <c r="F2189" s="21">
        <f>(0)</f>
      </c>
      <c r="G2189" s="21">
        <f>(C2189 * E2189 + C2189 * E2189 * F2189)</f>
      </c>
    </row>
    <row r="2190">
      <c r="A2190" s="4" t="s">
        <v>1767</v>
      </c>
      <c r="B2190" s="12" t="s">
        <v>19</v>
      </c>
      <c r="C2190" s="21"/>
      <c r="D2190" s="21" t="s">
        <v>17</v>
      </c>
      <c r="E2190" s="21"/>
      <c r="F2190" s="21">
        <f>(0)</f>
      </c>
      <c r="G2190" s="21">
        <f>(C2190 * E2190 + C2190 * E2190 * F2190)</f>
      </c>
    </row>
    <row r="2191">
      <c r="A2191" s="3"/>
      <c r="B2191" s="11" t="s">
        <v>22</v>
      </c>
      <c r="C2191" s="20"/>
      <c r="D2191" s="20"/>
      <c r="E2191" s="20"/>
      <c r="F2191" s="20"/>
      <c r="G2191" s="20"/>
    </row>
    <row r="2192">
      <c r="A2192" s="4"/>
      <c r="B2192" s="12" t="s">
        <v>1768</v>
      </c>
      <c r="C2192" s="21"/>
      <c r="D2192" s="21" t="s">
        <v>17</v>
      </c>
      <c r="E2192" s="21"/>
      <c r="F2192" s="21">
        <f>(0)</f>
      </c>
      <c r="G2192" s="21">
        <f>(C2192 * E2192 + C2192 * E2192 * F2192)</f>
      </c>
    </row>
    <row r="2193">
      <c r="A2193" s="4"/>
      <c r="B2193" s="12" t="s">
        <v>1769</v>
      </c>
      <c r="C2193" s="21"/>
      <c r="D2193" s="21" t="s">
        <v>17</v>
      </c>
      <c r="E2193" s="21"/>
      <c r="F2193" s="21">
        <f>(0)</f>
      </c>
      <c r="G2193" s="21">
        <f>(C2193 * E2193 + C2193 * E2193 * F2193)</f>
      </c>
    </row>
    <row r="2194">
      <c r="A2194" s="3"/>
      <c r="B2194" s="11" t="s">
        <v>24</v>
      </c>
      <c r="C2194" s="20"/>
      <c r="D2194" s="20"/>
      <c r="E2194" s="20"/>
      <c r="F2194" s="20"/>
      <c r="G2194" s="20"/>
    </row>
    <row r="2195">
      <c r="A2195" s="5"/>
      <c r="B2195" s="13" t="s">
        <v>25</v>
      </c>
      <c r="C2195" s="22"/>
      <c r="D2195" s="22"/>
      <c r="E2195" s="22"/>
      <c r="F2195" s="22"/>
      <c r="G2195" s="22"/>
    </row>
    <row r="2196">
      <c r="A2196" s="4" t="s">
        <v>1770</v>
      </c>
      <c r="B2196" s="14" t="s">
        <v>1771</v>
      </c>
      <c r="C2196" s="21"/>
      <c r="D2196" s="21" t="s">
        <v>17</v>
      </c>
      <c r="E2196" s="21"/>
      <c r="F2196" s="21">
        <f>(0)</f>
      </c>
      <c r="G2196" s="21">
        <f>(C2196 * E2196 + C2196 * E2196 * F2196)</f>
      </c>
    </row>
    <row r="2197">
      <c r="A2197" s="4" t="s">
        <v>1772</v>
      </c>
      <c r="B2197" s="14" t="s">
        <v>1773</v>
      </c>
      <c r="C2197" s="21"/>
      <c r="D2197" s="21" t="s">
        <v>17</v>
      </c>
      <c r="E2197" s="21"/>
      <c r="F2197" s="21">
        <f>(0)</f>
      </c>
      <c r="G2197" s="21">
        <f>(C2197 * E2197 + C2197 * E2197 * F2197)</f>
      </c>
    </row>
    <row r="2198">
      <c r="A2198" s="4" t="s">
        <v>1774</v>
      </c>
      <c r="B2198" s="14" t="s">
        <v>1011</v>
      </c>
      <c r="C2198" s="21"/>
      <c r="D2198" s="21" t="s">
        <v>17</v>
      </c>
      <c r="E2198" s="21"/>
      <c r="F2198" s="21">
        <f>(0)</f>
      </c>
      <c r="G2198" s="21">
        <f>(C2198 * E2198 + C2198 * E2198 * F2198)</f>
      </c>
    </row>
    <row r="2199">
      <c r="A2199" s="4" t="s">
        <v>1775</v>
      </c>
      <c r="B2199" s="14" t="s">
        <v>194</v>
      </c>
      <c r="C2199" s="21"/>
      <c r="D2199" s="21" t="s">
        <v>17</v>
      </c>
      <c r="E2199" s="21"/>
      <c r="F2199" s="21">
        <f>(0)</f>
      </c>
      <c r="G2199" s="21">
        <f>(C2199 * E2199 + C2199 * E2199 * F2199)</f>
      </c>
    </row>
    <row r="2200">
      <c r="A2200" s="3"/>
      <c r="B2200" s="11" t="s">
        <v>42</v>
      </c>
      <c r="C2200" s="20"/>
      <c r="D2200" s="20"/>
      <c r="E2200" s="20"/>
      <c r="F2200" s="20"/>
      <c r="G2200" s="20"/>
    </row>
    <row r="2201">
      <c r="A2201" s="4" t="s">
        <v>1776</v>
      </c>
      <c r="B2201" s="12" t="s">
        <v>59</v>
      </c>
      <c r="C2201" s="21">
        <f>(1)*(1)*(1)*(1)*(1 + (0))</f>
      </c>
      <c r="D2201" s="21" t="s">
        <v>45</v>
      </c>
      <c r="E2201" s="21"/>
      <c r="F2201" s="21">
        <f>(0)</f>
      </c>
      <c r="G2201" s="21">
        <f>(C2201 * E2201 + C2201 * E2201 * F2201)</f>
      </c>
    </row>
    <row r="2202">
      <c r="A2202" s="4" t="s">
        <v>1777</v>
      </c>
      <c r="B2202" s="12" t="s">
        <v>251</v>
      </c>
      <c r="C2202" s="21">
        <f>(1)*(1)*(1)*(1)*(1 + (0))</f>
      </c>
      <c r="D2202" s="21" t="s">
        <v>45</v>
      </c>
      <c r="E2202" s="21"/>
      <c r="F2202" s="21">
        <f>(0)</f>
      </c>
      <c r="G2202" s="21">
        <f>(C2202 * E2202 + C2202 * E2202 * F2202)</f>
      </c>
    </row>
    <row r="2203">
      <c r="A2203" s="4" t="s">
        <v>1778</v>
      </c>
      <c r="B2203" s="12" t="s">
        <v>207</v>
      </c>
      <c r="C2203" s="21">
        <f>(1)*(1)*(1)*(1)*(1 + (0))</f>
      </c>
      <c r="D2203" s="21" t="s">
        <v>45</v>
      </c>
      <c r="E2203" s="21"/>
      <c r="F2203" s="21">
        <f>(0)</f>
      </c>
      <c r="G2203" s="21">
        <f>(C2203 * E2203 + C2203 * E2203 * F2203)</f>
      </c>
    </row>
    <row r="2204">
      <c r="A2204" s="4" t="s">
        <v>1779</v>
      </c>
      <c r="B2204" s="12" t="s">
        <v>1183</v>
      </c>
      <c r="C2204" s="21">
        <f>(1)*(1)*(1)*(1)*(1 + (0))</f>
      </c>
      <c r="D2204" s="21" t="s">
        <v>45</v>
      </c>
      <c r="E2204" s="21"/>
      <c r="F2204" s="21">
        <f>(0)</f>
      </c>
      <c r="G2204" s="21">
        <f>(C2204 * E2204 + C2204 * E2204 * F2204)</f>
      </c>
    </row>
    <row r="2205">
      <c r="A2205" s="4" t="s">
        <v>1780</v>
      </c>
      <c r="B2205" s="12" t="s">
        <v>832</v>
      </c>
      <c r="C2205" s="21">
        <f>(1)*(1)*(1)*(1)*(1 + (0))</f>
      </c>
      <c r="D2205" s="21" t="s">
        <v>45</v>
      </c>
      <c r="E2205" s="21"/>
      <c r="F2205" s="21">
        <f>(0)</f>
      </c>
      <c r="G2205" s="21">
        <f>(C2205 * E2205 + C2205 * E2205 * F2205)</f>
      </c>
    </row>
    <row r="2206">
      <c r="A2206" s="4" t="s">
        <v>1781</v>
      </c>
      <c r="B2206" s="12" t="s">
        <v>1782</v>
      </c>
      <c r="C2206" s="21">
        <f>(1)*(1)*(1)*(1)*(1 + (0))</f>
      </c>
      <c r="D2206" s="21" t="s">
        <v>45</v>
      </c>
      <c r="E2206" s="21"/>
      <c r="F2206" s="21">
        <f>(0)</f>
      </c>
      <c r="G2206" s="21">
        <f>(C2206 * E2206 + C2206 * E2206 * F2206)</f>
      </c>
    </row>
    <row r="2207">
      <c r="A2207" s="3"/>
      <c r="B2207" s="11" t="s">
        <v>1783</v>
      </c>
      <c r="C2207" s="20"/>
      <c r="D2207" s="20"/>
      <c r="E2207" s="20"/>
      <c r="F2207" s="20"/>
      <c r="G2207" s="20"/>
    </row>
    <row r="2208">
      <c r="A2208" s="5"/>
      <c r="B2208" s="13" t="s">
        <v>1784</v>
      </c>
      <c r="C2208" s="22"/>
      <c r="D2208" s="22"/>
      <c r="E2208" s="22"/>
      <c r="F2208" s="22"/>
      <c r="G2208" s="22"/>
    </row>
    <row r="2209">
      <c r="A2209" s="4"/>
      <c r="B2209" s="14" t="s">
        <v>1785</v>
      </c>
      <c r="C2209" s="21">
        <f>(1)*(1)*(1)*(1)*(1 + (0))</f>
      </c>
      <c r="D2209" s="21" t="s">
        <v>170</v>
      </c>
      <c r="E2209" s="21"/>
      <c r="F2209" s="21">
        <f>(0)</f>
      </c>
      <c r="G2209" s="21">
        <f>(C2209 * E2209 + C2209 * E2209 * F2209)</f>
      </c>
    </row>
    <row r="2210">
      <c r="A2210" s="4"/>
      <c r="B2210" s="14" t="s">
        <v>1786</v>
      </c>
      <c r="C2210" s="21">
        <f>(1)*(1)*(1)*(1)*(1 + (0))</f>
      </c>
      <c r="D2210" s="21" t="s">
        <v>170</v>
      </c>
      <c r="E2210" s="21"/>
      <c r="F2210" s="21">
        <f>(0)</f>
      </c>
      <c r="G2210" s="21">
        <f>(C2210 * E2210 + C2210 * E2210 * F2210)</f>
      </c>
    </row>
    <row r="2211">
      <c r="A2211" s="5"/>
      <c r="B2211" s="13" t="s">
        <v>1787</v>
      </c>
      <c r="C2211" s="22"/>
      <c r="D2211" s="22"/>
      <c r="E2211" s="22"/>
      <c r="F2211" s="22"/>
      <c r="G2211" s="22"/>
    </row>
    <row r="2212">
      <c r="A2212" s="4"/>
      <c r="B2212" s="14" t="s">
        <v>1786</v>
      </c>
      <c r="C2212" s="21">
        <f>(1)*(1)*(1)*(1)*(1 + (0))</f>
      </c>
      <c r="D2212" s="21" t="s">
        <v>170</v>
      </c>
      <c r="E2212" s="21"/>
      <c r="F2212" s="21">
        <f>(0)</f>
      </c>
      <c r="G2212" s="21">
        <f>(C2212 * E2212 + C2212 * E2212 * F2212)</f>
      </c>
    </row>
    <row r="2213">
      <c r="A2213" s="5"/>
      <c r="B2213" s="13" t="s">
        <v>1788</v>
      </c>
      <c r="C2213" s="22"/>
      <c r="D2213" s="22"/>
      <c r="E2213" s="22"/>
      <c r="F2213" s="22"/>
      <c r="G2213" s="22"/>
    </row>
    <row r="2214">
      <c r="A2214" s="4"/>
      <c r="B2214" s="14" t="s">
        <v>1786</v>
      </c>
      <c r="C2214" s="21">
        <f>(1)*(1)*(1)*(1)*(1 + (0))</f>
      </c>
      <c r="D2214" s="21" t="s">
        <v>170</v>
      </c>
      <c r="E2214" s="21"/>
      <c r="F2214" s="21">
        <f>(0)</f>
      </c>
      <c r="G2214" s="21">
        <f>(C2214 * E2214 + C2214 * E2214 * F2214)</f>
      </c>
    </row>
    <row r="2215">
      <c r="A2215" s="5"/>
      <c r="B2215" s="13" t="s">
        <v>1789</v>
      </c>
      <c r="C2215" s="22"/>
      <c r="D2215" s="22"/>
      <c r="E2215" s="22"/>
      <c r="F2215" s="22"/>
      <c r="G2215" s="22"/>
    </row>
    <row r="2216">
      <c r="A2216" s="4"/>
      <c r="B2216" s="14" t="s">
        <v>1785</v>
      </c>
      <c r="C2216" s="21">
        <f>(2)*(1)*(1)*(1)*(1 + (0))</f>
      </c>
      <c r="D2216" s="21" t="s">
        <v>170</v>
      </c>
      <c r="E2216" s="21"/>
      <c r="F2216" s="21">
        <f>(0)</f>
      </c>
      <c r="G2216" s="21">
        <f>(C2216 * E2216 + C2216 * E2216 * F2216)</f>
      </c>
    </row>
    <row r="2217">
      <c r="A2217" s="4"/>
      <c r="B2217" s="14" t="s">
        <v>1786</v>
      </c>
      <c r="C2217" s="21">
        <f>(1)*(1)*(1)*(1)*(1 + (0))</f>
      </c>
      <c r="D2217" s="21" t="s">
        <v>170</v>
      </c>
      <c r="E2217" s="21"/>
      <c r="F2217" s="21">
        <f>(0)</f>
      </c>
      <c r="G2217" s="21">
        <f>(C2217 * E2217 + C2217 * E2217 * F2217)</f>
      </c>
    </row>
    <row r="2218">
      <c r="A2218" s="5"/>
      <c r="B2218" s="13" t="s">
        <v>1790</v>
      </c>
      <c r="C2218" s="22"/>
      <c r="D2218" s="22"/>
      <c r="E2218" s="22"/>
      <c r="F2218" s="22"/>
      <c r="G2218" s="22"/>
    </row>
    <row r="2219">
      <c r="A2219" s="4"/>
      <c r="B2219" s="14" t="s">
        <v>1785</v>
      </c>
      <c r="C2219" s="21">
        <f>(2)*(1)*(1)*(1)*(1 + (0))</f>
      </c>
      <c r="D2219" s="21" t="s">
        <v>170</v>
      </c>
      <c r="E2219" s="21"/>
      <c r="F2219" s="21">
        <f>(0)</f>
      </c>
      <c r="G2219" s="21">
        <f>(C2219 * E2219 + C2219 * E2219 * F2219)</f>
      </c>
    </row>
    <row r="2220">
      <c r="A2220" s="4"/>
      <c r="B2220" s="14" t="s">
        <v>1786</v>
      </c>
      <c r="C2220" s="21">
        <f>(1)*(1)*(1)*(1)*(1 + (0))</f>
      </c>
      <c r="D2220" s="21" t="s">
        <v>170</v>
      </c>
      <c r="E2220" s="21"/>
      <c r="F2220" s="21">
        <f>(0)</f>
      </c>
      <c r="G2220" s="21">
        <f>(C2220 * E2220 + C2220 * E2220 * F2220)</f>
      </c>
    </row>
    <row r="2221">
      <c r="A2221" s="5"/>
      <c r="B2221" s="13" t="s">
        <v>1791</v>
      </c>
      <c r="C2221" s="22"/>
      <c r="D2221" s="22"/>
      <c r="E2221" s="22"/>
      <c r="F2221" s="22"/>
      <c r="G2221" s="22"/>
    </row>
    <row r="2222">
      <c r="A2222" s="4"/>
      <c r="B2222" s="14" t="s">
        <v>1785</v>
      </c>
      <c r="C2222" s="21">
        <f>(1)*(1)*(1)*(1)*(1 + (0))</f>
      </c>
      <c r="D2222" s="21" t="s">
        <v>170</v>
      </c>
      <c r="E2222" s="21"/>
      <c r="F2222" s="21">
        <f>(0)</f>
      </c>
      <c r="G2222" s="21">
        <f>(C2222 * E2222 + C2222 * E2222 * F2222)</f>
      </c>
    </row>
    <row r="2223">
      <c r="A2223" s="5"/>
      <c r="B2223" s="13" t="s">
        <v>1792</v>
      </c>
      <c r="C2223" s="22"/>
      <c r="D2223" s="22"/>
      <c r="E2223" s="22"/>
      <c r="F2223" s="22"/>
      <c r="G2223" s="22"/>
    </row>
    <row r="2224">
      <c r="A2224" s="4"/>
      <c r="B2224" s="14" t="s">
        <v>1785</v>
      </c>
      <c r="C2224" s="21">
        <f>(1)*(1)*(1)*(1)*(1 + (0))</f>
      </c>
      <c r="D2224" s="21" t="s">
        <v>170</v>
      </c>
      <c r="E2224" s="21"/>
      <c r="F2224" s="21">
        <f>(0)</f>
      </c>
      <c r="G2224" s="21">
        <f>(C2224 * E2224 + C2224 * E2224 * F2224)</f>
      </c>
    </row>
    <row r="2225">
      <c r="A2225" s="5"/>
      <c r="B2225" s="13" t="s">
        <v>1793</v>
      </c>
      <c r="C2225" s="22"/>
      <c r="D2225" s="22"/>
      <c r="E2225" s="22"/>
      <c r="F2225" s="22"/>
      <c r="G2225" s="22"/>
    </row>
    <row r="2226">
      <c r="A2226" s="4"/>
      <c r="B2226" s="14" t="s">
        <v>1785</v>
      </c>
      <c r="C2226" s="21">
        <f>(1)*(1)*(1)*(1)*(1 + (0))</f>
      </c>
      <c r="D2226" s="21" t="s">
        <v>170</v>
      </c>
      <c r="E2226" s="21"/>
      <c r="F2226" s="21">
        <f>(0)</f>
      </c>
      <c r="G2226" s="21">
        <f>(C2226 * E2226 + C2226 * E2226 * F2226)</f>
      </c>
    </row>
    <row r="2227">
      <c r="A2227" s="5"/>
      <c r="B2227" s="13" t="s">
        <v>1794</v>
      </c>
      <c r="C2227" s="22"/>
      <c r="D2227" s="22"/>
      <c r="E2227" s="22"/>
      <c r="F2227" s="22"/>
      <c r="G2227" s="22"/>
    </row>
    <row r="2228">
      <c r="A2228" s="4"/>
      <c r="B2228" s="14" t="s">
        <v>1785</v>
      </c>
      <c r="C2228" s="21">
        <f>(2)*(1)*(1)*(1)*(1 + (0))</f>
      </c>
      <c r="D2228" s="21" t="s">
        <v>170</v>
      </c>
      <c r="E2228" s="21"/>
      <c r="F2228" s="21">
        <f>(0)</f>
      </c>
      <c r="G2228" s="21">
        <f>(C2228 * E2228 + C2228 * E2228 * F2228)</f>
      </c>
    </row>
    <row r="2229">
      <c r="A2229" s="5"/>
      <c r="B2229" s="13" t="s">
        <v>1795</v>
      </c>
      <c r="C2229" s="22"/>
      <c r="D2229" s="22"/>
      <c r="E2229" s="22"/>
      <c r="F2229" s="22"/>
      <c r="G2229" s="22"/>
    </row>
    <row r="2230">
      <c r="A2230" s="4"/>
      <c r="B2230" s="14" t="s">
        <v>1785</v>
      </c>
      <c r="C2230" s="21">
        <f>(1)*(1)*(1)*(1)*(1 + (0))</f>
      </c>
      <c r="D2230" s="21" t="s">
        <v>170</v>
      </c>
      <c r="E2230" s="21"/>
      <c r="F2230" s="21">
        <f>(0)</f>
      </c>
      <c r="G2230" s="21">
        <f>(C2230 * E2230 + C2230 * E2230 * F2230)</f>
      </c>
    </row>
    <row r="2231">
      <c r="A2231" s="5"/>
      <c r="B2231" s="13" t="s">
        <v>1796</v>
      </c>
      <c r="C2231" s="22"/>
      <c r="D2231" s="22"/>
      <c r="E2231" s="22"/>
      <c r="F2231" s="22"/>
      <c r="G2231" s="22"/>
    </row>
    <row r="2232">
      <c r="A2232" s="4"/>
      <c r="B2232" s="14" t="s">
        <v>1785</v>
      </c>
      <c r="C2232" s="21">
        <f>(1)*(1)*(1)*(1)*(1 + (0))</f>
      </c>
      <c r="D2232" s="21" t="s">
        <v>170</v>
      </c>
      <c r="E2232" s="21"/>
      <c r="F2232" s="21">
        <f>(0)</f>
      </c>
      <c r="G2232" s="21">
        <f>(C2232 * E2232 + C2232 * E2232 * F2232)</f>
      </c>
    </row>
    <row r="2233">
      <c r="A2233" s="5"/>
      <c r="B2233" s="13" t="s">
        <v>1797</v>
      </c>
      <c r="C2233" s="22"/>
      <c r="D2233" s="22"/>
      <c r="E2233" s="22"/>
      <c r="F2233" s="22"/>
      <c r="G2233" s="22"/>
    </row>
    <row r="2234">
      <c r="A2234" s="4"/>
      <c r="B2234" s="14" t="s">
        <v>1785</v>
      </c>
      <c r="C2234" s="21">
        <f>(1)*(1)*(1)*(1)*(1 + (0))</f>
      </c>
      <c r="D2234" s="21" t="s">
        <v>170</v>
      </c>
      <c r="E2234" s="21"/>
      <c r="F2234" s="21">
        <f>(0)</f>
      </c>
      <c r="G2234" s="21">
        <f>(C2234 * E2234 + C2234 * E2234 * F2234)</f>
      </c>
    </row>
    <row r="2235">
      <c r="A2235" s="4"/>
      <c r="B2235" s="14" t="s">
        <v>1786</v>
      </c>
      <c r="C2235" s="21">
        <f>(1)*(1)*(1)*(1)*(1 + (0))</f>
      </c>
      <c r="D2235" s="21" t="s">
        <v>170</v>
      </c>
      <c r="E2235" s="21"/>
      <c r="F2235" s="21">
        <f>(0)</f>
      </c>
      <c r="G2235" s="21">
        <f>(C2235 * E2235 + C2235 * E2235 * F2235)</f>
      </c>
    </row>
    <row r="2236">
      <c r="A2236" s="5"/>
      <c r="B2236" s="13" t="s">
        <v>1798</v>
      </c>
      <c r="C2236" s="22"/>
      <c r="D2236" s="22"/>
      <c r="E2236" s="22"/>
      <c r="F2236" s="22"/>
      <c r="G2236" s="22"/>
    </row>
    <row r="2237">
      <c r="A2237" s="4"/>
      <c r="B2237" s="14" t="s">
        <v>1785</v>
      </c>
      <c r="C2237" s="21">
        <f>(2)*(1)*(1)*(1)*(1 + (0))</f>
      </c>
      <c r="D2237" s="21" t="s">
        <v>170</v>
      </c>
      <c r="E2237" s="21"/>
      <c r="F2237" s="21">
        <f>(0)</f>
      </c>
      <c r="G2237" s="21">
        <f>(C2237 * E2237 + C2237 * E2237 * F2237)</f>
      </c>
    </row>
    <row r="2238">
      <c r="A2238" s="4"/>
      <c r="B2238" s="14" t="s">
        <v>1786</v>
      </c>
      <c r="C2238" s="21">
        <f>(1)*(1)*(1)*(1)*(1 + (0))</f>
      </c>
      <c r="D2238" s="21" t="s">
        <v>170</v>
      </c>
      <c r="E2238" s="21"/>
      <c r="F2238" s="21">
        <f>(0)</f>
      </c>
      <c r="G2238" s="21">
        <f>(C2238 * E2238 + C2238 * E2238 * F2238)</f>
      </c>
    </row>
    <row r="2239">
      <c r="A2239" s="5"/>
      <c r="B2239" s="13" t="s">
        <v>1799</v>
      </c>
      <c r="C2239" s="22"/>
      <c r="D2239" s="22"/>
      <c r="E2239" s="22"/>
      <c r="F2239" s="22"/>
      <c r="G2239" s="22"/>
    </row>
    <row r="2240">
      <c r="A2240" s="4"/>
      <c r="B2240" s="14" t="s">
        <v>1800</v>
      </c>
      <c r="C2240" s="21">
        <f>(1)*(1)*(1)*(1)*(1 + (0))</f>
      </c>
      <c r="D2240" s="21" t="s">
        <v>45</v>
      </c>
      <c r="E2240" s="21"/>
      <c r="F2240" s="21">
        <f>(0)</f>
      </c>
      <c r="G2240" s="21">
        <f>(C2240 * E2240 + C2240 * E2240 * F2240)</f>
      </c>
    </row>
    <row r="2241">
      <c r="A2241" s="3"/>
      <c r="B2241" s="11" t="s">
        <v>1801</v>
      </c>
      <c r="C2241" s="20"/>
      <c r="D2241" s="20"/>
      <c r="E2241" s="20"/>
      <c r="F2241" s="20"/>
      <c r="G2241" s="20"/>
    </row>
    <row r="2242">
      <c r="A2242" s="5"/>
      <c r="B2242" s="13" t="s">
        <v>1802</v>
      </c>
      <c r="C2242" s="22"/>
      <c r="D2242" s="22"/>
      <c r="E2242" s="22"/>
      <c r="F2242" s="22"/>
      <c r="G2242" s="22"/>
    </row>
    <row r="2243">
      <c r="A2243" s="4"/>
      <c r="B2243" s="14" t="s">
        <v>1803</v>
      </c>
      <c r="C2243" s="21"/>
      <c r="D2243" s="21"/>
      <c r="E2243" s="21"/>
      <c r="F2243" s="21">
        <f>(0)</f>
      </c>
      <c r="G2243" s="21">
        <f>(C2243 * E2243 + C2243 * E2243 * F2243)</f>
      </c>
    </row>
    <row r="2244">
      <c r="A2244" s="4"/>
      <c r="B2244" s="14" t="s">
        <v>1804</v>
      </c>
      <c r="C2244" s="21"/>
      <c r="D2244" s="21"/>
      <c r="E2244" s="21"/>
      <c r="F2244" s="21">
        <f>(0)</f>
      </c>
      <c r="G2244" s="21">
        <f>(C2244 * E2244 + C2244 * E2244 * F2244)</f>
      </c>
    </row>
    <row r="2245">
      <c r="A2245" s="2"/>
      <c r="B2245" s="10" t="s">
        <v>1805</v>
      </c>
      <c r="C2245" s="19"/>
      <c r="D2245" s="19"/>
      <c r="E2245" s="19"/>
      <c r="F2245" s="19"/>
      <c r="G2245" s="19"/>
    </row>
    <row r="2246">
      <c r="A2246" s="3"/>
      <c r="B2246" s="11" t="s">
        <v>14</v>
      </c>
      <c r="C2246" s="20"/>
      <c r="D2246" s="20"/>
      <c r="E2246" s="20"/>
      <c r="F2246" s="20"/>
      <c r="G2246" s="20"/>
    </row>
    <row r="2247">
      <c r="A2247" s="4" t="s">
        <v>1806</v>
      </c>
      <c r="B2247" s="12" t="s">
        <v>16</v>
      </c>
      <c r="C2247" s="21"/>
      <c r="D2247" s="21" t="s">
        <v>17</v>
      </c>
      <c r="E2247" s="21"/>
      <c r="F2247" s="21">
        <f>(0)</f>
      </c>
      <c r="G2247" s="21">
        <f>(C2247 * E2247 + C2247 * E2247 * F2247)</f>
      </c>
    </row>
    <row r="2248">
      <c r="A2248" s="4" t="s">
        <v>1807</v>
      </c>
      <c r="B2248" s="12" t="s">
        <v>19</v>
      </c>
      <c r="C2248" s="21"/>
      <c r="D2248" s="21" t="s">
        <v>17</v>
      </c>
      <c r="E2248" s="21"/>
      <c r="F2248" s="21">
        <f>(0)</f>
      </c>
      <c r="G2248" s="21">
        <f>(C2248 * E2248 + C2248 * E2248 * F2248)</f>
      </c>
    </row>
    <row r="2249">
      <c r="A2249" s="3"/>
      <c r="B2249" s="11" t="s">
        <v>22</v>
      </c>
      <c r="C2249" s="20"/>
      <c r="D2249" s="20"/>
      <c r="E2249" s="20"/>
      <c r="F2249" s="20"/>
      <c r="G2249" s="20"/>
    </row>
    <row r="2250">
      <c r="A2250" s="4"/>
      <c r="B2250" s="12" t="s">
        <v>1808</v>
      </c>
      <c r="C2250" s="21"/>
      <c r="D2250" s="21" t="s">
        <v>17</v>
      </c>
      <c r="E2250" s="21"/>
      <c r="F2250" s="21">
        <f>(0)</f>
      </c>
      <c r="G2250" s="21">
        <f>(C2250 * E2250 + C2250 * E2250 * F2250)</f>
      </c>
    </row>
    <row r="2251">
      <c r="A2251" s="4"/>
      <c r="B2251" s="12" t="s">
        <v>1809</v>
      </c>
      <c r="C2251" s="21"/>
      <c r="D2251" s="21" t="s">
        <v>17</v>
      </c>
      <c r="E2251" s="21"/>
      <c r="F2251" s="21">
        <f>(0)</f>
      </c>
      <c r="G2251" s="21">
        <f>(C2251 * E2251 + C2251 * E2251 * F2251)</f>
      </c>
    </row>
    <row r="2252">
      <c r="A2252" s="3"/>
      <c r="B2252" s="11" t="s">
        <v>24</v>
      </c>
      <c r="C2252" s="20"/>
      <c r="D2252" s="20"/>
      <c r="E2252" s="20"/>
      <c r="F2252" s="20"/>
      <c r="G2252" s="20"/>
    </row>
    <row r="2253">
      <c r="A2253" s="5"/>
      <c r="B2253" s="13" t="s">
        <v>25</v>
      </c>
      <c r="C2253" s="22"/>
      <c r="D2253" s="22"/>
      <c r="E2253" s="22"/>
      <c r="F2253" s="22"/>
      <c r="G2253" s="22"/>
    </row>
    <row r="2254">
      <c r="A2254" s="4" t="s">
        <v>1810</v>
      </c>
      <c r="B2254" s="14" t="s">
        <v>1297</v>
      </c>
      <c r="C2254" s="21"/>
      <c r="D2254" s="21" t="s">
        <v>17</v>
      </c>
      <c r="E2254" s="21"/>
      <c r="F2254" s="21">
        <f>(0)</f>
      </c>
      <c r="G2254" s="21">
        <f>(C2254 * E2254 + C2254 * E2254 * F2254)</f>
      </c>
    </row>
    <row r="2255">
      <c r="A2255" s="4" t="s">
        <v>1811</v>
      </c>
      <c r="B2255" s="14" t="s">
        <v>1298</v>
      </c>
      <c r="C2255" s="21"/>
      <c r="D2255" s="21" t="s">
        <v>17</v>
      </c>
      <c r="E2255" s="21"/>
      <c r="F2255" s="21">
        <f>(0)</f>
      </c>
      <c r="G2255" s="21">
        <f>(C2255 * E2255 + C2255 * E2255 * F2255)</f>
      </c>
    </row>
    <row r="2256">
      <c r="A2256" s="4" t="s">
        <v>1812</v>
      </c>
      <c r="B2256" s="14" t="s">
        <v>1137</v>
      </c>
      <c r="C2256" s="21"/>
      <c r="D2256" s="21" t="s">
        <v>17</v>
      </c>
      <c r="E2256" s="21"/>
      <c r="F2256" s="21">
        <f>(0)</f>
      </c>
      <c r="G2256" s="21">
        <f>(C2256 * E2256 + C2256 * E2256 * F2256)</f>
      </c>
    </row>
    <row r="2257">
      <c r="A2257" s="4" t="s">
        <v>1813</v>
      </c>
      <c r="B2257" s="14" t="s">
        <v>1814</v>
      </c>
      <c r="C2257" s="21"/>
      <c r="D2257" s="21" t="s">
        <v>17</v>
      </c>
      <c r="E2257" s="21"/>
      <c r="F2257" s="21">
        <f>(0)</f>
      </c>
      <c r="G2257" s="21">
        <f>(C2257 * E2257 + C2257 * E2257 * F2257)</f>
      </c>
    </row>
    <row r="2258">
      <c r="A2258" s="4" t="s">
        <v>1815</v>
      </c>
      <c r="B2258" s="14" t="s">
        <v>1816</v>
      </c>
      <c r="C2258" s="21"/>
      <c r="D2258" s="21" t="s">
        <v>17</v>
      </c>
      <c r="E2258" s="21"/>
      <c r="F2258" s="21">
        <f>(0)</f>
      </c>
      <c r="G2258" s="21">
        <f>(C2258 * E2258 + C2258 * E2258 * F2258)</f>
      </c>
    </row>
    <row r="2259">
      <c r="A2259" s="4" t="s">
        <v>1817</v>
      </c>
      <c r="B2259" s="14" t="s">
        <v>194</v>
      </c>
      <c r="C2259" s="21"/>
      <c r="D2259" s="21" t="s">
        <v>17</v>
      </c>
      <c r="E2259" s="21"/>
      <c r="F2259" s="21">
        <f>(0)</f>
      </c>
      <c r="G2259" s="21">
        <f>(C2259 * E2259 + C2259 * E2259 * F2259)</f>
      </c>
    </row>
    <row r="2260">
      <c r="A2260" s="3"/>
      <c r="B2260" s="11" t="s">
        <v>42</v>
      </c>
      <c r="C2260" s="20"/>
      <c r="D2260" s="20"/>
      <c r="E2260" s="20"/>
      <c r="F2260" s="20"/>
      <c r="G2260" s="20"/>
    </row>
    <row r="2261">
      <c r="A2261" s="4" t="s">
        <v>1818</v>
      </c>
      <c r="B2261" s="12" t="s">
        <v>59</v>
      </c>
      <c r="C2261" s="21">
        <f>(1)*(1)*(1)*(1)*(1 + (0))</f>
      </c>
      <c r="D2261" s="21" t="s">
        <v>45</v>
      </c>
      <c r="E2261" s="21"/>
      <c r="F2261" s="21">
        <f>(0)</f>
      </c>
      <c r="G2261" s="21">
        <f>(C2261 * E2261 + C2261 * E2261 * F2261)</f>
      </c>
    </row>
    <row r="2262">
      <c r="A2262" s="4" t="s">
        <v>1819</v>
      </c>
      <c r="B2262" s="12" t="s">
        <v>1476</v>
      </c>
      <c r="C2262" s="21">
        <f>(1)*(1)*(1)*(1)*(1 + (0))</f>
      </c>
      <c r="D2262" s="21" t="s">
        <v>45</v>
      </c>
      <c r="E2262" s="21"/>
      <c r="F2262" s="21">
        <f>(0)</f>
      </c>
      <c r="G2262" s="21">
        <f>(C2262 * E2262 + C2262 * E2262 * F2262)</f>
      </c>
    </row>
    <row r="2263">
      <c r="A2263" s="4" t="s">
        <v>1820</v>
      </c>
      <c r="B2263" s="12" t="s">
        <v>1821</v>
      </c>
      <c r="C2263" s="21">
        <f>(1)*(1)*(1)*(1)*(1 + (0))</f>
      </c>
      <c r="D2263" s="21" t="s">
        <v>45</v>
      </c>
      <c r="E2263" s="21"/>
      <c r="F2263" s="21">
        <f>(0)</f>
      </c>
      <c r="G2263" s="21">
        <f>(C2263 * E2263 + C2263 * E2263 * F2263)</f>
      </c>
    </row>
    <row r="2264">
      <c r="A2264" s="4" t="s">
        <v>1822</v>
      </c>
      <c r="B2264" s="12" t="s">
        <v>1531</v>
      </c>
      <c r="C2264" s="21">
        <f>(1)*(1)*(1)*(1)*(1 + (0))</f>
      </c>
      <c r="D2264" s="21" t="s">
        <v>45</v>
      </c>
      <c r="E2264" s="21"/>
      <c r="F2264" s="21">
        <f>(0)</f>
      </c>
      <c r="G2264" s="21">
        <f>(C2264 * E2264 + C2264 * E2264 * F2264)</f>
      </c>
    </row>
    <row r="2265">
      <c r="A2265" s="4" t="s">
        <v>1823</v>
      </c>
      <c r="B2265" s="12" t="s">
        <v>1019</v>
      </c>
      <c r="C2265" s="21">
        <f>(1)*(1)*(1)*(1)*(1 + (0))</f>
      </c>
      <c r="D2265" s="21" t="s">
        <v>45</v>
      </c>
      <c r="E2265" s="21"/>
      <c r="F2265" s="21">
        <f>(0)</f>
      </c>
      <c r="G2265" s="21">
        <f>(C2265 * E2265 + C2265 * E2265 * F2265)</f>
      </c>
    </row>
    <row r="2266">
      <c r="A2266" s="4" t="s">
        <v>1824</v>
      </c>
      <c r="B2266" s="12" t="s">
        <v>832</v>
      </c>
      <c r="C2266" s="21">
        <f>(1)*(1)*(1)*(1)*(1 + (0))</f>
      </c>
      <c r="D2266" s="21" t="s">
        <v>45</v>
      </c>
      <c r="E2266" s="21"/>
      <c r="F2266" s="21">
        <f>(0)</f>
      </c>
      <c r="G2266" s="21">
        <f>(C2266 * E2266 + C2266 * E2266 * F2266)</f>
      </c>
    </row>
    <row r="2267">
      <c r="A2267" s="3"/>
      <c r="B2267" s="11" t="s">
        <v>1825</v>
      </c>
      <c r="C2267" s="20"/>
      <c r="D2267" s="20"/>
      <c r="E2267" s="20"/>
      <c r="F2267" s="20"/>
      <c r="G2267" s="20"/>
    </row>
    <row r="2268">
      <c r="A2268" s="4"/>
      <c r="B2268" s="12" t="s">
        <v>1826</v>
      </c>
      <c r="C2268" s="21"/>
      <c r="D2268" s="21" t="s">
        <v>1035</v>
      </c>
      <c r="E2268" s="21"/>
      <c r="F2268" s="21">
        <f>(0)</f>
      </c>
      <c r="G2268" s="21">
        <f>(C2268 * E2268 + C2268 * E2268 * F2268)</f>
      </c>
    </row>
    <row r="2269">
      <c r="A2269" s="4"/>
      <c r="B2269" s="12" t="s">
        <v>1827</v>
      </c>
      <c r="C2269" s="21"/>
      <c r="D2269" s="21" t="s">
        <v>1035</v>
      </c>
      <c r="E2269" s="21"/>
      <c r="F2269" s="21">
        <f>(0)</f>
      </c>
      <c r="G2269" s="21">
        <f>(C2269 * E2269 + C2269 * E2269 * F2269)</f>
      </c>
    </row>
    <row r="2270">
      <c r="A2270" s="4"/>
      <c r="B2270" s="12" t="s">
        <v>1828</v>
      </c>
      <c r="C2270" s="21"/>
      <c r="D2270" s="21" t="s">
        <v>1035</v>
      </c>
      <c r="E2270" s="21"/>
      <c r="F2270" s="21">
        <f>(0)</f>
      </c>
      <c r="G2270" s="21">
        <f>(C2270 * E2270 + C2270 * E2270 * F2270)</f>
      </c>
    </row>
    <row r="2271">
      <c r="A2271" s="4"/>
      <c r="B2271" s="12" t="s">
        <v>1829</v>
      </c>
      <c r="C2271" s="21"/>
      <c r="D2271" s="21" t="s">
        <v>1035</v>
      </c>
      <c r="E2271" s="21"/>
      <c r="F2271" s="21">
        <f>(0)</f>
      </c>
      <c r="G2271" s="21">
        <f>(C2271 * E2271 + C2271 * E2271 * F2271)</f>
      </c>
    </row>
    <row r="2272">
      <c r="A2272" s="3"/>
      <c r="B2272" s="11" t="s">
        <v>1830</v>
      </c>
      <c r="C2272" s="20"/>
      <c r="D2272" s="20"/>
      <c r="E2272" s="20"/>
      <c r="F2272" s="20"/>
      <c r="G2272" s="20"/>
    </row>
    <row r="2273">
      <c r="A2273" s="4"/>
      <c r="B2273" s="12" t="s">
        <v>1831</v>
      </c>
      <c r="C2273" s="21">
        <f>(6)*(1)*(1)*(1)*(1 + (0))</f>
      </c>
      <c r="D2273" s="21" t="s">
        <v>170</v>
      </c>
      <c r="E2273" s="21"/>
      <c r="F2273" s="21">
        <f>(0)</f>
      </c>
      <c r="G2273" s="21">
        <f>(C2273 * E2273 + C2273 * E2273 * F2273)</f>
      </c>
    </row>
    <row r="2274">
      <c r="A2274" s="4"/>
      <c r="B2274" s="12" t="s">
        <v>1832</v>
      </c>
      <c r="C2274" s="21">
        <f>(1)*(1)*(1)*(1)*(1 + (0))</f>
      </c>
      <c r="D2274" s="21" t="s">
        <v>170</v>
      </c>
      <c r="E2274" s="21"/>
      <c r="F2274" s="21">
        <f>(0)</f>
      </c>
      <c r="G2274" s="21">
        <f>(C2274 * E2274 + C2274 * E2274 * F2274)</f>
      </c>
    </row>
    <row r="2275">
      <c r="A2275" s="4"/>
      <c r="B2275" s="12" t="s">
        <v>1833</v>
      </c>
      <c r="C2275" s="21">
        <f>(1)*(1)*(1)*(1)*(1 + (0))</f>
      </c>
      <c r="D2275" s="21" t="s">
        <v>170</v>
      </c>
      <c r="E2275" s="21"/>
      <c r="F2275" s="21">
        <f>(0)</f>
      </c>
      <c r="G2275" s="21">
        <f>(C2275 * E2275 + C2275 * E2275 * F2275)</f>
      </c>
    </row>
    <row r="2276">
      <c r="A2276" s="4"/>
      <c r="B2276" s="12" t="s">
        <v>1834</v>
      </c>
      <c r="C2276" s="21">
        <f>(1)*(1)*(1)*(1)*(1 + (0))</f>
      </c>
      <c r="D2276" s="21" t="s">
        <v>170</v>
      </c>
      <c r="E2276" s="21"/>
      <c r="F2276" s="21">
        <f>(0)</f>
      </c>
      <c r="G2276" s="21">
        <f>(C2276 * E2276 + C2276 * E2276 * F2276)</f>
      </c>
    </row>
    <row r="2277">
      <c r="A2277" s="4"/>
      <c r="B2277" s="12" t="s">
        <v>1835</v>
      </c>
      <c r="C2277" s="21">
        <f>(1)*(1)*(1)*(1)*(1 + (0))</f>
      </c>
      <c r="D2277" s="21" t="s">
        <v>170</v>
      </c>
      <c r="E2277" s="21"/>
      <c r="F2277" s="21">
        <f>(0)</f>
      </c>
      <c r="G2277" s="21">
        <f>(C2277 * E2277 + C2277 * E2277 * F2277)</f>
      </c>
    </row>
    <row r="2278">
      <c r="A2278" s="4"/>
      <c r="B2278" s="12" t="s">
        <v>1836</v>
      </c>
      <c r="C2278" s="21">
        <f>(1)*(1)*(1)*(1)*(1 + (0))</f>
      </c>
      <c r="D2278" s="21" t="s">
        <v>170</v>
      </c>
      <c r="E2278" s="21"/>
      <c r="F2278" s="21">
        <f>(0)</f>
      </c>
      <c r="G2278" s="21">
        <f>(C2278 * E2278 + C2278 * E2278 * F2278)</f>
      </c>
    </row>
    <row r="2279">
      <c r="A2279" s="4"/>
      <c r="B2279" s="12" t="s">
        <v>1837</v>
      </c>
      <c r="C2279" s="21">
        <f>(3)*(1)*(1)*(1)*(1 + (0))</f>
      </c>
      <c r="D2279" s="21" t="s">
        <v>170</v>
      </c>
      <c r="E2279" s="21"/>
      <c r="F2279" s="21">
        <f>(0)</f>
      </c>
      <c r="G2279" s="21">
        <f>(C2279 * E2279 + C2279 * E2279 * F2279)</f>
      </c>
    </row>
    <row r="2280">
      <c r="A2280" s="4"/>
      <c r="B2280" s="12" t="s">
        <v>1838</v>
      </c>
      <c r="C2280" s="21">
        <f>(1)*(1)*(1)*(1)*(1 + (0))</f>
      </c>
      <c r="D2280" s="21" t="s">
        <v>170</v>
      </c>
      <c r="E2280" s="21"/>
      <c r="F2280" s="21">
        <f>(0)</f>
      </c>
      <c r="G2280" s="21">
        <f>(C2280 * E2280 + C2280 * E2280 * F2280)</f>
      </c>
    </row>
    <row r="2281">
      <c r="A2281" s="4"/>
      <c r="B2281" s="12" t="s">
        <v>1839</v>
      </c>
      <c r="C2281" s="21">
        <f>(3)*(1)*(1)*(1)*(1 + (0))</f>
      </c>
      <c r="D2281" s="21" t="s">
        <v>170</v>
      </c>
      <c r="E2281" s="21"/>
      <c r="F2281" s="21">
        <f>(0)</f>
      </c>
      <c r="G2281" s="21">
        <f>(C2281 * E2281 + C2281 * E2281 * F2281)</f>
      </c>
    </row>
    <row r="2282">
      <c r="A2282" s="4"/>
      <c r="B2282" s="12" t="s">
        <v>1840</v>
      </c>
      <c r="C2282" s="21">
        <f>(1)*(1)*(1)*(1)*(1 + (0))</f>
      </c>
      <c r="D2282" s="21" t="s">
        <v>170</v>
      </c>
      <c r="E2282" s="21"/>
      <c r="F2282" s="21">
        <f>(0)</f>
      </c>
      <c r="G2282" s="21">
        <f>(C2282 * E2282 + C2282 * E2282 * F2282)</f>
      </c>
    </row>
    <row r="2283">
      <c r="A2283" s="4"/>
      <c r="B2283" s="12" t="s">
        <v>1841</v>
      </c>
      <c r="C2283" s="21">
        <f>(1)*(1)*(1)*(1)*(1 + (0))</f>
      </c>
      <c r="D2283" s="21" t="s">
        <v>170</v>
      </c>
      <c r="E2283" s="21"/>
      <c r="F2283" s="21">
        <f>(0)</f>
      </c>
      <c r="G2283" s="21">
        <f>(C2283 * E2283 + C2283 * E2283 * F2283)</f>
      </c>
    </row>
    <row r="2284">
      <c r="A2284" s="4"/>
      <c r="B2284" s="12" t="s">
        <v>1842</v>
      </c>
      <c r="C2284" s="21">
        <f>(32)*(1)*(1)*(1)*(1 + (0))</f>
      </c>
      <c r="D2284" s="21" t="s">
        <v>170</v>
      </c>
      <c r="E2284" s="21"/>
      <c r="F2284" s="21">
        <f>(0)</f>
      </c>
      <c r="G2284" s="21">
        <f>(C2284 * E2284 + C2284 * E2284 * F2284)</f>
      </c>
    </row>
    <row r="2285">
      <c r="A2285" s="4"/>
      <c r="B2285" s="12" t="s">
        <v>1843</v>
      </c>
      <c r="C2285" s="21">
        <f>(6)*(1)*(1)*(1)*(1 + (0))</f>
      </c>
      <c r="D2285" s="21" t="s">
        <v>170</v>
      </c>
      <c r="E2285" s="21"/>
      <c r="F2285" s="21">
        <f>(0)</f>
      </c>
      <c r="G2285" s="21">
        <f>(C2285 * E2285 + C2285 * E2285 * F2285)</f>
      </c>
    </row>
    <row r="2286">
      <c r="A2286" s="4"/>
      <c r="B2286" s="12" t="s">
        <v>1844</v>
      </c>
      <c r="C2286" s="21">
        <f>(1)*(1)*(1)*(1)*(1 + (0))</f>
      </c>
      <c r="D2286" s="21" t="s">
        <v>170</v>
      </c>
      <c r="E2286" s="21"/>
      <c r="F2286" s="21">
        <f>(0)</f>
      </c>
      <c r="G2286" s="21">
        <f>(C2286 * E2286 + C2286 * E2286 * F2286)</f>
      </c>
    </row>
    <row r="2287">
      <c r="A2287" s="4"/>
      <c r="B2287" s="12" t="s">
        <v>1845</v>
      </c>
      <c r="C2287" s="21">
        <f>(5)*(1)*(1)*(1)*(1 + (0))</f>
      </c>
      <c r="D2287" s="21" t="s">
        <v>170</v>
      </c>
      <c r="E2287" s="21"/>
      <c r="F2287" s="21">
        <f>(0)</f>
      </c>
      <c r="G2287" s="21">
        <f>(C2287 * E2287 + C2287 * E2287 * F2287)</f>
      </c>
    </row>
    <row r="2288">
      <c r="A2288" s="4"/>
      <c r="B2288" s="12" t="s">
        <v>1846</v>
      </c>
      <c r="C2288" s="21">
        <f>(1)*(1)*(1)*(1)*(1 + (0))</f>
      </c>
      <c r="D2288" s="21" t="s">
        <v>170</v>
      </c>
      <c r="E2288" s="21"/>
      <c r="F2288" s="21">
        <f>(0)</f>
      </c>
      <c r="G2288" s="21">
        <f>(C2288 * E2288 + C2288 * E2288 * F2288)</f>
      </c>
    </row>
    <row r="2289">
      <c r="A2289" s="4"/>
      <c r="B2289" s="12" t="s">
        <v>1847</v>
      </c>
      <c r="C2289" s="21">
        <f>(1)*(1)*(1)*(1)*(1 + (0))</f>
      </c>
      <c r="D2289" s="21" t="s">
        <v>170</v>
      </c>
      <c r="E2289" s="21"/>
      <c r="F2289" s="21">
        <f>(0)</f>
      </c>
      <c r="G2289" s="21">
        <f>(C2289 * E2289 + C2289 * E2289 * F2289)</f>
      </c>
    </row>
    <row r="2290">
      <c r="A2290" s="4"/>
      <c r="B2290" s="12" t="s">
        <v>1848</v>
      </c>
      <c r="C2290" s="21">
        <f>(1)*(1)*(1)*(1)*(1 + (0))</f>
      </c>
      <c r="D2290" s="21" t="s">
        <v>170</v>
      </c>
      <c r="E2290" s="21"/>
      <c r="F2290" s="21">
        <f>(0)</f>
      </c>
      <c r="G2290" s="21">
        <f>(C2290 * E2290 + C2290 * E2290 * F2290)</f>
      </c>
    </row>
    <row r="2291">
      <c r="A2291" s="4"/>
      <c r="B2291" s="12" t="s">
        <v>1849</v>
      </c>
      <c r="C2291" s="21">
        <f>(1)*(1)*(1)*(1)*(1 + (0))</f>
      </c>
      <c r="D2291" s="21" t="s">
        <v>170</v>
      </c>
      <c r="E2291" s="21"/>
      <c r="F2291" s="21">
        <f>(0)</f>
      </c>
      <c r="G2291" s="21">
        <f>(C2291 * E2291 + C2291 * E2291 * F2291)</f>
      </c>
    </row>
    <row r="2292">
      <c r="A2292" s="4"/>
      <c r="B2292" s="12" t="s">
        <v>1850</v>
      </c>
      <c r="C2292" s="21">
        <f>(2)*(1)*(1)*(1)*(1 + (0))</f>
      </c>
      <c r="D2292" s="21" t="s">
        <v>170</v>
      </c>
      <c r="E2292" s="21"/>
      <c r="F2292" s="21">
        <f>(0)</f>
      </c>
      <c r="G2292" s="21">
        <f>(C2292 * E2292 + C2292 * E2292 * F2292)</f>
      </c>
    </row>
    <row r="2293">
      <c r="A2293" s="4"/>
      <c r="B2293" s="12" t="s">
        <v>1851</v>
      </c>
      <c r="C2293" s="21">
        <f>(3)*(1)*(1)*(1)*(1 + (0))</f>
      </c>
      <c r="D2293" s="21" t="s">
        <v>170</v>
      </c>
      <c r="E2293" s="21"/>
      <c r="F2293" s="21">
        <f>(0)</f>
      </c>
      <c r="G2293" s="21">
        <f>(C2293 * E2293 + C2293 * E2293 * F2293)</f>
      </c>
    </row>
    <row r="2294">
      <c r="A2294" s="4"/>
      <c r="B2294" s="12" t="s">
        <v>1852</v>
      </c>
      <c r="C2294" s="21">
        <f>(2)*(1)*(1)*(1)*(1 + (0))</f>
      </c>
      <c r="D2294" s="21" t="s">
        <v>170</v>
      </c>
      <c r="E2294" s="21"/>
      <c r="F2294" s="21">
        <f>(0)</f>
      </c>
      <c r="G2294" s="21">
        <f>(C2294 * E2294 + C2294 * E2294 * F2294)</f>
      </c>
    </row>
    <row r="2295">
      <c r="A2295" s="3"/>
      <c r="B2295" s="11" t="s">
        <v>1853</v>
      </c>
      <c r="C2295" s="20"/>
      <c r="D2295" s="20"/>
      <c r="E2295" s="20"/>
      <c r="F2295" s="20"/>
      <c r="G2295" s="20"/>
    </row>
    <row r="2296">
      <c r="A2296" s="4"/>
      <c r="B2296" s="12" t="s">
        <v>1854</v>
      </c>
      <c r="C2296" s="21">
        <f>(1)*(1)*(1)*(1)*(1 + (0))</f>
      </c>
      <c r="D2296" s="21" t="s">
        <v>167</v>
      </c>
      <c r="E2296" s="21"/>
      <c r="F2296" s="21">
        <f>(0)</f>
      </c>
      <c r="G2296" s="21">
        <f>(C2296 * E2296 + C2296 * E2296 * F2296)</f>
      </c>
    </row>
    <row r="2297">
      <c r="A2297" s="4"/>
      <c r="B2297" s="12" t="s">
        <v>1855</v>
      </c>
      <c r="C2297" s="21">
        <f>(10)*(1)*(1)*(1)*(1 + (0))</f>
      </c>
      <c r="D2297" s="21" t="s">
        <v>167</v>
      </c>
      <c r="E2297" s="21"/>
      <c r="F2297" s="21">
        <f>(0)</f>
      </c>
      <c r="G2297" s="21">
        <f>(C2297 * E2297 + C2297 * E2297 * F2297)</f>
      </c>
    </row>
    <row r="2298">
      <c r="A2298" s="4"/>
      <c r="B2298" s="12" t="s">
        <v>1856</v>
      </c>
      <c r="C2298" s="21">
        <f>(2)*(1)*(1)*(1)*(1 + (0))</f>
      </c>
      <c r="D2298" s="21" t="s">
        <v>167</v>
      </c>
      <c r="E2298" s="21"/>
      <c r="F2298" s="21">
        <f>(0)</f>
      </c>
      <c r="G2298" s="21">
        <f>(C2298 * E2298 + C2298 * E2298 * F2298)</f>
      </c>
    </row>
    <row r="2299">
      <c r="A2299" s="4"/>
      <c r="B2299" s="12" t="s">
        <v>1857</v>
      </c>
      <c r="C2299" s="21">
        <f>(4)*(1)*(1)*(1)*(1 + (0))</f>
      </c>
      <c r="D2299" s="21" t="s">
        <v>167</v>
      </c>
      <c r="E2299" s="21"/>
      <c r="F2299" s="21">
        <f>(0)</f>
      </c>
      <c r="G2299" s="21">
        <f>(C2299 * E2299 + C2299 * E2299 * F2299)</f>
      </c>
    </row>
    <row r="2300">
      <c r="A2300" s="4"/>
      <c r="B2300" s="12" t="s">
        <v>1858</v>
      </c>
      <c r="C2300" s="21">
        <f>(2)*(1)*(1)*(1)*(1 + (0))</f>
      </c>
      <c r="D2300" s="21" t="s">
        <v>167</v>
      </c>
      <c r="E2300" s="21"/>
      <c r="F2300" s="21">
        <f>(0)</f>
      </c>
      <c r="G2300" s="21">
        <f>(C2300 * E2300 + C2300 * E2300 * F2300)</f>
      </c>
    </row>
    <row r="2301">
      <c r="A2301" s="2"/>
      <c r="B2301" s="10" t="s">
        <v>1859</v>
      </c>
      <c r="C2301" s="19"/>
      <c r="D2301" s="19"/>
      <c r="E2301" s="19"/>
      <c r="F2301" s="19"/>
      <c r="G2301" s="19"/>
    </row>
    <row r="2302">
      <c r="A2302" s="3"/>
      <c r="B2302" s="11" t="s">
        <v>14</v>
      </c>
      <c r="C2302" s="20"/>
      <c r="D2302" s="20"/>
      <c r="E2302" s="20"/>
      <c r="F2302" s="20"/>
      <c r="G2302" s="20"/>
    </row>
    <row r="2303">
      <c r="A2303" s="4" t="s">
        <v>1860</v>
      </c>
      <c r="B2303" s="12" t="s">
        <v>16</v>
      </c>
      <c r="C2303" s="21"/>
      <c r="D2303" s="21" t="s">
        <v>17</v>
      </c>
      <c r="E2303" s="21"/>
      <c r="F2303" s="21">
        <f>(0)</f>
      </c>
      <c r="G2303" s="21">
        <f>(C2303 * E2303 + C2303 * E2303 * F2303)</f>
      </c>
    </row>
    <row r="2304">
      <c r="A2304" s="4" t="s">
        <v>1861</v>
      </c>
      <c r="B2304" s="12" t="s">
        <v>19</v>
      </c>
      <c r="C2304" s="21"/>
      <c r="D2304" s="21" t="s">
        <v>17</v>
      </c>
      <c r="E2304" s="21"/>
      <c r="F2304" s="21">
        <f>(0)</f>
      </c>
      <c r="G2304" s="21">
        <f>(C2304 * E2304 + C2304 * E2304 * F2304)</f>
      </c>
    </row>
    <row r="2305">
      <c r="A2305" s="3"/>
      <c r="B2305" s="11" t="s">
        <v>24</v>
      </c>
      <c r="C2305" s="20"/>
      <c r="D2305" s="20"/>
      <c r="E2305" s="20"/>
      <c r="F2305" s="20"/>
      <c r="G2305" s="20"/>
    </row>
    <row r="2306">
      <c r="A2306" s="5"/>
      <c r="B2306" s="13" t="s">
        <v>25</v>
      </c>
      <c r="C2306" s="22"/>
      <c r="D2306" s="22"/>
      <c r="E2306" s="22"/>
      <c r="F2306" s="22"/>
      <c r="G2306" s="22"/>
    </row>
    <row r="2307">
      <c r="A2307" s="4" t="s">
        <v>1862</v>
      </c>
      <c r="B2307" s="14" t="s">
        <v>1863</v>
      </c>
      <c r="C2307" s="21"/>
      <c r="D2307" s="21" t="s">
        <v>17</v>
      </c>
      <c r="E2307" s="21"/>
      <c r="F2307" s="21">
        <f>(0)</f>
      </c>
      <c r="G2307" s="21">
        <f>(C2307 * E2307 + C2307 * E2307 * F2307)</f>
      </c>
    </row>
    <row r="2308">
      <c r="A2308" s="4" t="s">
        <v>1864</v>
      </c>
      <c r="B2308" s="14" t="s">
        <v>1865</v>
      </c>
      <c r="C2308" s="21"/>
      <c r="D2308" s="21" t="s">
        <v>17</v>
      </c>
      <c r="E2308" s="21"/>
      <c r="F2308" s="21">
        <f>(0)</f>
      </c>
      <c r="G2308" s="21">
        <f>(C2308 * E2308 + C2308 * E2308 * F2308)</f>
      </c>
    </row>
    <row r="2309">
      <c r="A2309" s="4" t="s">
        <v>1866</v>
      </c>
      <c r="B2309" s="14" t="s">
        <v>1867</v>
      </c>
      <c r="C2309" s="21"/>
      <c r="D2309" s="21" t="s">
        <v>17</v>
      </c>
      <c r="E2309" s="21"/>
      <c r="F2309" s="21">
        <f>(0)</f>
      </c>
      <c r="G2309" s="21">
        <f>(C2309 * E2309 + C2309 * E2309 * F2309)</f>
      </c>
    </row>
    <row r="2310">
      <c r="A2310" s="4" t="s">
        <v>1868</v>
      </c>
      <c r="B2310" s="14" t="s">
        <v>1869</v>
      </c>
      <c r="C2310" s="21"/>
      <c r="D2310" s="21" t="s">
        <v>17</v>
      </c>
      <c r="E2310" s="21"/>
      <c r="F2310" s="21">
        <f>(0)</f>
      </c>
      <c r="G2310" s="21">
        <f>(C2310 * E2310 + C2310 * E2310 * F2310)</f>
      </c>
    </row>
    <row r="2311">
      <c r="A2311" s="4" t="s">
        <v>1870</v>
      </c>
      <c r="B2311" s="14" t="s">
        <v>1871</v>
      </c>
      <c r="C2311" s="21"/>
      <c r="D2311" s="21" t="s">
        <v>17</v>
      </c>
      <c r="E2311" s="21"/>
      <c r="F2311" s="21">
        <f>(0)</f>
      </c>
      <c r="G2311" s="21">
        <f>(C2311 * E2311 + C2311 * E2311 * F2311)</f>
      </c>
    </row>
    <row r="2312">
      <c r="A2312" s="4" t="s">
        <v>1872</v>
      </c>
      <c r="B2312" s="14" t="s">
        <v>1873</v>
      </c>
      <c r="C2312" s="21"/>
      <c r="D2312" s="21" t="s">
        <v>17</v>
      </c>
      <c r="E2312" s="21"/>
      <c r="F2312" s="21">
        <f>(0)</f>
      </c>
      <c r="G2312" s="21">
        <f>(C2312 * E2312 + C2312 * E2312 * F2312)</f>
      </c>
    </row>
    <row r="2313">
      <c r="A2313" s="4" t="s">
        <v>1874</v>
      </c>
      <c r="B2313" s="14" t="s">
        <v>194</v>
      </c>
      <c r="C2313" s="21"/>
      <c r="D2313" s="21" t="s">
        <v>17</v>
      </c>
      <c r="E2313" s="21"/>
      <c r="F2313" s="21">
        <f>(0)</f>
      </c>
      <c r="G2313" s="21">
        <f>(C2313 * E2313 + C2313 * E2313 * F2313)</f>
      </c>
    </row>
    <row r="2314">
      <c r="A2314" s="3"/>
      <c r="B2314" s="11" t="s">
        <v>42</v>
      </c>
      <c r="C2314" s="20"/>
      <c r="D2314" s="20"/>
      <c r="E2314" s="20"/>
      <c r="F2314" s="20"/>
      <c r="G2314" s="20"/>
    </row>
    <row r="2315">
      <c r="A2315" s="4" t="s">
        <v>1875</v>
      </c>
      <c r="B2315" s="12" t="s">
        <v>1876</v>
      </c>
      <c r="C2315" s="21">
        <f>(1)*(1)*(1)*(1)*(1 + (0))</f>
      </c>
      <c r="D2315" s="21" t="s">
        <v>45</v>
      </c>
      <c r="E2315" s="21"/>
      <c r="F2315" s="21">
        <f>(0)</f>
      </c>
      <c r="G2315" s="21">
        <f>(C2315 * E2315 + C2315 * E2315 * F2315)</f>
      </c>
    </row>
    <row r="2316">
      <c r="A2316" s="4" t="s">
        <v>1877</v>
      </c>
      <c r="B2316" s="12" t="s">
        <v>1878</v>
      </c>
      <c r="C2316" s="21">
        <f>(1)*(1)*(1)*(1)*(1 + (0))</f>
      </c>
      <c r="D2316" s="21" t="s">
        <v>45</v>
      </c>
      <c r="E2316" s="21"/>
      <c r="F2316" s="21">
        <f>(0)</f>
      </c>
      <c r="G2316" s="21">
        <f>(C2316 * E2316 + C2316 * E2316 * F2316)</f>
      </c>
    </row>
    <row r="2317">
      <c r="A2317" s="4" t="s">
        <v>1879</v>
      </c>
      <c r="B2317" s="12" t="s">
        <v>1880</v>
      </c>
      <c r="C2317" s="21">
        <f>(1)*(1)*(1)*(1)*(1 + (0))</f>
      </c>
      <c r="D2317" s="21" t="s">
        <v>45</v>
      </c>
      <c r="E2317" s="21"/>
      <c r="F2317" s="21">
        <f>(0)</f>
      </c>
      <c r="G2317" s="21">
        <f>(C2317 * E2317 + C2317 * E2317 * F2317)</f>
      </c>
    </row>
    <row r="2318">
      <c r="A2318" s="4" t="s">
        <v>1881</v>
      </c>
      <c r="B2318" s="12" t="s">
        <v>1882</v>
      </c>
      <c r="C2318" s="21">
        <f>(1)*(1)*(1)*(1)*(1 + (0))</f>
      </c>
      <c r="D2318" s="21" t="s">
        <v>45</v>
      </c>
      <c r="E2318" s="21"/>
      <c r="F2318" s="21">
        <f>(0)</f>
      </c>
      <c r="G2318" s="21">
        <f>(C2318 * E2318 + C2318 * E2318 * F2318)</f>
      </c>
    </row>
    <row r="2319">
      <c r="A2319" s="4" t="s">
        <v>1883</v>
      </c>
      <c r="B2319" s="12" t="s">
        <v>1884</v>
      </c>
      <c r="C2319" s="21">
        <f>(1)*(1)*(1)*(1)*(1 + (0))</f>
      </c>
      <c r="D2319" s="21" t="s">
        <v>45</v>
      </c>
      <c r="E2319" s="21"/>
      <c r="F2319" s="21">
        <f>(0)</f>
      </c>
      <c r="G2319" s="21">
        <f>(C2319 * E2319 + C2319 * E2319 * F2319)</f>
      </c>
    </row>
    <row r="2320">
      <c r="A2320" s="4" t="s">
        <v>1885</v>
      </c>
      <c r="B2320" s="12" t="s">
        <v>207</v>
      </c>
      <c r="C2320" s="21">
        <f>(1)*(1)*(1)*(1)*(1 + (0))</f>
      </c>
      <c r="D2320" s="21" t="s">
        <v>45</v>
      </c>
      <c r="E2320" s="21"/>
      <c r="F2320" s="21">
        <f>(0)</f>
      </c>
      <c r="G2320" s="21">
        <f>(C2320 * E2320 + C2320 * E2320 * F2320)</f>
      </c>
    </row>
    <row r="2321">
      <c r="A2321" s="4" t="s">
        <v>1886</v>
      </c>
      <c r="B2321" s="12" t="s">
        <v>1183</v>
      </c>
      <c r="C2321" s="21">
        <f>(1)*(1)*(1)*(1)*(1 + (0))</f>
      </c>
      <c r="D2321" s="21" t="s">
        <v>45</v>
      </c>
      <c r="E2321" s="21"/>
      <c r="F2321" s="21">
        <f>(0)</f>
      </c>
      <c r="G2321" s="21">
        <f>(C2321 * E2321 + C2321 * E2321 * F2321)</f>
      </c>
    </row>
    <row r="2322">
      <c r="A2322" s="4" t="s">
        <v>1887</v>
      </c>
      <c r="B2322" s="12" t="s">
        <v>1888</v>
      </c>
      <c r="C2322" s="21">
        <f>(1)*(1)*(1)*(1)*(1 + (0))</f>
      </c>
      <c r="D2322" s="21" t="s">
        <v>45</v>
      </c>
      <c r="E2322" s="21"/>
      <c r="F2322" s="21">
        <f>(0)</f>
      </c>
      <c r="G2322" s="21">
        <f>(C2322 * E2322 + C2322 * E2322 * F2322)</f>
      </c>
    </row>
    <row r="2323">
      <c r="A2323" s="4" t="s">
        <v>1889</v>
      </c>
      <c r="B2323" s="12" t="s">
        <v>1890</v>
      </c>
      <c r="C2323" s="21">
        <f>(1)*(1)*(1)*(1)*(1 + (0))</f>
      </c>
      <c r="D2323" s="21" t="s">
        <v>45</v>
      </c>
      <c r="E2323" s="21"/>
      <c r="F2323" s="21">
        <f>(0)</f>
      </c>
      <c r="G2323" s="21">
        <f>(C2323 * E2323 + C2323 * E2323 * F2323)</f>
      </c>
    </row>
    <row r="2324">
      <c r="A2324" s="4" t="s">
        <v>1891</v>
      </c>
      <c r="B2324" s="12" t="s">
        <v>832</v>
      </c>
      <c r="C2324" s="21">
        <f>(1)*(1)*(1)*(1)*(1 + (0))</f>
      </c>
      <c r="D2324" s="21" t="s">
        <v>45</v>
      </c>
      <c r="E2324" s="21"/>
      <c r="F2324" s="21">
        <f>(0)</f>
      </c>
      <c r="G2324" s="21">
        <f>(C2324 * E2324 + C2324 * E2324 * F2324)</f>
      </c>
    </row>
    <row r="2325">
      <c r="A2325" s="4" t="s">
        <v>1892</v>
      </c>
      <c r="B2325" s="12" t="s">
        <v>1893</v>
      </c>
      <c r="C2325" s="21"/>
      <c r="D2325" s="21" t="s">
        <v>1894</v>
      </c>
      <c r="E2325" s="21"/>
      <c r="F2325" s="21">
        <f>(0)</f>
      </c>
      <c r="G2325" s="21">
        <f>(C2325 * E2325 + C2325 * E2325 * F2325)</f>
      </c>
    </row>
    <row r="2326">
      <c r="A2326" s="4" t="s">
        <v>1895</v>
      </c>
      <c r="B2326" s="7" t="s">
        <v>1896</v>
      </c>
      <c r="C2326" s="21">
        <f>(1)*(1)*(1)*(1)*(1 + (0))</f>
      </c>
      <c r="D2326" s="21" t="s">
        <v>45</v>
      </c>
      <c r="E2326" s="21"/>
      <c r="F2326" s="21">
        <f>(0)</f>
      </c>
      <c r="G2326" s="21">
        <f>(C2326 * E2326 + C2326 * E2326 * F2326)</f>
      </c>
    </row>
    <row r="2327">
      <c r="A2327" s="2"/>
      <c r="B2327" s="10" t="s">
        <v>1897</v>
      </c>
      <c r="C2327" s="19"/>
      <c r="D2327" s="19"/>
      <c r="E2327" s="19"/>
      <c r="F2327" s="19"/>
      <c r="G2327" s="19"/>
    </row>
    <row r="2328">
      <c r="A2328" s="3"/>
      <c r="B2328" s="11" t="s">
        <v>14</v>
      </c>
      <c r="C2328" s="20"/>
      <c r="D2328" s="20"/>
      <c r="E2328" s="20"/>
      <c r="F2328" s="20"/>
      <c r="G2328" s="20"/>
    </row>
    <row r="2329">
      <c r="A2329" s="4" t="s">
        <v>1898</v>
      </c>
      <c r="B2329" s="12" t="s">
        <v>16</v>
      </c>
      <c r="C2329" s="21"/>
      <c r="D2329" s="21" t="s">
        <v>17</v>
      </c>
      <c r="E2329" s="21"/>
      <c r="F2329" s="21">
        <f>(0)</f>
      </c>
      <c r="G2329" s="21">
        <f>(C2329 * E2329 + C2329 * E2329 * F2329)</f>
      </c>
    </row>
    <row r="2330">
      <c r="A2330" s="4" t="s">
        <v>1899</v>
      </c>
      <c r="B2330" s="12" t="s">
        <v>19</v>
      </c>
      <c r="C2330" s="21"/>
      <c r="D2330" s="21" t="s">
        <v>17</v>
      </c>
      <c r="E2330" s="21"/>
      <c r="F2330" s="21">
        <f>(0)</f>
      </c>
      <c r="G2330" s="21">
        <f>(C2330 * E2330 + C2330 * E2330 * F2330)</f>
      </c>
    </row>
    <row r="2331">
      <c r="A2331" s="3"/>
      <c r="B2331" s="11" t="s">
        <v>24</v>
      </c>
      <c r="C2331" s="20"/>
      <c r="D2331" s="20"/>
      <c r="E2331" s="20"/>
      <c r="F2331" s="20"/>
      <c r="G2331" s="20"/>
    </row>
    <row r="2332">
      <c r="A2332" s="5"/>
      <c r="B2332" s="13" t="s">
        <v>1900</v>
      </c>
      <c r="C2332" s="22"/>
      <c r="D2332" s="22"/>
      <c r="E2332" s="22"/>
      <c r="F2332" s="22"/>
      <c r="G2332" s="22"/>
    </row>
    <row r="2333">
      <c r="A2333" s="4" t="s">
        <v>1901</v>
      </c>
      <c r="B2333" s="14" t="s">
        <v>1902</v>
      </c>
      <c r="C2333" s="21"/>
      <c r="D2333" s="21" t="s">
        <v>17</v>
      </c>
      <c r="E2333" s="21"/>
      <c r="F2333" s="21">
        <f>(0)</f>
      </c>
      <c r="G2333" s="21">
        <f>(C2333 * E2333 + C2333 * E2333 * F2333)</f>
      </c>
    </row>
    <row r="2334">
      <c r="A2334" s="4" t="s">
        <v>1903</v>
      </c>
      <c r="B2334" s="14" t="s">
        <v>1904</v>
      </c>
      <c r="C2334" s="21"/>
      <c r="D2334" s="21" t="s">
        <v>17</v>
      </c>
      <c r="E2334" s="21"/>
      <c r="F2334" s="21">
        <f>(0)</f>
      </c>
      <c r="G2334" s="21">
        <f>(C2334 * E2334 + C2334 * E2334 * F2334)</f>
      </c>
    </row>
    <row r="2335">
      <c r="A2335" s="4" t="s">
        <v>1905</v>
      </c>
      <c r="B2335" s="14" t="s">
        <v>1867</v>
      </c>
      <c r="C2335" s="21"/>
      <c r="D2335" s="21" t="s">
        <v>17</v>
      </c>
      <c r="E2335" s="21"/>
      <c r="F2335" s="21">
        <f>(0)</f>
      </c>
      <c r="G2335" s="21">
        <f>(C2335 * E2335 + C2335 * E2335 * F2335)</f>
      </c>
    </row>
    <row r="2336">
      <c r="A2336" s="4" t="s">
        <v>1906</v>
      </c>
      <c r="B2336" s="14" t="s">
        <v>1869</v>
      </c>
      <c r="C2336" s="21"/>
      <c r="D2336" s="21" t="s">
        <v>17</v>
      </c>
      <c r="E2336" s="21"/>
      <c r="F2336" s="21">
        <f>(0)</f>
      </c>
      <c r="G2336" s="21">
        <f>(C2336 * E2336 + C2336 * E2336 * F2336)</f>
      </c>
    </row>
    <row r="2337">
      <c r="A2337" s="4" t="s">
        <v>1907</v>
      </c>
      <c r="B2337" s="14" t="s">
        <v>1871</v>
      </c>
      <c r="C2337" s="21"/>
      <c r="D2337" s="21" t="s">
        <v>17</v>
      </c>
      <c r="E2337" s="21"/>
      <c r="F2337" s="21">
        <f>(0)</f>
      </c>
      <c r="G2337" s="21">
        <f>(C2337 * E2337 + C2337 * E2337 * F2337)</f>
      </c>
    </row>
    <row r="2338">
      <c r="A2338" s="4" t="s">
        <v>1908</v>
      </c>
      <c r="B2338" s="14" t="s">
        <v>1873</v>
      </c>
      <c r="C2338" s="21"/>
      <c r="D2338" s="21" t="s">
        <v>17</v>
      </c>
      <c r="E2338" s="21"/>
      <c r="F2338" s="21">
        <f>(0)</f>
      </c>
      <c r="G2338" s="21">
        <f>(C2338 * E2338 + C2338 * E2338 * F2338)</f>
      </c>
    </row>
    <row r="2339">
      <c r="A2339" s="4" t="s">
        <v>1909</v>
      </c>
      <c r="B2339" s="14" t="s">
        <v>194</v>
      </c>
      <c r="C2339" s="21"/>
      <c r="D2339" s="21" t="s">
        <v>17</v>
      </c>
      <c r="E2339" s="21"/>
      <c r="F2339" s="21">
        <f>(0)</f>
      </c>
      <c r="G2339" s="21">
        <f>(C2339 * E2339 + C2339 * E2339 * F2339)</f>
      </c>
    </row>
    <row r="2340">
      <c r="A2340" s="3"/>
      <c r="B2340" s="11" t="s">
        <v>42</v>
      </c>
      <c r="C2340" s="20"/>
      <c r="D2340" s="20"/>
      <c r="E2340" s="20"/>
      <c r="F2340" s="20"/>
      <c r="G2340" s="20"/>
    </row>
    <row r="2341">
      <c r="A2341" s="4" t="s">
        <v>1910</v>
      </c>
      <c r="B2341" s="12" t="s">
        <v>1911</v>
      </c>
      <c r="C2341" s="21">
        <f>(1)*(1)*(1)*(1)*(1 + (0))</f>
      </c>
      <c r="D2341" s="21" t="s">
        <v>45</v>
      </c>
      <c r="E2341" s="21"/>
      <c r="F2341" s="21">
        <f>(0)</f>
      </c>
      <c r="G2341" s="21">
        <f>(C2341 * E2341 + C2341 * E2341 * F2341)</f>
      </c>
    </row>
    <row r="2342">
      <c r="A2342" s="4" t="s">
        <v>1912</v>
      </c>
      <c r="B2342" s="12" t="s">
        <v>1913</v>
      </c>
      <c r="C2342" s="21">
        <f>(1)*(1)*(1)*(1)*(1 + (0))</f>
      </c>
      <c r="D2342" s="21" t="s">
        <v>45</v>
      </c>
      <c r="E2342" s="21"/>
      <c r="F2342" s="21">
        <f>(0)</f>
      </c>
      <c r="G2342" s="21">
        <f>(C2342 * E2342 + C2342 * E2342 * F2342)</f>
      </c>
    </row>
    <row r="2343">
      <c r="A2343" s="4" t="s">
        <v>1914</v>
      </c>
      <c r="B2343" s="12" t="s">
        <v>894</v>
      </c>
      <c r="C2343" s="21">
        <f>(1)*(1)*(1)*(1)*(1 + (0))</f>
      </c>
      <c r="D2343" s="21" t="s">
        <v>45</v>
      </c>
      <c r="E2343" s="21"/>
      <c r="F2343" s="21">
        <f>(0)</f>
      </c>
      <c r="G2343" s="21">
        <f>(C2343 * E2343 + C2343 * E2343 * F2343)</f>
      </c>
    </row>
    <row r="2344">
      <c r="A2344" s="4" t="s">
        <v>1915</v>
      </c>
      <c r="B2344" s="12" t="s">
        <v>207</v>
      </c>
      <c r="C2344" s="21">
        <f>(1)*(1)*(1)*(1)*(1 + (0))</f>
      </c>
      <c r="D2344" s="21" t="s">
        <v>45</v>
      </c>
      <c r="E2344" s="21"/>
      <c r="F2344" s="21">
        <f>(0)</f>
      </c>
      <c r="G2344" s="21">
        <f>(C2344 * E2344 + C2344 * E2344 * F2344)</f>
      </c>
    </row>
    <row r="2345">
      <c r="A2345" s="4" t="s">
        <v>1916</v>
      </c>
      <c r="B2345" s="12" t="s">
        <v>1917</v>
      </c>
      <c r="C2345" s="21">
        <f>(1)*(1)*(1)*(1)*(1 + (0))</f>
      </c>
      <c r="D2345" s="21" t="s">
        <v>45</v>
      </c>
      <c r="E2345" s="21"/>
      <c r="F2345" s="21">
        <f>(0)</f>
      </c>
      <c r="G2345" s="21">
        <f>(C2345 * E2345 + C2345 * E2345 * F2345)</f>
      </c>
    </row>
    <row r="2346">
      <c r="A2346" s="4" t="s">
        <v>1918</v>
      </c>
      <c r="B2346" s="12" t="s">
        <v>1183</v>
      </c>
      <c r="C2346" s="21">
        <f>(1)*(1)*(1)*(1)*(1 + (0))</f>
      </c>
      <c r="D2346" s="21" t="s">
        <v>45</v>
      </c>
      <c r="E2346" s="21"/>
      <c r="F2346" s="21">
        <f>(0)</f>
      </c>
      <c r="G2346" s="21">
        <f>(C2346 * E2346 + C2346 * E2346 * F2346)</f>
      </c>
    </row>
    <row r="2347">
      <c r="A2347" s="4" t="s">
        <v>1919</v>
      </c>
      <c r="B2347" s="12" t="s">
        <v>832</v>
      </c>
      <c r="C2347" s="21">
        <f>(1)*(1)*(1)*(1)*(1 + (0))</f>
      </c>
      <c r="D2347" s="21" t="s">
        <v>45</v>
      </c>
      <c r="E2347" s="21"/>
      <c r="F2347" s="21">
        <f>(0)</f>
      </c>
      <c r="G2347" s="21">
        <f>(C2347 * E2347 + C2347 * E2347 * F2347)</f>
      </c>
    </row>
    <row r="2348">
      <c r="A2348" s="4" t="s">
        <v>1920</v>
      </c>
      <c r="B2348" s="7" t="s">
        <v>1921</v>
      </c>
      <c r="C2348" s="21">
        <f>(1)*(1)*(1)*(1)*(1 + (0))</f>
      </c>
      <c r="D2348" s="21" t="s">
        <v>45</v>
      </c>
      <c r="E2348" s="21"/>
      <c r="F2348" s="21">
        <f>(0)</f>
      </c>
      <c r="G2348" s="21">
        <f>(C2348 * E2348 + C2348 * E2348 * F2348)</f>
      </c>
    </row>
    <row r="2349">
      <c r="A2349" s="4" t="s">
        <v>1920</v>
      </c>
      <c r="B2349" s="7" t="s">
        <v>1922</v>
      </c>
      <c r="C2349" s="21">
        <f>(1)*(1)*(1)*(1)*(1 + (0))</f>
      </c>
      <c r="D2349" s="21" t="s">
        <v>45</v>
      </c>
      <c r="E2349" s="21"/>
      <c r="F2349" s="21">
        <f>(0)</f>
      </c>
      <c r="G2349" s="21">
        <f>(C2349 * E2349 + C2349 * E2349 * F2349)</f>
      </c>
    </row>
    <row r="2350">
      <c r="A2350" s="2"/>
      <c r="B2350" s="10" t="s">
        <v>1923</v>
      </c>
      <c r="C2350" s="19"/>
      <c r="D2350" s="19"/>
      <c r="E2350" s="19"/>
      <c r="F2350" s="19"/>
      <c r="G2350" s="19"/>
    </row>
    <row r="2351">
      <c r="A2351" s="3"/>
      <c r="B2351" s="11" t="s">
        <v>14</v>
      </c>
      <c r="C2351" s="20"/>
      <c r="D2351" s="20"/>
      <c r="E2351" s="20"/>
      <c r="F2351" s="20"/>
      <c r="G2351" s="20"/>
    </row>
    <row r="2352">
      <c r="A2352" s="4" t="s">
        <v>1924</v>
      </c>
      <c r="B2352" s="12" t="s">
        <v>16</v>
      </c>
      <c r="C2352" s="21"/>
      <c r="D2352" s="21" t="s">
        <v>17</v>
      </c>
      <c r="E2352" s="21"/>
      <c r="F2352" s="21">
        <f>(0)</f>
      </c>
      <c r="G2352" s="21">
        <f>(C2352 * E2352 + C2352 * E2352 * F2352)</f>
      </c>
    </row>
    <row r="2353">
      <c r="A2353" s="4" t="s">
        <v>1925</v>
      </c>
      <c r="B2353" s="12" t="s">
        <v>19</v>
      </c>
      <c r="C2353" s="21"/>
      <c r="D2353" s="21" t="s">
        <v>17</v>
      </c>
      <c r="E2353" s="21"/>
      <c r="F2353" s="21">
        <f>(0)</f>
      </c>
      <c r="G2353" s="21">
        <f>(C2353 * E2353 + C2353 * E2353 * F2353)</f>
      </c>
    </row>
    <row r="2354">
      <c r="A2354" s="3"/>
      <c r="B2354" s="11" t="s">
        <v>24</v>
      </c>
      <c r="C2354" s="20"/>
      <c r="D2354" s="20"/>
      <c r="E2354" s="20"/>
      <c r="F2354" s="20"/>
      <c r="G2354" s="20"/>
    </row>
    <row r="2355">
      <c r="A2355" s="5"/>
      <c r="B2355" s="13" t="s">
        <v>1900</v>
      </c>
      <c r="C2355" s="22"/>
      <c r="D2355" s="22"/>
      <c r="E2355" s="22"/>
      <c r="F2355" s="22"/>
      <c r="G2355" s="22"/>
    </row>
    <row r="2356">
      <c r="A2356" s="4" t="s">
        <v>1926</v>
      </c>
      <c r="B2356" s="14" t="s">
        <v>1927</v>
      </c>
      <c r="C2356" s="21"/>
      <c r="D2356" s="21" t="s">
        <v>17</v>
      </c>
      <c r="E2356" s="21"/>
      <c r="F2356" s="21">
        <f>(0)</f>
      </c>
      <c r="G2356" s="21">
        <f>(C2356 * E2356 + C2356 * E2356 * F2356)</f>
      </c>
    </row>
    <row r="2357">
      <c r="A2357" s="4" t="s">
        <v>1928</v>
      </c>
      <c r="B2357" s="14" t="s">
        <v>1867</v>
      </c>
      <c r="C2357" s="21"/>
      <c r="D2357" s="21" t="s">
        <v>17</v>
      </c>
      <c r="E2357" s="21"/>
      <c r="F2357" s="21">
        <f>(0)</f>
      </c>
      <c r="G2357" s="21">
        <f>(C2357 * E2357 + C2357 * E2357 * F2357)</f>
      </c>
    </row>
    <row r="2358">
      <c r="A2358" s="4" t="s">
        <v>1929</v>
      </c>
      <c r="B2358" s="14" t="s">
        <v>1869</v>
      </c>
      <c r="C2358" s="21"/>
      <c r="D2358" s="21" t="s">
        <v>17</v>
      </c>
      <c r="E2358" s="21"/>
      <c r="F2358" s="21">
        <f>(0)</f>
      </c>
      <c r="G2358" s="21">
        <f>(C2358 * E2358 + C2358 * E2358 * F2358)</f>
      </c>
    </row>
    <row r="2359">
      <c r="A2359" s="4" t="s">
        <v>1930</v>
      </c>
      <c r="B2359" s="14" t="s">
        <v>1871</v>
      </c>
      <c r="C2359" s="21"/>
      <c r="D2359" s="21" t="s">
        <v>17</v>
      </c>
      <c r="E2359" s="21"/>
      <c r="F2359" s="21">
        <f>(0)</f>
      </c>
      <c r="G2359" s="21">
        <f>(C2359 * E2359 + C2359 * E2359 * F2359)</f>
      </c>
    </row>
    <row r="2360">
      <c r="A2360" s="4" t="s">
        <v>1931</v>
      </c>
      <c r="B2360" s="14" t="s">
        <v>1873</v>
      </c>
      <c r="C2360" s="21"/>
      <c r="D2360" s="21" t="s">
        <v>17</v>
      </c>
      <c r="E2360" s="21"/>
      <c r="F2360" s="21">
        <f>(0)</f>
      </c>
      <c r="G2360" s="21">
        <f>(C2360 * E2360 + C2360 * E2360 * F2360)</f>
      </c>
    </row>
    <row r="2361">
      <c r="A2361" s="4" t="s">
        <v>1932</v>
      </c>
      <c r="B2361" s="14" t="s">
        <v>194</v>
      </c>
      <c r="C2361" s="21"/>
      <c r="D2361" s="21" t="s">
        <v>17</v>
      </c>
      <c r="E2361" s="21"/>
      <c r="F2361" s="21">
        <f>(0)</f>
      </c>
      <c r="G2361" s="21">
        <f>(C2361 * E2361 + C2361 * E2361 * F2361)</f>
      </c>
    </row>
    <row r="2362">
      <c r="A2362" s="3"/>
      <c r="B2362" s="11" t="s">
        <v>42</v>
      </c>
      <c r="C2362" s="20"/>
      <c r="D2362" s="20"/>
      <c r="E2362" s="20"/>
      <c r="F2362" s="20"/>
      <c r="G2362" s="20"/>
    </row>
    <row r="2363">
      <c r="A2363" s="4" t="s">
        <v>1933</v>
      </c>
      <c r="B2363" s="12" t="s">
        <v>207</v>
      </c>
      <c r="C2363" s="21">
        <f>(1)*(1)*(1)*(1)*(1 + (0))</f>
      </c>
      <c r="D2363" s="21" t="s">
        <v>45</v>
      </c>
      <c r="E2363" s="21"/>
      <c r="F2363" s="21">
        <f>(0)</f>
      </c>
      <c r="G2363" s="21">
        <f>(C2363 * E2363 + C2363 * E2363 * F2363)</f>
      </c>
    </row>
    <row r="2364">
      <c r="A2364" s="4" t="s">
        <v>1934</v>
      </c>
      <c r="B2364" s="12" t="s">
        <v>1183</v>
      </c>
      <c r="C2364" s="21">
        <f>(1)*(1)*(1)*(1)*(1 + (0))</f>
      </c>
      <c r="D2364" s="21" t="s">
        <v>45</v>
      </c>
      <c r="E2364" s="21"/>
      <c r="F2364" s="21">
        <f>(0)</f>
      </c>
      <c r="G2364" s="21">
        <f>(C2364 * E2364 + C2364 * E2364 * F2364)</f>
      </c>
    </row>
    <row r="2365">
      <c r="A2365" s="4" t="s">
        <v>1935</v>
      </c>
      <c r="B2365" s="12" t="s">
        <v>1888</v>
      </c>
      <c r="C2365" s="21">
        <f>(1)*(1)*(1)*(1)*(1 + (0))</f>
      </c>
      <c r="D2365" s="21" t="s">
        <v>45</v>
      </c>
      <c r="E2365" s="21"/>
      <c r="F2365" s="21">
        <f>(0)</f>
      </c>
      <c r="G2365" s="21">
        <f>(C2365 * E2365 + C2365 * E2365 * F2365)</f>
      </c>
    </row>
    <row r="2366">
      <c r="A2366" s="4" t="s">
        <v>1936</v>
      </c>
      <c r="B2366" s="12" t="s">
        <v>1937</v>
      </c>
      <c r="C2366" s="21">
        <f>(1)*(1)*(1)*(1)*(1 + (0))</f>
      </c>
      <c r="D2366" s="21" t="s">
        <v>45</v>
      </c>
      <c r="E2366" s="21"/>
      <c r="F2366" s="21">
        <f>(0)</f>
      </c>
      <c r="G2366" s="21">
        <f>(C2366 * E2366 + C2366 * E2366 * F2366)</f>
      </c>
    </row>
    <row r="2367">
      <c r="A2367" s="4" t="s">
        <v>1938</v>
      </c>
      <c r="B2367" s="12" t="s">
        <v>832</v>
      </c>
      <c r="C2367" s="21">
        <f>(1)*(1)*(1)*(1)*(1 + (0))</f>
      </c>
      <c r="D2367" s="21" t="s">
        <v>45</v>
      </c>
      <c r="E2367" s="21"/>
      <c r="F2367" s="21">
        <f>(0)</f>
      </c>
      <c r="G2367" s="21">
        <f>(C2367 * E2367 + C2367 * E2367 * F2367)</f>
      </c>
    </row>
    <row r="2368">
      <c r="A2368" s="4" t="s">
        <v>1939</v>
      </c>
      <c r="B2368" s="7" t="s">
        <v>1940</v>
      </c>
      <c r="C2368" s="21">
        <f>(1)*(1)*(1)*(1)*(1 + (0))</f>
      </c>
      <c r="D2368" s="21" t="s">
        <v>45</v>
      </c>
      <c r="E2368" s="21"/>
      <c r="F2368" s="21">
        <f>(0)</f>
      </c>
      <c r="G2368" s="21">
        <f>(C2368 * E2368 + C2368 * E2368 * F2368)</f>
      </c>
    </row>
    <row r="2369">
      <c r="A2369" s="2"/>
      <c r="B2369" s="10" t="s">
        <v>1941</v>
      </c>
      <c r="C2369" s="19"/>
      <c r="D2369" s="19"/>
      <c r="E2369" s="19"/>
      <c r="F2369" s="19"/>
      <c r="G2369" s="19"/>
    </row>
    <row r="2370">
      <c r="A2370" s="3"/>
      <c r="B2370" s="11" t="s">
        <v>14</v>
      </c>
      <c r="C2370" s="20"/>
      <c r="D2370" s="20"/>
      <c r="E2370" s="20"/>
      <c r="F2370" s="20"/>
      <c r="G2370" s="20"/>
    </row>
    <row r="2371">
      <c r="A2371" s="4" t="s">
        <v>1942</v>
      </c>
      <c r="B2371" s="12" t="s">
        <v>16</v>
      </c>
      <c r="C2371" s="21"/>
      <c r="D2371" s="21" t="s">
        <v>17</v>
      </c>
      <c r="E2371" s="21"/>
      <c r="F2371" s="21">
        <f>(0)</f>
      </c>
      <c r="G2371" s="21">
        <f>(C2371 * E2371 + C2371 * E2371 * F2371)</f>
      </c>
    </row>
    <row r="2372">
      <c r="A2372" s="4" t="s">
        <v>1943</v>
      </c>
      <c r="B2372" s="12" t="s">
        <v>19</v>
      </c>
      <c r="C2372" s="21"/>
      <c r="D2372" s="21" t="s">
        <v>17</v>
      </c>
      <c r="E2372" s="21"/>
      <c r="F2372" s="21">
        <f>(0)</f>
      </c>
      <c r="G2372" s="21">
        <f>(C2372 * E2372 + C2372 * E2372 * F2372)</f>
      </c>
    </row>
    <row r="2373">
      <c r="A2373" s="3"/>
      <c r="B2373" s="11" t="s">
        <v>24</v>
      </c>
      <c r="C2373" s="20"/>
      <c r="D2373" s="20"/>
      <c r="E2373" s="20"/>
      <c r="F2373" s="20"/>
      <c r="G2373" s="20"/>
    </row>
    <row r="2374">
      <c r="A2374" s="5"/>
      <c r="B2374" s="13" t="s">
        <v>25</v>
      </c>
      <c r="C2374" s="22"/>
      <c r="D2374" s="22"/>
      <c r="E2374" s="22"/>
      <c r="F2374" s="22"/>
      <c r="G2374" s="22"/>
    </row>
    <row r="2375">
      <c r="A2375" s="4" t="s">
        <v>1944</v>
      </c>
      <c r="B2375" s="14" t="s">
        <v>1902</v>
      </c>
      <c r="C2375" s="21"/>
      <c r="D2375" s="21" t="s">
        <v>17</v>
      </c>
      <c r="E2375" s="21"/>
      <c r="F2375" s="21">
        <f>(0)</f>
      </c>
      <c r="G2375" s="21">
        <f>(C2375 * E2375 + C2375 * E2375 * F2375)</f>
      </c>
    </row>
    <row r="2376">
      <c r="A2376" s="4" t="s">
        <v>1945</v>
      </c>
      <c r="B2376" s="14" t="s">
        <v>1946</v>
      </c>
      <c r="C2376" s="21"/>
      <c r="D2376" s="21" t="s">
        <v>17</v>
      </c>
      <c r="E2376" s="21"/>
      <c r="F2376" s="21">
        <f>(0)</f>
      </c>
      <c r="G2376" s="21">
        <f>(C2376 * E2376 + C2376 * E2376 * F2376)</f>
      </c>
    </row>
    <row r="2377">
      <c r="A2377" s="4" t="s">
        <v>1947</v>
      </c>
      <c r="B2377" s="14" t="s">
        <v>1867</v>
      </c>
      <c r="C2377" s="21"/>
      <c r="D2377" s="21" t="s">
        <v>17</v>
      </c>
      <c r="E2377" s="21"/>
      <c r="F2377" s="21">
        <f>(0)</f>
      </c>
      <c r="G2377" s="21">
        <f>(C2377 * E2377 + C2377 * E2377 * F2377)</f>
      </c>
    </row>
    <row r="2378">
      <c r="A2378" s="4" t="s">
        <v>1948</v>
      </c>
      <c r="B2378" s="14" t="s">
        <v>1869</v>
      </c>
      <c r="C2378" s="21"/>
      <c r="D2378" s="21" t="s">
        <v>17</v>
      </c>
      <c r="E2378" s="21"/>
      <c r="F2378" s="21">
        <f>(0)</f>
      </c>
      <c r="G2378" s="21">
        <f>(C2378 * E2378 + C2378 * E2378 * F2378)</f>
      </c>
    </row>
    <row r="2379">
      <c r="A2379" s="4" t="s">
        <v>1949</v>
      </c>
      <c r="B2379" s="14" t="s">
        <v>1871</v>
      </c>
      <c r="C2379" s="21"/>
      <c r="D2379" s="21" t="s">
        <v>17</v>
      </c>
      <c r="E2379" s="21"/>
      <c r="F2379" s="21">
        <f>(0)</f>
      </c>
      <c r="G2379" s="21">
        <f>(C2379 * E2379 + C2379 * E2379 * F2379)</f>
      </c>
    </row>
    <row r="2380">
      <c r="A2380" s="4" t="s">
        <v>1950</v>
      </c>
      <c r="B2380" s="14" t="s">
        <v>1873</v>
      </c>
      <c r="C2380" s="21"/>
      <c r="D2380" s="21" t="s">
        <v>17</v>
      </c>
      <c r="E2380" s="21"/>
      <c r="F2380" s="21">
        <f>(0)</f>
      </c>
      <c r="G2380" s="21">
        <f>(C2380 * E2380 + C2380 * E2380 * F2380)</f>
      </c>
    </row>
    <row r="2381">
      <c r="A2381" s="4" t="s">
        <v>1951</v>
      </c>
      <c r="B2381" s="14" t="s">
        <v>194</v>
      </c>
      <c r="C2381" s="21"/>
      <c r="D2381" s="21" t="s">
        <v>17</v>
      </c>
      <c r="E2381" s="21"/>
      <c r="F2381" s="21">
        <f>(0)</f>
      </c>
      <c r="G2381" s="21">
        <f>(C2381 * E2381 + C2381 * E2381 * F2381)</f>
      </c>
    </row>
    <row r="2382">
      <c r="A2382" s="3"/>
      <c r="B2382" s="11" t="s">
        <v>42</v>
      </c>
      <c r="C2382" s="20"/>
      <c r="D2382" s="20"/>
      <c r="E2382" s="20"/>
      <c r="F2382" s="20"/>
      <c r="G2382" s="20"/>
    </row>
    <row r="2383">
      <c r="A2383" s="4" t="s">
        <v>1952</v>
      </c>
      <c r="B2383" s="12" t="s">
        <v>207</v>
      </c>
      <c r="C2383" s="21">
        <f>(1)*(1)*(1)*(1)*(1 + (0))</f>
      </c>
      <c r="D2383" s="21" t="s">
        <v>45</v>
      </c>
      <c r="E2383" s="21"/>
      <c r="F2383" s="21">
        <f>(0)</f>
      </c>
      <c r="G2383" s="21">
        <f>(C2383 * E2383 + C2383 * E2383 * F2383)</f>
      </c>
    </row>
    <row r="2384">
      <c r="A2384" s="4" t="s">
        <v>1953</v>
      </c>
      <c r="B2384" s="12" t="s">
        <v>1183</v>
      </c>
      <c r="C2384" s="21">
        <f>(1)*(1)*(1)*(1)*(1 + (0))</f>
      </c>
      <c r="D2384" s="21" t="s">
        <v>45</v>
      </c>
      <c r="E2384" s="21"/>
      <c r="F2384" s="21">
        <f>(0)</f>
      </c>
      <c r="G2384" s="21">
        <f>(C2384 * E2384 + C2384 * E2384 * F2384)</f>
      </c>
    </row>
    <row r="2385">
      <c r="A2385" s="4" t="s">
        <v>1954</v>
      </c>
      <c r="B2385" s="12" t="s">
        <v>1888</v>
      </c>
      <c r="C2385" s="21">
        <f>(1)*(1)*(1)*(1)*(1 + (0))</f>
      </c>
      <c r="D2385" s="21" t="s">
        <v>45</v>
      </c>
      <c r="E2385" s="21"/>
      <c r="F2385" s="21">
        <f>(0)</f>
      </c>
      <c r="G2385" s="21">
        <f>(C2385 * E2385 + C2385 * E2385 * F2385)</f>
      </c>
    </row>
    <row r="2386">
      <c r="A2386" s="4" t="s">
        <v>1955</v>
      </c>
      <c r="B2386" s="12" t="s">
        <v>1937</v>
      </c>
      <c r="C2386" s="21">
        <f>(1)*(1)*(1)*(1)*(1 + (0))</f>
      </c>
      <c r="D2386" s="21" t="s">
        <v>45</v>
      </c>
      <c r="E2386" s="21"/>
      <c r="F2386" s="21">
        <f>(0)</f>
      </c>
      <c r="G2386" s="21">
        <f>(C2386 * E2386 + C2386 * E2386 * F2386)</f>
      </c>
    </row>
    <row r="2387">
      <c r="A2387" s="4" t="s">
        <v>1956</v>
      </c>
      <c r="B2387" s="12" t="s">
        <v>832</v>
      </c>
      <c r="C2387" s="21">
        <f>(1)*(1)*(1)*(1)*(1 + (0))</f>
      </c>
      <c r="D2387" s="21" t="s">
        <v>45</v>
      </c>
      <c r="E2387" s="21"/>
      <c r="F2387" s="21">
        <f>(0)</f>
      </c>
      <c r="G2387" s="21">
        <f>(C2387 * E2387 + C2387 * E2387 * F2387)</f>
      </c>
    </row>
    <row r="2388">
      <c r="A2388" s="4" t="s">
        <v>1957</v>
      </c>
      <c r="B2388" s="12" t="s">
        <v>1958</v>
      </c>
      <c r="C2388" s="21">
        <f>(1)*(1)*(1)*(1)*(1 + (0))</f>
      </c>
      <c r="D2388" s="21" t="s">
        <v>45</v>
      </c>
      <c r="E2388" s="21"/>
      <c r="F2388" s="21">
        <f>(0)</f>
      </c>
      <c r="G2388" s="21">
        <f>(C2388 * E2388 + C2388 * E2388 * F2388)</f>
      </c>
    </row>
    <row r="2389">
      <c r="A2389" s="4" t="s">
        <v>1959</v>
      </c>
      <c r="B2389" s="7" t="s">
        <v>1960</v>
      </c>
      <c r="C2389" s="21">
        <f>(1)*(1)*(1)*(1)*(1 + (0))</f>
      </c>
      <c r="D2389" s="21" t="s">
        <v>45</v>
      </c>
      <c r="E2389" s="21"/>
      <c r="F2389" s="21">
        <f>(0)</f>
      </c>
      <c r="G2389" s="21">
        <f>(C2389 * E2389 + C2389 * E2389 * F2389)</f>
      </c>
    </row>
    <row r="2390">
      <c r="A2390" s="2"/>
      <c r="B2390" s="10" t="s">
        <v>1961</v>
      </c>
      <c r="C2390" s="19"/>
      <c r="D2390" s="19"/>
      <c r="E2390" s="19"/>
      <c r="F2390" s="19"/>
      <c r="G2390" s="19"/>
    </row>
    <row r="2391">
      <c r="A2391" s="3"/>
      <c r="B2391" s="11" t="s">
        <v>14</v>
      </c>
      <c r="C2391" s="20"/>
      <c r="D2391" s="20"/>
      <c r="E2391" s="20"/>
      <c r="F2391" s="20"/>
      <c r="G2391" s="20"/>
    </row>
    <row r="2392">
      <c r="A2392" s="4" t="s">
        <v>1001</v>
      </c>
      <c r="B2392" s="12" t="s">
        <v>16</v>
      </c>
      <c r="C2392" s="21"/>
      <c r="D2392" s="21" t="s">
        <v>17</v>
      </c>
      <c r="E2392" s="21"/>
      <c r="F2392" s="21">
        <f>(0)</f>
      </c>
      <c r="G2392" s="21">
        <f>(C2392 * E2392 + C2392 * E2392 * F2392)</f>
      </c>
    </row>
    <row r="2393">
      <c r="A2393" s="4" t="s">
        <v>1002</v>
      </c>
      <c r="B2393" s="12" t="s">
        <v>19</v>
      </c>
      <c r="C2393" s="21"/>
      <c r="D2393" s="21" t="s">
        <v>17</v>
      </c>
      <c r="E2393" s="21"/>
      <c r="F2393" s="21">
        <f>(0)</f>
      </c>
      <c r="G2393" s="21">
        <f>(C2393 * E2393 + C2393 * E2393 * F2393)</f>
      </c>
    </row>
    <row r="2394">
      <c r="A2394" s="3"/>
      <c r="B2394" s="11" t="s">
        <v>22</v>
      </c>
      <c r="C2394" s="20"/>
      <c r="D2394" s="20"/>
      <c r="E2394" s="20"/>
      <c r="F2394" s="20"/>
      <c r="G2394" s="20"/>
    </row>
    <row r="2395">
      <c r="A2395" s="4"/>
      <c r="B2395" s="12" t="s">
        <v>1962</v>
      </c>
      <c r="C2395" s="21"/>
      <c r="D2395" s="21" t="s">
        <v>17</v>
      </c>
      <c r="E2395" s="21"/>
      <c r="F2395" s="21">
        <f>(0)</f>
      </c>
      <c r="G2395" s="21">
        <f>(C2395 * E2395 + C2395 * E2395 * F2395)</f>
      </c>
    </row>
    <row r="2396">
      <c r="A2396" s="4"/>
      <c r="B2396" s="12" t="s">
        <v>1963</v>
      </c>
      <c r="C2396" s="21"/>
      <c r="D2396" s="21" t="s">
        <v>17</v>
      </c>
      <c r="E2396" s="21"/>
      <c r="F2396" s="21">
        <f>(0)</f>
      </c>
      <c r="G2396" s="21">
        <f>(C2396 * E2396 + C2396 * E2396 * F2396)</f>
      </c>
    </row>
    <row r="2397">
      <c r="A2397" s="3"/>
      <c r="B2397" s="11" t="s">
        <v>24</v>
      </c>
      <c r="C2397" s="20"/>
      <c r="D2397" s="20"/>
      <c r="E2397" s="20"/>
      <c r="F2397" s="20"/>
      <c r="G2397" s="20"/>
    </row>
    <row r="2398">
      <c r="A2398" s="5"/>
      <c r="B2398" s="13" t="s">
        <v>25</v>
      </c>
      <c r="C2398" s="22"/>
      <c r="D2398" s="22"/>
      <c r="E2398" s="22"/>
      <c r="F2398" s="22"/>
      <c r="G2398" s="22"/>
    </row>
    <row r="2399">
      <c r="A2399" s="4" t="s">
        <v>1006</v>
      </c>
      <c r="B2399" s="14" t="s">
        <v>1964</v>
      </c>
      <c r="C2399" s="21"/>
      <c r="D2399" s="21" t="s">
        <v>17</v>
      </c>
      <c r="E2399" s="21"/>
      <c r="F2399" s="21">
        <f>(0)</f>
      </c>
      <c r="G2399" s="21">
        <f>(C2399 * E2399 + C2399 * E2399 * F2399)</f>
      </c>
    </row>
    <row r="2400">
      <c r="A2400" s="4" t="s">
        <v>1007</v>
      </c>
      <c r="B2400" s="14" t="s">
        <v>1873</v>
      </c>
      <c r="C2400" s="21"/>
      <c r="D2400" s="21" t="s">
        <v>17</v>
      </c>
      <c r="E2400" s="21"/>
      <c r="F2400" s="21">
        <f>(0)</f>
      </c>
      <c r="G2400" s="21">
        <f>(C2400 * E2400 + C2400 * E2400 * F2400)</f>
      </c>
    </row>
    <row r="2401">
      <c r="A2401" s="4" t="s">
        <v>1008</v>
      </c>
      <c r="B2401" s="14" t="s">
        <v>194</v>
      </c>
      <c r="C2401" s="21"/>
      <c r="D2401" s="21" t="s">
        <v>17</v>
      </c>
      <c r="E2401" s="21"/>
      <c r="F2401" s="21">
        <f>(0)</f>
      </c>
      <c r="G2401" s="21">
        <f>(C2401 * E2401 + C2401 * E2401 * F2401)</f>
      </c>
    </row>
    <row r="2402">
      <c r="A2402" s="3"/>
      <c r="B2402" s="11" t="s">
        <v>42</v>
      </c>
      <c r="C2402" s="20"/>
      <c r="D2402" s="20"/>
      <c r="E2402" s="20"/>
      <c r="F2402" s="20"/>
      <c r="G2402" s="20"/>
    </row>
    <row r="2403">
      <c r="A2403" s="4" t="s">
        <v>1014</v>
      </c>
      <c r="B2403" s="12" t="s">
        <v>1888</v>
      </c>
      <c r="C2403" s="21">
        <f>(1)*(1)*(1)*(1)*(1 + (0))</f>
      </c>
      <c r="D2403" s="21" t="s">
        <v>45</v>
      </c>
      <c r="E2403" s="21"/>
      <c r="F2403" s="21">
        <f>(0)</f>
      </c>
      <c r="G2403" s="21">
        <f>(C2403 * E2403 + C2403 * E2403 * F2403)</f>
      </c>
    </row>
    <row r="2404">
      <c r="A2404" s="4" t="s">
        <v>1015</v>
      </c>
      <c r="B2404" s="12" t="s">
        <v>1937</v>
      </c>
      <c r="C2404" s="21">
        <f>(1)*(1)*(1)*(1)*(1 + (0))</f>
      </c>
      <c r="D2404" s="21" t="s">
        <v>45</v>
      </c>
      <c r="E2404" s="21"/>
      <c r="F2404" s="21">
        <f>(0)</f>
      </c>
      <c r="G2404" s="21">
        <f>(C2404 * E2404 + C2404 * E2404 * F2404)</f>
      </c>
    </row>
    <row r="2405">
      <c r="A2405" s="4" t="s">
        <v>1021</v>
      </c>
      <c r="B2405" s="12" t="s">
        <v>832</v>
      </c>
      <c r="C2405" s="21">
        <f>(1)*(1)*(1)*(1)*(1 + (0))</f>
      </c>
      <c r="D2405" s="21" t="s">
        <v>45</v>
      </c>
      <c r="E2405" s="21"/>
      <c r="F2405" s="21">
        <f>(0)</f>
      </c>
      <c r="G2405" s="21">
        <f>(C2405 * E2405 + C2405 * E2405 * F2405)</f>
      </c>
    </row>
    <row r="2406">
      <c r="A2406" s="3"/>
      <c r="B2406" s="11" t="s">
        <v>1965</v>
      </c>
      <c r="C2406" s="20"/>
      <c r="D2406" s="20"/>
      <c r="E2406" s="20"/>
      <c r="F2406" s="20"/>
      <c r="G2406" s="20"/>
    </row>
    <row r="2407">
      <c r="A2407" s="4"/>
      <c r="B2407" s="12" t="s">
        <v>1966</v>
      </c>
      <c r="C2407" s="21">
        <f>(1)*(1)*(1)*(1)*(1 + (0))</f>
      </c>
      <c r="D2407" s="21" t="s">
        <v>170</v>
      </c>
      <c r="E2407" s="21"/>
      <c r="F2407" s="21">
        <f>(0)</f>
      </c>
      <c r="G2407" s="21">
        <f>(C2407 * E2407 + C2407 * E2407 * F2407)</f>
      </c>
    </row>
    <row r="2408">
      <c r="A2408" s="2"/>
      <c r="B2408" s="10" t="s">
        <v>1967</v>
      </c>
      <c r="C2408" s="19"/>
      <c r="D2408" s="19"/>
      <c r="E2408" s="19"/>
      <c r="F2408" s="19"/>
      <c r="G2408" s="19"/>
    </row>
    <row r="2409">
      <c r="A2409" s="3"/>
      <c r="B2409" s="11" t="s">
        <v>14</v>
      </c>
      <c r="C2409" s="20"/>
      <c r="D2409" s="20"/>
      <c r="E2409" s="20"/>
      <c r="F2409" s="20"/>
      <c r="G2409" s="20"/>
    </row>
    <row r="2410">
      <c r="A2410" s="4" t="s">
        <v>1968</v>
      </c>
      <c r="B2410" s="12" t="s">
        <v>1969</v>
      </c>
      <c r="C2410" s="21"/>
      <c r="D2410" s="21" t="s">
        <v>17</v>
      </c>
      <c r="E2410" s="21"/>
      <c r="F2410" s="21">
        <f>(0)</f>
      </c>
      <c r="G2410" s="21">
        <f>(C2410 * E2410 + C2410 * E2410 * F2410)</f>
      </c>
    </row>
    <row r="2411">
      <c r="A2411" s="4" t="s">
        <v>1970</v>
      </c>
      <c r="B2411" s="12" t="s">
        <v>19</v>
      </c>
      <c r="C2411" s="21"/>
      <c r="D2411" s="21" t="s">
        <v>17</v>
      </c>
      <c r="E2411" s="21"/>
      <c r="F2411" s="21">
        <f>(0)</f>
      </c>
      <c r="G2411" s="21">
        <f>(C2411 * E2411 + C2411 * E2411 * F2411)</f>
      </c>
    </row>
    <row r="2412">
      <c r="A2412" s="3"/>
      <c r="B2412" s="11" t="s">
        <v>24</v>
      </c>
      <c r="C2412" s="20"/>
      <c r="D2412" s="20"/>
      <c r="E2412" s="20"/>
      <c r="F2412" s="20"/>
      <c r="G2412" s="20"/>
    </row>
    <row r="2413">
      <c r="A2413" s="5"/>
      <c r="B2413" s="13" t="s">
        <v>1971</v>
      </c>
      <c r="C2413" s="22"/>
      <c r="D2413" s="22"/>
      <c r="E2413" s="22"/>
      <c r="F2413" s="22"/>
      <c r="G2413" s="22"/>
    </row>
    <row r="2414">
      <c r="A2414" s="4" t="s">
        <v>1972</v>
      </c>
      <c r="B2414" s="14" t="s">
        <v>1973</v>
      </c>
      <c r="C2414" s="21"/>
      <c r="D2414" s="21" t="s">
        <v>17</v>
      </c>
      <c r="E2414" s="21"/>
      <c r="F2414" s="21">
        <f>(0)</f>
      </c>
      <c r="G2414" s="21">
        <f>(C2414 * E2414 + C2414 * E2414 * F2414)</f>
      </c>
    </row>
    <row r="2415">
      <c r="A2415" s="4" t="s">
        <v>1974</v>
      </c>
      <c r="B2415" s="14" t="s">
        <v>107</v>
      </c>
      <c r="C2415" s="21"/>
      <c r="D2415" s="21" t="s">
        <v>17</v>
      </c>
      <c r="E2415" s="21"/>
      <c r="F2415" s="21">
        <f>(0)</f>
      </c>
      <c r="G2415" s="21">
        <f>(C2415 * E2415 + C2415 * E2415 * F2415)</f>
      </c>
    </row>
    <row r="2416">
      <c r="A2416" s="4" t="s">
        <v>1975</v>
      </c>
      <c r="B2416" s="14" t="s">
        <v>1976</v>
      </c>
      <c r="C2416" s="21"/>
      <c r="D2416" s="21" t="s">
        <v>17</v>
      </c>
      <c r="E2416" s="21"/>
      <c r="F2416" s="21">
        <f>(0)</f>
      </c>
      <c r="G2416" s="21">
        <f>(C2416 * E2416 + C2416 * E2416 * F2416)</f>
      </c>
    </row>
    <row r="2417">
      <c r="A2417" s="4" t="s">
        <v>1977</v>
      </c>
      <c r="B2417" s="14" t="s">
        <v>1978</v>
      </c>
      <c r="C2417" s="21"/>
      <c r="D2417" s="21" t="s">
        <v>17</v>
      </c>
      <c r="E2417" s="21"/>
      <c r="F2417" s="21">
        <f>(0)</f>
      </c>
      <c r="G2417" s="21">
        <f>(C2417 * E2417 + C2417 * E2417 * F2417)</f>
      </c>
    </row>
    <row r="2418">
      <c r="A2418" s="4" t="s">
        <v>1979</v>
      </c>
      <c r="B2418" s="14" t="s">
        <v>115</v>
      </c>
      <c r="C2418" s="21"/>
      <c r="D2418" s="21" t="s">
        <v>17</v>
      </c>
      <c r="E2418" s="21"/>
      <c r="F2418" s="21">
        <f>(0)</f>
      </c>
      <c r="G2418" s="21">
        <f>(C2418 * E2418 + C2418 * E2418 * F2418)</f>
      </c>
    </row>
    <row r="2419">
      <c r="A2419" s="4" t="s">
        <v>1980</v>
      </c>
      <c r="B2419" s="14" t="s">
        <v>119</v>
      </c>
      <c r="C2419" s="21"/>
      <c r="D2419" s="21" t="s">
        <v>17</v>
      </c>
      <c r="E2419" s="21"/>
      <c r="F2419" s="21">
        <f>(0)</f>
      </c>
      <c r="G2419" s="21">
        <f>(C2419 * E2419 + C2419 * E2419 * F2419)</f>
      </c>
    </row>
    <row r="2420">
      <c r="A2420" s="4" t="s">
        <v>1981</v>
      </c>
      <c r="B2420" s="14" t="s">
        <v>124</v>
      </c>
      <c r="C2420" s="21"/>
      <c r="D2420" s="21" t="s">
        <v>17</v>
      </c>
      <c r="E2420" s="21"/>
      <c r="F2420" s="21">
        <f>(0)</f>
      </c>
      <c r="G2420" s="21">
        <f>(C2420 * E2420 + C2420 * E2420 * F2420)</f>
      </c>
    </row>
    <row r="2421">
      <c r="A2421" s="4" t="s">
        <v>1982</v>
      </c>
      <c r="B2421" s="14" t="s">
        <v>194</v>
      </c>
      <c r="C2421" s="21"/>
      <c r="D2421" s="21" t="s">
        <v>17</v>
      </c>
      <c r="E2421" s="21"/>
      <c r="F2421" s="21">
        <f>(0)</f>
      </c>
      <c r="G2421" s="21">
        <f>(C2421 * E2421 + C2421 * E2421 * F2421)</f>
      </c>
    </row>
    <row r="2422">
      <c r="A2422" s="3"/>
      <c r="B2422" s="11" t="s">
        <v>98</v>
      </c>
      <c r="C2422" s="20"/>
      <c r="D2422" s="20"/>
      <c r="E2422" s="20"/>
      <c r="F2422" s="20"/>
      <c r="G2422" s="20"/>
    </row>
    <row r="2423">
      <c r="A2423" s="4"/>
      <c r="B2423" s="12" t="s">
        <v>1003</v>
      </c>
      <c r="C2423" s="21"/>
      <c r="D2423" s="21" t="s">
        <v>17</v>
      </c>
      <c r="E2423" s="21"/>
      <c r="F2423" s="21">
        <f>(0)</f>
      </c>
      <c r="G2423" s="21">
        <f>(C2423 * E2423 + C2423 * E2423 * F2423)</f>
      </c>
    </row>
    <row r="2424">
      <c r="A2424" s="4"/>
      <c r="B2424" s="12" t="s">
        <v>1983</v>
      </c>
      <c r="C2424" s="21"/>
      <c r="D2424" s="21" t="s">
        <v>17</v>
      </c>
      <c r="E2424" s="21"/>
      <c r="F2424" s="21">
        <f>(0)</f>
      </c>
      <c r="G2424" s="21">
        <f>(C2424 * E2424 + C2424 * E2424 * F2424)</f>
      </c>
    </row>
    <row r="2425">
      <c r="A2425" s="4"/>
      <c r="B2425" s="12" t="s">
        <v>1984</v>
      </c>
      <c r="C2425" s="21"/>
      <c r="D2425" s="21" t="s">
        <v>17</v>
      </c>
      <c r="E2425" s="21"/>
      <c r="F2425" s="21">
        <f>(0)</f>
      </c>
      <c r="G2425" s="21">
        <f>(C2425 * E2425 + C2425 * E2425 * F2425)</f>
      </c>
    </row>
    <row r="2426">
      <c r="A2426" s="4"/>
      <c r="B2426" s="12" t="s">
        <v>1985</v>
      </c>
      <c r="C2426" s="21"/>
      <c r="D2426" s="21" t="s">
        <v>17</v>
      </c>
      <c r="E2426" s="21"/>
      <c r="F2426" s="21">
        <f>(0)</f>
      </c>
      <c r="G2426" s="21">
        <f>(C2426 * E2426 + C2426 * E2426 * F2426)</f>
      </c>
    </row>
    <row r="2427">
      <c r="A2427" s="3"/>
      <c r="B2427" s="11" t="s">
        <v>42</v>
      </c>
      <c r="C2427" s="20"/>
      <c r="D2427" s="20"/>
      <c r="E2427" s="20"/>
      <c r="F2427" s="20"/>
      <c r="G2427" s="20"/>
    </row>
    <row r="2428">
      <c r="A2428" s="4" t="s">
        <v>1986</v>
      </c>
      <c r="B2428" s="12" t="s">
        <v>136</v>
      </c>
      <c r="C2428" s="21">
        <f>(1)*(1)*(1)*(1)*(1 + (0))</f>
      </c>
      <c r="D2428" s="21" t="s">
        <v>45</v>
      </c>
      <c r="E2428" s="21"/>
      <c r="F2428" s="21">
        <f>(0)</f>
      </c>
      <c r="G2428" s="21">
        <f>(C2428 * E2428 + C2428 * E2428 * F2428)</f>
      </c>
    </row>
    <row r="2429">
      <c r="A2429" s="4" t="s">
        <v>1987</v>
      </c>
      <c r="B2429" s="12" t="s">
        <v>1074</v>
      </c>
      <c r="C2429" s="21">
        <f>(1)*(1)*(1)*(1)*(1 + (0))</f>
      </c>
      <c r="D2429" s="21" t="s">
        <v>45</v>
      </c>
      <c r="E2429" s="21"/>
      <c r="F2429" s="21">
        <f>(0)</f>
      </c>
      <c r="G2429" s="21">
        <f>(C2429 * E2429 + C2429 * E2429 * F2429)</f>
      </c>
    </row>
    <row r="2430">
      <c r="A2430" s="4" t="s">
        <v>1988</v>
      </c>
      <c r="B2430" s="12" t="s">
        <v>1989</v>
      </c>
      <c r="C2430" s="21">
        <f>(1)*(1)*(1)*(1)*(1 + (0))</f>
      </c>
      <c r="D2430" s="21" t="s">
        <v>45</v>
      </c>
      <c r="E2430" s="21"/>
      <c r="F2430" s="21">
        <f>(0)</f>
      </c>
      <c r="G2430" s="21">
        <f>(C2430 * E2430 + C2430 * E2430 * F2430)</f>
      </c>
    </row>
    <row r="2431">
      <c r="A2431" s="4" t="s">
        <v>1990</v>
      </c>
      <c r="B2431" s="12" t="s">
        <v>1991</v>
      </c>
      <c r="C2431" s="21">
        <f>(1)*(1)*(1)*(1)*(1 + (0))</f>
      </c>
      <c r="D2431" s="21" t="s">
        <v>45</v>
      </c>
      <c r="E2431" s="21"/>
      <c r="F2431" s="21">
        <f>(0)</f>
      </c>
      <c r="G2431" s="21">
        <f>(C2431 * E2431 + C2431 * E2431 * F2431)</f>
      </c>
    </row>
    <row r="2432">
      <c r="A2432" s="4" t="s">
        <v>1992</v>
      </c>
      <c r="B2432" s="12" t="s">
        <v>832</v>
      </c>
      <c r="C2432" s="21">
        <f>(1)*(1)*(1)*(1)*(1 + (0))</f>
      </c>
      <c r="D2432" s="21" t="s">
        <v>45</v>
      </c>
      <c r="E2432" s="21"/>
      <c r="F2432" s="21">
        <f>(0)</f>
      </c>
      <c r="G2432" s="21">
        <f>(C2432 * E2432 + C2432 * E2432 * F2432)</f>
      </c>
    </row>
    <row r="2433">
      <c r="A2433" s="4" t="s">
        <v>1993</v>
      </c>
      <c r="B2433" s="12" t="s">
        <v>134</v>
      </c>
      <c r="C2433" s="21">
        <f>(1)*(1)*(1)*(1)*(1 + (0))</f>
      </c>
      <c r="D2433" s="21" t="s">
        <v>45</v>
      </c>
      <c r="E2433" s="21"/>
      <c r="F2433" s="21">
        <f>(0)</f>
      </c>
      <c r="G2433" s="21">
        <f>(C2433 * E2433 + C2433 * E2433 * F2433)</f>
      </c>
    </row>
    <row r="2434">
      <c r="A2434" s="4" t="s">
        <v>1994</v>
      </c>
      <c r="B2434" s="12" t="s">
        <v>1995</v>
      </c>
      <c r="C2434" s="21">
        <f>(1)*(1)*(1)*(1)*(1 + (0))</f>
      </c>
      <c r="D2434" s="21" t="s">
        <v>45</v>
      </c>
      <c r="E2434" s="21"/>
      <c r="F2434" s="21">
        <f>(0)</f>
      </c>
      <c r="G2434" s="21">
        <f>(C2434 * E2434 + C2434 * E2434 * F2434)</f>
      </c>
    </row>
    <row r="2435">
      <c r="A2435" s="4" t="s">
        <v>1996</v>
      </c>
      <c r="B2435" s="12" t="s">
        <v>1997</v>
      </c>
      <c r="C2435" s="21">
        <f>(1)*(1)*(1)*(1)*(1 + (0))</f>
      </c>
      <c r="D2435" s="21" t="s">
        <v>45</v>
      </c>
      <c r="E2435" s="21"/>
      <c r="F2435" s="21">
        <f>(0)</f>
      </c>
      <c r="G2435" s="21">
        <f>(C2435 * E2435 + C2435 * E2435 * F2435)</f>
      </c>
    </row>
    <row r="2436">
      <c r="A2436" s="4" t="s">
        <v>1998</v>
      </c>
      <c r="B2436" s="12" t="s">
        <v>1999</v>
      </c>
      <c r="C2436" s="21">
        <f>(1)*(1)*(1)*(1)*(1 + (0))</f>
      </c>
      <c r="D2436" s="21" t="s">
        <v>45</v>
      </c>
      <c r="E2436" s="21"/>
      <c r="F2436" s="21">
        <f>(0)</f>
      </c>
      <c r="G2436" s="21">
        <f>(C2436 * E2436 + C2436 * E2436 * F2436)</f>
      </c>
    </row>
    <row r="2437">
      <c r="A2437" s="4" t="s">
        <v>2000</v>
      </c>
      <c r="B2437" s="12" t="s">
        <v>2001</v>
      </c>
      <c r="C2437" s="21">
        <f>(1)*(1)*(1)*(1)*(1 + (0))</f>
      </c>
      <c r="D2437" s="21" t="s">
        <v>45</v>
      </c>
      <c r="E2437" s="21"/>
      <c r="F2437" s="21">
        <f>(0)</f>
      </c>
      <c r="G2437" s="21">
        <f>(C2437 * E2437 + C2437 * E2437 * F2437)</f>
      </c>
    </row>
    <row r="2438">
      <c r="A2438" s="4" t="s">
        <v>2002</v>
      </c>
      <c r="B2438" s="12" t="s">
        <v>2003</v>
      </c>
      <c r="C2438" s="21">
        <f>(1)*(1)*(1)*(1)*(1 + (0))</f>
      </c>
      <c r="D2438" s="21" t="s">
        <v>45</v>
      </c>
      <c r="E2438" s="21"/>
      <c r="F2438" s="21">
        <f>(0)</f>
      </c>
      <c r="G2438" s="21">
        <f>(C2438 * E2438 + C2438 * E2438 * F2438)</f>
      </c>
    </row>
    <row r="2439">
      <c r="A2439" s="3"/>
      <c r="B2439" s="11" t="s">
        <v>82</v>
      </c>
      <c r="C2439" s="20"/>
      <c r="D2439" s="20"/>
      <c r="E2439" s="20"/>
      <c r="F2439" s="20"/>
      <c r="G2439" s="20"/>
    </row>
    <row r="2440">
      <c r="A2440" s="4"/>
      <c r="B2440" s="12" t="s">
        <v>2004</v>
      </c>
      <c r="C2440" s="21"/>
      <c r="D2440" s="21" t="s">
        <v>264</v>
      </c>
      <c r="E2440" s="21"/>
      <c r="F2440" s="21">
        <f>(0)</f>
      </c>
      <c r="G2440" s="21">
        <f>(C2440 * E2440 + C2440 * E2440 * F2440)</f>
      </c>
    </row>
    <row r="2441">
      <c r="A2441" s="3"/>
      <c r="B2441" s="11" t="s">
        <v>2005</v>
      </c>
      <c r="C2441" s="20"/>
      <c r="D2441" s="20"/>
      <c r="E2441" s="20"/>
      <c r="F2441" s="20"/>
      <c r="G2441" s="20"/>
    </row>
    <row r="2442">
      <c r="A2442" s="5"/>
      <c r="B2442" s="13" t="s">
        <v>2006</v>
      </c>
      <c r="C2442" s="22"/>
      <c r="D2442" s="22"/>
      <c r="E2442" s="22"/>
      <c r="F2442" s="22"/>
      <c r="G2442" s="22"/>
    </row>
    <row r="2443">
      <c r="A2443" s="4"/>
      <c r="B2443" s="14" t="s">
        <v>2007</v>
      </c>
      <c r="C2443" s="21">
        <f>(4)*(1)*(1)*(1)*(1 + (0))</f>
      </c>
      <c r="D2443" s="21" t="s">
        <v>170</v>
      </c>
      <c r="E2443" s="21"/>
      <c r="F2443" s="21">
        <f>(0)</f>
      </c>
      <c r="G2443" s="21">
        <f>(C2443 * E2443 + C2443 * E2443 * F2443)</f>
      </c>
    </row>
    <row r="2444">
      <c r="A2444" s="4"/>
      <c r="B2444" s="14" t="s">
        <v>2008</v>
      </c>
      <c r="C2444" s="21">
        <f>(10)*(1)*(1)*(1)*(1 + (0))</f>
      </c>
      <c r="D2444" s="21" t="s">
        <v>170</v>
      </c>
      <c r="E2444" s="21"/>
      <c r="F2444" s="21">
        <f>(0)</f>
      </c>
      <c r="G2444" s="21">
        <f>(C2444 * E2444 + C2444 * E2444 * F2444)</f>
      </c>
    </row>
    <row r="2445">
      <c r="A2445" s="4"/>
      <c r="B2445" s="14" t="s">
        <v>2009</v>
      </c>
      <c r="C2445" s="21">
        <f>(9)*(1)*(1)*(1)*(1 + (0))</f>
      </c>
      <c r="D2445" s="21" t="s">
        <v>170</v>
      </c>
      <c r="E2445" s="21"/>
      <c r="F2445" s="21">
        <f>(0)</f>
      </c>
      <c r="G2445" s="21">
        <f>(C2445 * E2445 + C2445 * E2445 * F2445)</f>
      </c>
    </row>
    <row r="2446">
      <c r="A2446" s="4"/>
      <c r="B2446" s="14" t="s">
        <v>2010</v>
      </c>
      <c r="C2446" s="21">
        <f>(5)*(1)*(1)*(1)*(1 + (0))</f>
      </c>
      <c r="D2446" s="21" t="s">
        <v>170</v>
      </c>
      <c r="E2446" s="21"/>
      <c r="F2446" s="21">
        <f>(0)</f>
      </c>
      <c r="G2446" s="21">
        <f>(C2446 * E2446 + C2446 * E2446 * F2446)</f>
      </c>
    </row>
    <row r="2447">
      <c r="A2447" s="4"/>
      <c r="B2447" s="14" t="s">
        <v>2011</v>
      </c>
      <c r="C2447" s="21">
        <f>(5)*(1)*(1)*(1)*(1 + (0))</f>
      </c>
      <c r="D2447" s="21" t="s">
        <v>170</v>
      </c>
      <c r="E2447" s="21"/>
      <c r="F2447" s="21">
        <f>(0)</f>
      </c>
      <c r="G2447" s="21">
        <f>(C2447 * E2447 + C2447 * E2447 * F2447)</f>
      </c>
    </row>
    <row r="2448">
      <c r="A2448" s="4"/>
      <c r="B2448" s="14" t="s">
        <v>2012</v>
      </c>
      <c r="C2448" s="21">
        <f>(1)*(1)*(1)*(1)*(1 + (0))</f>
      </c>
      <c r="D2448" s="21" t="s">
        <v>170</v>
      </c>
      <c r="E2448" s="21"/>
      <c r="F2448" s="21">
        <f>(0)</f>
      </c>
      <c r="G2448" s="21">
        <f>(C2448 * E2448 + C2448 * E2448 * F2448)</f>
      </c>
    </row>
    <row r="2449">
      <c r="A2449" s="5"/>
      <c r="B2449" s="13" t="s">
        <v>2013</v>
      </c>
      <c r="C2449" s="22"/>
      <c r="D2449" s="22"/>
      <c r="E2449" s="22"/>
      <c r="F2449" s="22"/>
      <c r="G2449" s="22"/>
    </row>
    <row r="2450">
      <c r="A2450" s="4"/>
      <c r="B2450" s="14" t="s">
        <v>2014</v>
      </c>
      <c r="C2450" s="21">
        <f>(3)*(1)*(1)*(1)*(1 + (0))</f>
      </c>
      <c r="D2450" s="21" t="s">
        <v>170</v>
      </c>
      <c r="E2450" s="21"/>
      <c r="F2450" s="21">
        <f>(0)</f>
      </c>
      <c r="G2450" s="21">
        <f>(C2450 * E2450 + C2450 * E2450 * F2450)</f>
      </c>
    </row>
    <row r="2451">
      <c r="A2451" s="4"/>
      <c r="B2451" s="14" t="s">
        <v>2015</v>
      </c>
      <c r="C2451" s="21">
        <f>(5)*(1)*(1)*(1)*(1 + (0))</f>
      </c>
      <c r="D2451" s="21" t="s">
        <v>170</v>
      </c>
      <c r="E2451" s="21"/>
      <c r="F2451" s="21">
        <f>(0)</f>
      </c>
      <c r="G2451" s="21">
        <f>(C2451 * E2451 + C2451 * E2451 * F2451)</f>
      </c>
    </row>
    <row r="2452">
      <c r="A2452" s="5"/>
      <c r="B2452" s="13" t="s">
        <v>2016</v>
      </c>
      <c r="C2452" s="22"/>
      <c r="D2452" s="22"/>
      <c r="E2452" s="22"/>
      <c r="F2452" s="22"/>
      <c r="G2452" s="22"/>
    </row>
    <row r="2453">
      <c r="A2453" s="4"/>
      <c r="B2453" s="14" t="s">
        <v>2017</v>
      </c>
      <c r="C2453" s="21">
        <f>(61)*(1)*(1)*(1)*(1 + (0))</f>
      </c>
      <c r="D2453" s="21" t="s">
        <v>170</v>
      </c>
      <c r="E2453" s="21"/>
      <c r="F2453" s="21">
        <f>(0)</f>
      </c>
      <c r="G2453" s="21">
        <f>(C2453 * E2453 + C2453 * E2453 * F2453)</f>
      </c>
    </row>
    <row r="2454">
      <c r="A2454" s="4"/>
      <c r="B2454" s="14" t="s">
        <v>2018</v>
      </c>
      <c r="C2454" s="21">
        <f>(448)*(1)*(1)*(1)*(1 + (0))</f>
      </c>
      <c r="D2454" s="21" t="s">
        <v>170</v>
      </c>
      <c r="E2454" s="21"/>
      <c r="F2454" s="21">
        <f>(0)</f>
      </c>
      <c r="G2454" s="21">
        <f>(C2454 * E2454 + C2454 * E2454 * F2454)</f>
      </c>
    </row>
    <row r="2455">
      <c r="A2455" s="3"/>
      <c r="B2455" s="11" t="s">
        <v>2019</v>
      </c>
      <c r="C2455" s="20"/>
      <c r="D2455" s="20"/>
      <c r="E2455" s="20"/>
      <c r="F2455" s="20"/>
      <c r="G2455" s="20"/>
    </row>
    <row r="2456">
      <c r="A2456" s="4"/>
      <c r="B2456" s="12" t="s">
        <v>2020</v>
      </c>
      <c r="C2456" s="21">
        <f>(1618.02671308528)*(1)*(1)*(1)*(1 + (0))</f>
      </c>
      <c r="D2456" s="21" t="s">
        <v>9</v>
      </c>
      <c r="E2456" s="21"/>
      <c r="F2456" s="21">
        <f>(0)</f>
      </c>
      <c r="G2456" s="21">
        <f>(C2456 * E2456 + C2456 * E2456 * F2456)</f>
      </c>
    </row>
    <row r="2457">
      <c r="A2457" s="4"/>
      <c r="B2457" s="12" t="s">
        <v>2021</v>
      </c>
      <c r="C2457" s="21">
        <f>(140.967517810654)*(1)*(1)*(1)*(1 + (0))</f>
      </c>
      <c r="D2457" s="21" t="s">
        <v>9</v>
      </c>
      <c r="E2457" s="21"/>
      <c r="F2457" s="21">
        <f>(0)</f>
      </c>
      <c r="G2457" s="21">
        <f>(C2457 * E2457 + C2457 * E2457 * F2457)</f>
      </c>
    </row>
    <row r="2458">
      <c r="A2458" s="3"/>
      <c r="B2458" s="11" t="s">
        <v>2022</v>
      </c>
      <c r="C2458" s="20"/>
      <c r="D2458" s="20"/>
      <c r="E2458" s="20"/>
      <c r="F2458" s="20"/>
      <c r="G2458" s="20"/>
    </row>
    <row r="2459">
      <c r="A2459" s="5"/>
      <c r="B2459" s="13" t="s">
        <v>2023</v>
      </c>
      <c r="C2459" s="22"/>
      <c r="D2459" s="22"/>
      <c r="E2459" s="22"/>
      <c r="F2459" s="22"/>
      <c r="G2459" s="22"/>
    </row>
    <row r="2460">
      <c r="A2460" s="4"/>
      <c r="B2460" s="14" t="s">
        <v>2024</v>
      </c>
      <c r="C2460" s="21">
        <f>(110.381327598399)*(1)*(1)*(1)*(1 + (0))</f>
      </c>
      <c r="D2460" s="21" t="s">
        <v>167</v>
      </c>
      <c r="E2460" s="21"/>
      <c r="F2460" s="21">
        <f>(0)</f>
      </c>
      <c r="G2460" s="21">
        <f>(C2460 * E2460 + C2460 * E2460 * F2460)</f>
      </c>
    </row>
    <row r="2461">
      <c r="A2461" s="4"/>
      <c r="B2461" s="14" t="s">
        <v>2025</v>
      </c>
      <c r="C2461" s="21">
        <f>(4)*(1)*(1)*(1)*(1 + (0))</f>
      </c>
      <c r="D2461" s="21" t="s">
        <v>170</v>
      </c>
      <c r="E2461" s="21"/>
      <c r="F2461" s="21">
        <f>(0)</f>
      </c>
      <c r="G2461" s="21">
        <f>(C2461 * E2461 + C2461 * E2461 * F2461)</f>
      </c>
    </row>
    <row r="2462">
      <c r="A2462" s="3"/>
      <c r="B2462" s="11" t="s">
        <v>2026</v>
      </c>
      <c r="C2462" s="20"/>
      <c r="D2462" s="20"/>
      <c r="E2462" s="20"/>
      <c r="F2462" s="20"/>
      <c r="G2462" s="20"/>
    </row>
    <row r="2463">
      <c r="A2463" s="4"/>
      <c r="B2463" s="12" t="s">
        <v>2027</v>
      </c>
      <c r="C2463" s="21">
        <f>(34)*(1)*(1)*(1)*(1 + (0))</f>
      </c>
      <c r="D2463" s="21" t="s">
        <v>170</v>
      </c>
      <c r="E2463" s="21"/>
      <c r="F2463" s="21">
        <f>(0)</f>
      </c>
      <c r="G2463" s="21">
        <f>(C2463 * E2463 + C2463 * E2463 * F2463)</f>
      </c>
    </row>
    <row r="2464">
      <c r="A2464" s="4"/>
      <c r="B2464" s="12" t="s">
        <v>2028</v>
      </c>
      <c r="C2464" s="21">
        <f>(116.60515406931)*(1)*(1)*(1)*(1 + (0))</f>
      </c>
      <c r="D2464" s="21" t="s">
        <v>9</v>
      </c>
      <c r="E2464" s="21"/>
      <c r="F2464" s="21">
        <f>(0)</f>
      </c>
      <c r="G2464" s="21">
        <f>(C2464 * E2464 + C2464 * E2464 * F2464)</f>
      </c>
    </row>
    <row r="2465">
      <c r="A2465" s="4"/>
      <c r="B2465" s="12" t="s">
        <v>2029</v>
      </c>
      <c r="C2465" s="21">
        <f>(1388.54839286136)*(1)*(1)*(1)*(1 + (0))</f>
      </c>
      <c r="D2465" s="21" t="s">
        <v>9</v>
      </c>
      <c r="E2465" s="21"/>
      <c r="F2465" s="21">
        <f>(0)</f>
      </c>
      <c r="G2465" s="21">
        <f>(C2465 * E2465 + C2465 * E2465 * F2465)</f>
      </c>
    </row>
    <row r="2466">
      <c r="A2466" s="4"/>
      <c r="B2466" s="12" t="s">
        <v>2030</v>
      </c>
      <c r="C2466" s="21">
        <f>(235.575421281088)*(1)*(1)*(1)*(1 + (0))</f>
      </c>
      <c r="D2466" s="21" t="s">
        <v>9</v>
      </c>
      <c r="E2466" s="21"/>
      <c r="F2466" s="21">
        <f>(0)</f>
      </c>
      <c r="G2466" s="21">
        <f>(C2466 * E2466 + C2466 * E2466 * F2466)</f>
      </c>
    </row>
    <row r="2467">
      <c r="A2467" s="4"/>
      <c r="B2467" s="12" t="s">
        <v>2031</v>
      </c>
      <c r="C2467" s="21">
        <f>(12.807404359357)*(1)*(1)*(1)*(1 + (0))</f>
      </c>
      <c r="D2467" s="21" t="s">
        <v>167</v>
      </c>
      <c r="E2467" s="21"/>
      <c r="F2467" s="21">
        <f>(0)</f>
      </c>
      <c r="G2467" s="21">
        <f>(C2467 * E2467 + C2467 * E2467 * F2467)</f>
      </c>
    </row>
    <row r="2468">
      <c r="A2468" s="4"/>
      <c r="B2468" s="12" t="s">
        <v>2032</v>
      </c>
      <c r="C2468" s="21">
        <f>(34)*(1)*(1)*(1)*(1 + (0))</f>
      </c>
      <c r="D2468" s="21" t="s">
        <v>170</v>
      </c>
      <c r="E2468" s="21"/>
      <c r="F2468" s="21">
        <f>(0)</f>
      </c>
      <c r="G2468" s="21">
        <f>(C2468 * E2468 + C2468 * E2468 * F2468)</f>
      </c>
    </row>
    <row r="2469">
      <c r="A2469" s="4"/>
      <c r="B2469" s="12" t="s">
        <v>2033</v>
      </c>
      <c r="C2469" s="21">
        <f>(116.60515406931)*(1)*(1)*(1)*(1 + (0))</f>
      </c>
      <c r="D2469" s="21" t="s">
        <v>9</v>
      </c>
      <c r="E2469" s="21"/>
      <c r="F2469" s="21">
        <f>(0)</f>
      </c>
      <c r="G2469" s="21">
        <f>(C2469 * E2469 + C2469 * E2469 * F2469)</f>
      </c>
    </row>
    <row r="2470">
      <c r="A2470" s="3"/>
      <c r="B2470" s="11" t="s">
        <v>2034</v>
      </c>
      <c r="C2470" s="20"/>
      <c r="D2470" s="20"/>
      <c r="E2470" s="20"/>
      <c r="F2470" s="20"/>
      <c r="G2470" s="20"/>
    </row>
    <row r="2471">
      <c r="A2471" s="5"/>
      <c r="B2471" s="13" t="s">
        <v>2035</v>
      </c>
      <c r="C2471" s="22"/>
      <c r="D2471" s="22"/>
      <c r="E2471" s="22"/>
      <c r="F2471" s="22"/>
      <c r="G2471" s="22"/>
    </row>
    <row r="2472">
      <c r="A2472" s="4"/>
      <c r="B2472" s="14" t="s">
        <v>2036</v>
      </c>
      <c r="C2472" s="21">
        <f>(293)*(1)*(1)*(1)*(1 + (0))</f>
      </c>
      <c r="D2472" s="21" t="s">
        <v>167</v>
      </c>
      <c r="E2472" s="21"/>
      <c r="F2472" s="21">
        <f>(0)</f>
      </c>
      <c r="G2472" s="21">
        <f>(C2472 * E2472 + C2472 * E2472 * F2472)</f>
      </c>
    </row>
    <row r="2473">
      <c r="A2473" s="5"/>
      <c r="B2473" s="13" t="s">
        <v>2037</v>
      </c>
      <c r="C2473" s="22"/>
      <c r="D2473" s="22"/>
      <c r="E2473" s="22"/>
      <c r="F2473" s="22"/>
      <c r="G2473" s="22"/>
    </row>
    <row r="2474">
      <c r="A2474" s="6"/>
      <c r="B2474" s="15" t="s">
        <v>2038</v>
      </c>
      <c r="C2474" s="23"/>
      <c r="D2474" s="23"/>
      <c r="E2474" s="23"/>
      <c r="F2474" s="23"/>
      <c r="G2474" s="23"/>
    </row>
    <row r="2475">
      <c r="A2475" s="4"/>
      <c r="B2475" s="16" t="s">
        <v>2039</v>
      </c>
      <c r="C2475" s="21">
        <f>(1)*(1)*(1)*(1)*(1 + (0))</f>
      </c>
      <c r="D2475" s="21" t="s">
        <v>170</v>
      </c>
      <c r="E2475" s="21"/>
      <c r="F2475" s="21">
        <f>(0)</f>
      </c>
      <c r="G2475" s="21">
        <f>(C2475 * E2475 + C2475 * E2475 * F2475)</f>
      </c>
    </row>
    <row r="2476">
      <c r="A2476" s="6"/>
      <c r="B2476" s="15" t="s">
        <v>2040</v>
      </c>
      <c r="C2476" s="23"/>
      <c r="D2476" s="23"/>
      <c r="E2476" s="23"/>
      <c r="F2476" s="23"/>
      <c r="G2476" s="23"/>
    </row>
    <row r="2477">
      <c r="A2477" s="4"/>
      <c r="B2477" s="16" t="s">
        <v>2041</v>
      </c>
      <c r="C2477" s="21">
        <f>(1)*(1)*(1)*(1)*(1 + (0))</f>
      </c>
      <c r="D2477" s="21" t="s">
        <v>170</v>
      </c>
      <c r="E2477" s="21"/>
      <c r="F2477" s="21">
        <f>(0)</f>
      </c>
      <c r="G2477" s="21">
        <f>(C2477 * E2477 + C2477 * E2477 * F2477)</f>
      </c>
    </row>
    <row r="2478">
      <c r="A2478" s="5"/>
      <c r="B2478" s="13" t="s">
        <v>2042</v>
      </c>
      <c r="C2478" s="22"/>
      <c r="D2478" s="22"/>
      <c r="E2478" s="22"/>
      <c r="F2478" s="22"/>
      <c r="G2478" s="22"/>
    </row>
    <row r="2479">
      <c r="A2479" s="6"/>
      <c r="B2479" s="15" t="s">
        <v>2043</v>
      </c>
      <c r="C2479" s="23"/>
      <c r="D2479" s="23"/>
      <c r="E2479" s="23"/>
      <c r="F2479" s="23"/>
      <c r="G2479" s="23"/>
    </row>
    <row r="2480">
      <c r="A2480" s="4"/>
      <c r="B2480" s="16" t="s">
        <v>2044</v>
      </c>
      <c r="C2480" s="21">
        <f>(102)*(1)*(1)*(1)*(1 + (0))</f>
      </c>
      <c r="D2480" s="21" t="s">
        <v>167</v>
      </c>
      <c r="E2480" s="21"/>
      <c r="F2480" s="21">
        <f>(0)</f>
      </c>
      <c r="G2480" s="21">
        <f>(C2480 * E2480 + C2480 * E2480 * F2480)</f>
      </c>
    </row>
    <row r="2481">
      <c r="A2481" s="4"/>
      <c r="B2481" s="16" t="s">
        <v>2045</v>
      </c>
      <c r="C2481" s="21">
        <f>(5)*(1)*(1)*(1)*(1 + (0))</f>
      </c>
      <c r="D2481" s="21" t="s">
        <v>167</v>
      </c>
      <c r="E2481" s="21"/>
      <c r="F2481" s="21">
        <f>(0)</f>
      </c>
      <c r="G2481" s="21">
        <f>(C2481 * E2481 + C2481 * E2481 * F2481)</f>
      </c>
    </row>
    <row r="2482">
      <c r="A2482" s="4"/>
      <c r="B2482" s="16" t="s">
        <v>2046</v>
      </c>
      <c r="C2482" s="21">
        <f>(42)*(1)*(1)*(1)*(1 + (0))</f>
      </c>
      <c r="D2482" s="21" t="s">
        <v>167</v>
      </c>
      <c r="E2482" s="21"/>
      <c r="F2482" s="21">
        <f>(0)</f>
      </c>
      <c r="G2482" s="21">
        <f>(C2482 * E2482 + C2482 * E2482 * F2482)</f>
      </c>
    </row>
    <row r="2483">
      <c r="A2483" s="6"/>
      <c r="B2483" s="15" t="s">
        <v>2047</v>
      </c>
      <c r="C2483" s="23"/>
      <c r="D2483" s="23"/>
      <c r="E2483" s="23"/>
      <c r="F2483" s="23"/>
      <c r="G2483" s="23"/>
    </row>
    <row r="2484">
      <c r="A2484" s="4"/>
      <c r="B2484" s="16" t="s">
        <v>2048</v>
      </c>
      <c r="C2484" s="21">
        <f>(10)*(1)*(1)*(1)*(1 + (0))</f>
      </c>
      <c r="D2484" s="21" t="s">
        <v>167</v>
      </c>
      <c r="E2484" s="21"/>
      <c r="F2484" s="21">
        <f>(0)</f>
      </c>
      <c r="G2484" s="21">
        <f>(C2484 * E2484 + C2484 * E2484 * F2484)</f>
      </c>
    </row>
    <row r="2485">
      <c r="A2485" s="4"/>
      <c r="B2485" s="16" t="s">
        <v>2044</v>
      </c>
      <c r="C2485" s="21">
        <f>(63)*(1)*(1)*(1)*(1 + (0))</f>
      </c>
      <c r="D2485" s="21" t="s">
        <v>167</v>
      </c>
      <c r="E2485" s="21"/>
      <c r="F2485" s="21">
        <f>(0)</f>
      </c>
      <c r="G2485" s="21">
        <f>(C2485 * E2485 + C2485 * E2485 * F2485)</f>
      </c>
    </row>
    <row r="2486">
      <c r="A2486" s="4"/>
      <c r="B2486" s="16" t="s">
        <v>2045</v>
      </c>
      <c r="C2486" s="21">
        <f>(94)*(1)*(1)*(1)*(1 + (0))</f>
      </c>
      <c r="D2486" s="21" t="s">
        <v>167</v>
      </c>
      <c r="E2486" s="21"/>
      <c r="F2486" s="21">
        <f>(0)</f>
      </c>
      <c r="G2486" s="21">
        <f>(C2486 * E2486 + C2486 * E2486 * F2486)</f>
      </c>
    </row>
    <row r="2487">
      <c r="A2487" s="4"/>
      <c r="B2487" s="16" t="s">
        <v>2046</v>
      </c>
      <c r="C2487" s="21">
        <f>(7)*(1)*(1)*(1)*(1 + (0))</f>
      </c>
      <c r="D2487" s="21" t="s">
        <v>167</v>
      </c>
      <c r="E2487" s="21"/>
      <c r="F2487" s="21">
        <f>(0)</f>
      </c>
      <c r="G2487" s="21">
        <f>(C2487 * E2487 + C2487 * E2487 * F2487)</f>
      </c>
    </row>
    <row r="2488">
      <c r="A2488" s="3"/>
      <c r="B2488" s="11" t="s">
        <v>2049</v>
      </c>
      <c r="C2488" s="20"/>
      <c r="D2488" s="20"/>
      <c r="E2488" s="20"/>
      <c r="F2488" s="20"/>
      <c r="G2488" s="20"/>
    </row>
    <row r="2489">
      <c r="A2489" s="5"/>
      <c r="B2489" s="13" t="s">
        <v>610</v>
      </c>
      <c r="C2489" s="22"/>
      <c r="D2489" s="22"/>
      <c r="E2489" s="22"/>
      <c r="F2489" s="22"/>
      <c r="G2489" s="22"/>
    </row>
    <row r="2490">
      <c r="A2490" s="4"/>
      <c r="B2490" s="14" t="s">
        <v>2050</v>
      </c>
      <c r="C2490" s="21">
        <f>(1476.10305785673)*(1)*(1)*(1)*(1 + (0))</f>
      </c>
      <c r="D2490" s="21" t="s">
        <v>495</v>
      </c>
      <c r="E2490" s="21"/>
      <c r="F2490" s="21">
        <f>(0)</f>
      </c>
      <c r="G2490" s="21">
        <f>(C2490 * E2490 + C2490 * E2490 * F2490)</f>
      </c>
    </row>
    <row r="2491">
      <c r="A2491" s="4"/>
      <c r="B2491" s="14" t="s">
        <v>653</v>
      </c>
      <c r="C2491" s="21">
        <f>(221.415458678509)*(1)*(1)*(1)*(1 + (0))</f>
      </c>
      <c r="D2491" s="21" t="s">
        <v>495</v>
      </c>
      <c r="E2491" s="21"/>
      <c r="F2491" s="21">
        <f>(0)</f>
      </c>
      <c r="G2491" s="21">
        <f>(C2491 * E2491 + C2491 * E2491 * F2491)</f>
      </c>
    </row>
    <row r="2492">
      <c r="A2492" s="4"/>
      <c r="B2492" s="14" t="s">
        <v>2051</v>
      </c>
      <c r="C2492" s="21">
        <f>(1697.51851653524)*(1)*(1)*(1)*(1 + (0))</f>
      </c>
      <c r="D2492" s="21" t="s">
        <v>495</v>
      </c>
      <c r="E2492" s="21"/>
      <c r="F2492" s="21">
        <f>(0)</f>
      </c>
      <c r="G2492" s="21">
        <f>(C2492 * E2492 + C2492 * E2492 * F2492)</f>
      </c>
    </row>
    <row r="2493">
      <c r="A2493" s="5"/>
      <c r="B2493" s="13" t="s">
        <v>856</v>
      </c>
      <c r="C2493" s="22"/>
      <c r="D2493" s="22"/>
      <c r="E2493" s="22"/>
      <c r="F2493" s="22"/>
      <c r="G2493" s="22"/>
    </row>
    <row r="2494">
      <c r="A2494" s="4"/>
      <c r="B2494" s="14" t="s">
        <v>2052</v>
      </c>
      <c r="C2494" s="21">
        <f>(116)*(1)*(1)*(1)*(1 + (0))</f>
      </c>
      <c r="D2494" s="21" t="s">
        <v>9</v>
      </c>
      <c r="E2494" s="21"/>
      <c r="F2494" s="21">
        <f>(0)</f>
      </c>
      <c r="G2494" s="21">
        <f>(C2494 * E2494 + C2494 * E2494 * F2494)</f>
      </c>
    </row>
    <row r="2495">
      <c r="A2495" s="4"/>
      <c r="B2495" s="14" t="s">
        <v>2053</v>
      </c>
      <c r="C2495" s="21">
        <f>(14)*(1)*(1)*(1)*(1 + (0))</f>
      </c>
      <c r="D2495" s="21" t="s">
        <v>164</v>
      </c>
      <c r="E2495" s="21"/>
      <c r="F2495" s="21">
        <f>(0)</f>
      </c>
      <c r="G2495" s="21">
        <f>(C2495 * E2495 + C2495 * E2495 * F2495)</f>
      </c>
    </row>
    <row r="2496">
      <c r="A2496" s="4"/>
      <c r="B2496" s="14" t="s">
        <v>2054</v>
      </c>
      <c r="C2496" s="21">
        <f>(2.138064032)*(1)*(1)*(1)*(1 + (0))</f>
      </c>
      <c r="D2496" s="21" t="s">
        <v>495</v>
      </c>
      <c r="E2496" s="21"/>
      <c r="F2496" s="21">
        <f>(0)</f>
      </c>
      <c r="G2496" s="21">
        <f>(C2496 * E2496 + C2496 * E2496 * F2496)</f>
      </c>
    </row>
    <row r="2497">
      <c r="A2497" s="4"/>
      <c r="B2497" s="14" t="s">
        <v>2055</v>
      </c>
      <c r="C2497" s="21">
        <f>(112)*(1)*(1)*(1)*(1 + (0))</f>
      </c>
      <c r="D2497" s="21" t="s">
        <v>9</v>
      </c>
      <c r="E2497" s="21"/>
      <c r="F2497" s="21">
        <f>(0)</f>
      </c>
      <c r="G2497" s="21">
        <f>(C2497 * E2497 + C2497 * E2497 * F2497)</f>
      </c>
    </row>
    <row r="2498">
      <c r="A2498" s="4"/>
      <c r="B2498" s="14" t="s">
        <v>2056</v>
      </c>
      <c r="C2498" s="21">
        <f>(14)*(1)*(1)*(1)*(1 + (0))</f>
      </c>
      <c r="D2498" s="21" t="s">
        <v>167</v>
      </c>
      <c r="E2498" s="21"/>
      <c r="F2498" s="21">
        <f>(0)</f>
      </c>
      <c r="G2498" s="21">
        <f>(C2498 * E2498 + C2498 * E2498 * F2498)</f>
      </c>
    </row>
    <row r="2499">
      <c r="A2499" s="4"/>
      <c r="B2499" s="14" t="s">
        <v>2057</v>
      </c>
      <c r="C2499" s="21">
        <f>(63)*(1)*(1)*(1)*(1 + (0))</f>
      </c>
      <c r="D2499" s="21" t="s">
        <v>167</v>
      </c>
      <c r="E2499" s="21"/>
      <c r="F2499" s="21">
        <f>(0)</f>
      </c>
      <c r="G2499" s="21">
        <f>(C2499 * E2499 + C2499 * E2499 * F2499)</f>
      </c>
    </row>
    <row r="2500">
      <c r="A2500" s="4"/>
      <c r="B2500" s="14" t="s">
        <v>2058</v>
      </c>
      <c r="C2500" s="21">
        <f>(63)*(1)*(1)*(1)*(1 + (0))</f>
      </c>
      <c r="D2500" s="21" t="s">
        <v>167</v>
      </c>
      <c r="E2500" s="21"/>
      <c r="F2500" s="21">
        <f>(0)</f>
      </c>
      <c r="G2500" s="21">
        <f>(C2500 * E2500 + C2500 * E2500 * F2500)</f>
      </c>
    </row>
    <row r="2501">
      <c r="A2501" s="4"/>
      <c r="B2501" s="14" t="s">
        <v>2059</v>
      </c>
      <c r="C2501" s="21">
        <f>(90)*(1)*(1)*(1)*(1 + (0))</f>
      </c>
      <c r="D2501" s="21" t="s">
        <v>9</v>
      </c>
      <c r="E2501" s="21"/>
      <c r="F2501" s="21">
        <f>(0)</f>
      </c>
      <c r="G2501" s="21">
        <f>(C2501 * E2501 + C2501 * E2501 * F2501)</f>
      </c>
    </row>
    <row r="2502">
      <c r="A2502" s="5"/>
      <c r="B2502" s="13" t="s">
        <v>2060</v>
      </c>
      <c r="C2502" s="22"/>
      <c r="D2502" s="22"/>
      <c r="E2502" s="22"/>
      <c r="F2502" s="22"/>
      <c r="G2502" s="22"/>
    </row>
    <row r="2503">
      <c r="A2503" s="4"/>
      <c r="B2503" s="14" t="s">
        <v>2061</v>
      </c>
      <c r="C2503" s="21">
        <f>(33)*(1)*(1)*(1)*(1 + (0))</f>
      </c>
      <c r="D2503" s="21" t="s">
        <v>164</v>
      </c>
      <c r="E2503" s="21"/>
      <c r="F2503" s="21">
        <f>(0)</f>
      </c>
      <c r="G2503" s="21">
        <f>(C2503 * E2503 + C2503 * E2503 * F2503)</f>
      </c>
    </row>
    <row r="2504">
      <c r="A2504" s="4"/>
      <c r="B2504" s="14" t="s">
        <v>2062</v>
      </c>
      <c r="C2504" s="21">
        <f>(1)*(1)*(1)*(1)*(1 + (0))</f>
      </c>
      <c r="D2504" s="21" t="s">
        <v>164</v>
      </c>
      <c r="E2504" s="21"/>
      <c r="F2504" s="21">
        <f>(0)</f>
      </c>
      <c r="G2504" s="21">
        <f>(C2504 * E2504 + C2504 * E2504 * F2504)</f>
      </c>
    </row>
    <row r="2505">
      <c r="A2505" s="4"/>
      <c r="B2505" s="14" t="s">
        <v>2063</v>
      </c>
      <c r="C2505" s="21">
        <f>(1)*(1)*(1)*(1)*(1 + (0))</f>
      </c>
      <c r="D2505" s="21" t="s">
        <v>164</v>
      </c>
      <c r="E2505" s="21"/>
      <c r="F2505" s="21">
        <f>(0)</f>
      </c>
      <c r="G2505" s="21">
        <f>(C2505 * E2505 + C2505 * E2505 * F2505)</f>
      </c>
    </row>
    <row r="2506">
      <c r="A2506" s="4"/>
      <c r="B2506" s="14" t="s">
        <v>2064</v>
      </c>
      <c r="C2506" s="21">
        <f>(1)*(1)*(1)*(1)*(1 + (0))</f>
      </c>
      <c r="D2506" s="21" t="s">
        <v>164</v>
      </c>
      <c r="E2506" s="21"/>
      <c r="F2506" s="21">
        <f>(0)</f>
      </c>
      <c r="G2506" s="21">
        <f>(C2506 * E2506 + C2506 * E2506 * F2506)</f>
      </c>
    </row>
    <row r="2507">
      <c r="A2507" s="4"/>
      <c r="B2507" s="14" t="s">
        <v>2065</v>
      </c>
      <c r="C2507" s="21">
        <f>(52)*(1)*(1)*(1)*(1 + (0))</f>
      </c>
      <c r="D2507" s="21" t="s">
        <v>167</v>
      </c>
      <c r="E2507" s="21"/>
      <c r="F2507" s="21">
        <f>(0)</f>
      </c>
      <c r="G2507" s="21">
        <f>(C2507 * E2507 + C2507 * E2507 * F2507)</f>
      </c>
    </row>
    <row r="2508">
      <c r="A2508" s="4"/>
      <c r="B2508" s="14" t="s">
        <v>2066</v>
      </c>
      <c r="C2508" s="21">
        <f>(0.010374)*(1)*(1)*(1)*(1 + (0))</f>
      </c>
      <c r="D2508" s="21" t="s">
        <v>495</v>
      </c>
      <c r="E2508" s="21"/>
      <c r="F2508" s="21">
        <f>(0)</f>
      </c>
      <c r="G2508" s="21">
        <f>(C2508 * E2508 + C2508 * E2508 * F2508)</f>
      </c>
    </row>
    <row r="2509">
      <c r="A2509" s="4"/>
      <c r="B2509" s="14" t="s">
        <v>2067</v>
      </c>
      <c r="C2509" s="21">
        <f>(265)*(1)*(1)*(1)*(1 + (0))</f>
      </c>
      <c r="D2509" s="21" t="s">
        <v>9</v>
      </c>
      <c r="E2509" s="21"/>
      <c r="F2509" s="21">
        <f>(0)</f>
      </c>
      <c r="G2509" s="21">
        <f>(C2509 * E2509 + C2509 * E2509 * F2509)</f>
      </c>
    </row>
    <row r="2510">
      <c r="A2510" s="4"/>
      <c r="B2510" s="14" t="s">
        <v>2068</v>
      </c>
      <c r="C2510" s="21">
        <f>(265)*(1)*(1)*(1)*(1 + (0))</f>
      </c>
      <c r="D2510" s="21" t="s">
        <v>9</v>
      </c>
      <c r="E2510" s="21"/>
      <c r="F2510" s="21">
        <f>(0)</f>
      </c>
      <c r="G2510" s="21">
        <f>(C2510 * E2510 + C2510 * E2510 * F2510)</f>
      </c>
    </row>
    <row r="2511">
      <c r="A2511" s="4"/>
      <c r="B2511" s="14" t="s">
        <v>2069</v>
      </c>
      <c r="C2511" s="21">
        <f>(49)*(1)*(1)*(1)*(1 + (0))</f>
      </c>
      <c r="D2511" s="21" t="s">
        <v>167</v>
      </c>
      <c r="E2511" s="21"/>
      <c r="F2511" s="21">
        <f>(0)</f>
      </c>
      <c r="G2511" s="21">
        <f>(C2511 * E2511 + C2511 * E2511 * F2511)</f>
      </c>
    </row>
    <row r="2512">
      <c r="A2512" s="4"/>
      <c r="B2512" s="14" t="s">
        <v>2070</v>
      </c>
      <c r="C2512" s="21">
        <f>(265)*(1)*(1)*(1)*(1 + (0))</f>
      </c>
      <c r="D2512" s="21" t="s">
        <v>9</v>
      </c>
      <c r="E2512" s="21"/>
      <c r="F2512" s="21">
        <f>(0)</f>
      </c>
      <c r="G2512" s="21">
        <f>(C2512 * E2512 + C2512 * E2512 * F2512)</f>
      </c>
    </row>
    <row r="2513">
      <c r="A2513" s="5"/>
      <c r="B2513" s="13" t="s">
        <v>406</v>
      </c>
      <c r="C2513" s="22"/>
      <c r="D2513" s="22"/>
      <c r="E2513" s="22"/>
      <c r="F2513" s="22"/>
      <c r="G2513" s="22"/>
    </row>
    <row r="2514">
      <c r="A2514" s="4"/>
      <c r="B2514" s="14" t="s">
        <v>2071</v>
      </c>
      <c r="C2514" s="21">
        <f>(26)*(1)*(1)*(1)*(1 + (0))</f>
      </c>
      <c r="D2514" s="21" t="s">
        <v>164</v>
      </c>
      <c r="E2514" s="21"/>
      <c r="F2514" s="21">
        <f>(0)</f>
      </c>
      <c r="G2514" s="21">
        <f>(C2514 * E2514 + C2514 * E2514 * F2514)</f>
      </c>
    </row>
    <row r="2515">
      <c r="A2515" s="4"/>
      <c r="B2515" s="14" t="s">
        <v>2072</v>
      </c>
      <c r="C2515" s="21">
        <f>(128)*(1)*(1)*(1)*(1 + (0))</f>
      </c>
      <c r="D2515" s="21" t="s">
        <v>9</v>
      </c>
      <c r="E2515" s="21"/>
      <c r="F2515" s="21">
        <f>(0)</f>
      </c>
      <c r="G2515" s="21">
        <f>(C2515 * E2515 + C2515 * E2515 * F2515)</f>
      </c>
    </row>
    <row r="2516">
      <c r="A2516" s="4"/>
      <c r="B2516" s="14" t="s">
        <v>2073</v>
      </c>
      <c r="C2516" s="21">
        <f>(30)*(1)*(1)*(1)*(1 + (0))</f>
      </c>
      <c r="D2516" s="21" t="s">
        <v>167</v>
      </c>
      <c r="E2516" s="21"/>
      <c r="F2516" s="21">
        <f>(0)</f>
      </c>
      <c r="G2516" s="21">
        <f>(C2516 * E2516 + C2516 * E2516 * F2516)</f>
      </c>
    </row>
    <row r="2517">
      <c r="A2517" s="4"/>
      <c r="B2517" s="14" t="s">
        <v>530</v>
      </c>
      <c r="C2517" s="21">
        <f>(2.392193458858)*(1)*(1)*(1)*(1 + (0))</f>
      </c>
      <c r="D2517" s="21" t="s">
        <v>495</v>
      </c>
      <c r="E2517" s="21"/>
      <c r="F2517" s="21">
        <f>(0)</f>
      </c>
      <c r="G2517" s="21">
        <f>(C2517 * E2517 + C2517 * E2517 * F2517)</f>
      </c>
    </row>
    <row r="2518">
      <c r="A2518" s="4"/>
      <c r="B2518" s="14" t="s">
        <v>2074</v>
      </c>
      <c r="C2518" s="21">
        <f>(128)*(1)*(1)*(1)*(1 + (0))</f>
      </c>
      <c r="D2518" s="21" t="s">
        <v>9</v>
      </c>
      <c r="E2518" s="21"/>
      <c r="F2518" s="21">
        <f>(0)</f>
      </c>
      <c r="G2518" s="21">
        <f>(C2518 * E2518 + C2518 * E2518 * F2518)</f>
      </c>
    </row>
    <row r="2519">
      <c r="A2519" s="4"/>
      <c r="B2519" s="14" t="s">
        <v>2075</v>
      </c>
      <c r="C2519" s="21">
        <f>(128)*(1)*(1)*(1)*(1 + (0))</f>
      </c>
      <c r="D2519" s="21" t="s">
        <v>9</v>
      </c>
      <c r="E2519" s="21"/>
      <c r="F2519" s="21">
        <f>(0)</f>
      </c>
      <c r="G2519" s="21">
        <f>(C2519 * E2519 + C2519 * E2519 * F2519)</f>
      </c>
    </row>
    <row r="2520">
      <c r="A2520" s="4"/>
      <c r="B2520" s="14" t="s">
        <v>2076</v>
      </c>
      <c r="C2520" s="21">
        <f>(38)*(1)*(1)*(1)*(1 + (0))</f>
      </c>
      <c r="D2520" s="21" t="s">
        <v>164</v>
      </c>
      <c r="E2520" s="21"/>
      <c r="F2520" s="21">
        <f>(0)</f>
      </c>
      <c r="G2520" s="21">
        <f>(C2520 * E2520 + C2520 * E2520 * F2520)</f>
      </c>
    </row>
    <row r="2521">
      <c r="A2521" s="5"/>
      <c r="B2521" s="13" t="s">
        <v>2077</v>
      </c>
      <c r="C2521" s="22"/>
      <c r="D2521" s="22"/>
      <c r="E2521" s="22"/>
      <c r="F2521" s="22"/>
      <c r="G2521" s="22"/>
    </row>
    <row r="2522">
      <c r="A2522" s="4"/>
      <c r="B2522" s="14" t="s">
        <v>2078</v>
      </c>
      <c r="C2522" s="21">
        <f>(3)*(1)*(1)*(1)*(1 + (0))</f>
      </c>
      <c r="D2522" s="21" t="s">
        <v>164</v>
      </c>
      <c r="E2522" s="21"/>
      <c r="F2522" s="21">
        <f>(0)</f>
      </c>
      <c r="G2522" s="21">
        <f>(C2522 * E2522 + C2522 * E2522 * F2522)</f>
      </c>
    </row>
    <row r="2523">
      <c r="A2523" s="4"/>
      <c r="B2523" s="14" t="s">
        <v>2079</v>
      </c>
      <c r="C2523" s="21">
        <f>(21)*(1)*(1)*(1)*(1 + (0))</f>
      </c>
      <c r="D2523" s="21" t="s">
        <v>9</v>
      </c>
      <c r="E2523" s="21"/>
      <c r="F2523" s="21">
        <f>(0)</f>
      </c>
      <c r="G2523" s="21">
        <f>(C2523 * E2523 + C2523 * E2523 * F2523)</f>
      </c>
    </row>
    <row r="2524">
      <c r="A2524" s="4"/>
      <c r="B2524" s="14" t="s">
        <v>2080</v>
      </c>
      <c r="C2524" s="21">
        <f>(0.5203562)*(1)*(1)*(1)*(1 + (0))</f>
      </c>
      <c r="D2524" s="21" t="s">
        <v>495</v>
      </c>
      <c r="E2524" s="21"/>
      <c r="F2524" s="21">
        <f>(0)</f>
      </c>
      <c r="G2524" s="21">
        <f>(C2524 * E2524 + C2524 * E2524 * F2524)</f>
      </c>
    </row>
    <row r="2525">
      <c r="A2525" s="4"/>
      <c r="B2525" s="14" t="s">
        <v>2059</v>
      </c>
      <c r="C2525" s="21">
        <f>(11)*(1)*(1)*(1)*(1 + (0))</f>
      </c>
      <c r="D2525" s="21" t="s">
        <v>9</v>
      </c>
      <c r="E2525" s="21"/>
      <c r="F2525" s="21">
        <f>(0)</f>
      </c>
      <c r="G2525" s="21">
        <f>(C2525 * E2525 + C2525 * E2525 * F2525)</f>
      </c>
    </row>
    <row r="2526">
      <c r="A2526" s="5"/>
      <c r="B2526" s="13" t="s">
        <v>354</v>
      </c>
      <c r="C2526" s="22"/>
      <c r="D2526" s="22"/>
      <c r="E2526" s="22"/>
      <c r="F2526" s="22"/>
      <c r="G2526" s="22"/>
    </row>
    <row r="2527">
      <c r="A2527" s="4"/>
      <c r="B2527" s="14" t="s">
        <v>2081</v>
      </c>
      <c r="C2527" s="21">
        <f>(2)*(1)*(1)*(1)*(1 + (0))</f>
      </c>
      <c r="D2527" s="21" t="s">
        <v>170</v>
      </c>
      <c r="E2527" s="21"/>
      <c r="F2527" s="21">
        <f>(0)</f>
      </c>
      <c r="G2527" s="21">
        <f>(C2527 * E2527 + C2527 * E2527 * F2527)</f>
      </c>
    </row>
    <row r="2528">
      <c r="A2528" s="4"/>
      <c r="B2528" s="14" t="s">
        <v>2082</v>
      </c>
      <c r="C2528" s="21">
        <f>(3)*(1)*(1)*(1)*(1 + (0))</f>
      </c>
      <c r="D2528" s="21" t="s">
        <v>170</v>
      </c>
      <c r="E2528" s="21"/>
      <c r="F2528" s="21">
        <f>(0)</f>
      </c>
      <c r="G2528" s="21">
        <f>(C2528 * E2528 + C2528 * E2528 * F2528)</f>
      </c>
    </row>
    <row r="2529">
      <c r="A2529" s="4"/>
      <c r="B2529" s="14" t="s">
        <v>2083</v>
      </c>
      <c r="C2529" s="21">
        <f>(40)*(1)*(1)*(1)*(1 + (0))</f>
      </c>
      <c r="D2529" s="21" t="s">
        <v>170</v>
      </c>
      <c r="E2529" s="21"/>
      <c r="F2529" s="21">
        <f>(0)</f>
      </c>
      <c r="G2529" s="21">
        <f>(C2529 * E2529 + C2529 * E2529 * F2529)</f>
      </c>
    </row>
    <row r="2530">
      <c r="A2530" s="4"/>
      <c r="B2530" s="14" t="s">
        <v>2084</v>
      </c>
      <c r="C2530" s="21">
        <f>(1)*(1)*(1)*(1)*(1 + (0))</f>
      </c>
      <c r="D2530" s="21" t="s">
        <v>170</v>
      </c>
      <c r="E2530" s="21"/>
      <c r="F2530" s="21">
        <f>(0)</f>
      </c>
      <c r="G2530" s="21">
        <f>(C2530 * E2530 + C2530 * E2530 * F2530)</f>
      </c>
    </row>
    <row r="2531">
      <c r="A2531" s="4"/>
      <c r="B2531" s="14" t="s">
        <v>2085</v>
      </c>
      <c r="C2531" s="21">
        <f>(1)*(1)*(1)*(1)*(1 + (0))</f>
      </c>
      <c r="D2531" s="21" t="s">
        <v>170</v>
      </c>
      <c r="E2531" s="21"/>
      <c r="F2531" s="21">
        <f>(0)</f>
      </c>
      <c r="G2531" s="21">
        <f>(C2531 * E2531 + C2531 * E2531 * F2531)</f>
      </c>
    </row>
    <row r="2532">
      <c r="A2532" s="4"/>
      <c r="B2532" s="14" t="s">
        <v>2086</v>
      </c>
      <c r="C2532" s="21">
        <f>(1)*(1)*(1)*(1)*(1 + (0))</f>
      </c>
      <c r="D2532" s="21" t="s">
        <v>170</v>
      </c>
      <c r="E2532" s="21"/>
      <c r="F2532" s="21">
        <f>(0)</f>
      </c>
      <c r="G2532" s="21">
        <f>(C2532 * E2532 + C2532 * E2532 * F2532)</f>
      </c>
    </row>
    <row r="2533">
      <c r="A2533" s="4"/>
      <c r="B2533" s="14" t="s">
        <v>2087</v>
      </c>
      <c r="C2533" s="21">
        <f>(1)*(1)*(1)*(1)*(1 + (0))</f>
      </c>
      <c r="D2533" s="21" t="s">
        <v>170</v>
      </c>
      <c r="E2533" s="21"/>
      <c r="F2533" s="21">
        <f>(0)</f>
      </c>
      <c r="G2533" s="21">
        <f>(C2533 * E2533 + C2533 * E2533 * F2533)</f>
      </c>
    </row>
    <row r="2534">
      <c r="A2534" s="2"/>
      <c r="B2534" s="10" t="s">
        <v>2088</v>
      </c>
      <c r="C2534" s="19"/>
      <c r="D2534" s="19"/>
      <c r="E2534" s="19"/>
      <c r="F2534" s="19"/>
      <c r="G2534" s="19"/>
    </row>
    <row r="2535">
      <c r="A2535" s="3"/>
      <c r="B2535" s="11" t="s">
        <v>14</v>
      </c>
      <c r="C2535" s="20"/>
      <c r="D2535" s="20"/>
      <c r="E2535" s="20"/>
      <c r="F2535" s="20"/>
      <c r="G2535" s="20"/>
    </row>
    <row r="2536">
      <c r="A2536" s="4" t="s">
        <v>2089</v>
      </c>
      <c r="B2536" s="12" t="s">
        <v>16</v>
      </c>
      <c r="C2536" s="21"/>
      <c r="D2536" s="21" t="s">
        <v>17</v>
      </c>
      <c r="E2536" s="21"/>
      <c r="F2536" s="21">
        <f>(0)</f>
      </c>
      <c r="G2536" s="21">
        <f>(C2536 * E2536 + C2536 * E2536 * F2536)</f>
      </c>
    </row>
    <row r="2537">
      <c r="A2537" s="4" t="s">
        <v>2090</v>
      </c>
      <c r="B2537" s="12" t="s">
        <v>19</v>
      </c>
      <c r="C2537" s="21"/>
      <c r="D2537" s="21" t="s">
        <v>17</v>
      </c>
      <c r="E2537" s="21"/>
      <c r="F2537" s="21">
        <f>(0)</f>
      </c>
      <c r="G2537" s="21">
        <f>(C2537 * E2537 + C2537 * E2537 * F2537)</f>
      </c>
    </row>
    <row r="2538">
      <c r="A2538" s="3"/>
      <c r="B2538" s="11" t="s">
        <v>24</v>
      </c>
      <c r="C2538" s="20"/>
      <c r="D2538" s="20"/>
      <c r="E2538" s="20"/>
      <c r="F2538" s="20"/>
      <c r="G2538" s="20"/>
    </row>
    <row r="2539">
      <c r="A2539" s="5"/>
      <c r="B2539" s="13" t="s">
        <v>25</v>
      </c>
      <c r="C2539" s="22"/>
      <c r="D2539" s="22"/>
      <c r="E2539" s="22"/>
      <c r="F2539" s="22"/>
      <c r="G2539" s="22"/>
    </row>
    <row r="2540">
      <c r="A2540" s="4" t="s">
        <v>2091</v>
      </c>
      <c r="B2540" s="14" t="s">
        <v>2092</v>
      </c>
      <c r="C2540" s="21"/>
      <c r="D2540" s="21" t="s">
        <v>17</v>
      </c>
      <c r="E2540" s="21"/>
      <c r="F2540" s="21">
        <f>(0)</f>
      </c>
      <c r="G2540" s="21">
        <f>(C2540 * E2540 + C2540 * E2540 * F2540)</f>
      </c>
    </row>
    <row r="2541">
      <c r="A2541" s="4" t="s">
        <v>2093</v>
      </c>
      <c r="B2541" s="14" t="s">
        <v>107</v>
      </c>
      <c r="C2541" s="21"/>
      <c r="D2541" s="21" t="s">
        <v>17</v>
      </c>
      <c r="E2541" s="21"/>
      <c r="F2541" s="21">
        <f>(0)</f>
      </c>
      <c r="G2541" s="21">
        <f>(C2541 * E2541 + C2541 * E2541 * F2541)</f>
      </c>
    </row>
    <row r="2542">
      <c r="A2542" s="4" t="s">
        <v>2094</v>
      </c>
      <c r="B2542" s="14" t="s">
        <v>109</v>
      </c>
      <c r="C2542" s="21"/>
      <c r="D2542" s="21" t="s">
        <v>17</v>
      </c>
      <c r="E2542" s="21"/>
      <c r="F2542" s="21">
        <f>(0)</f>
      </c>
      <c r="G2542" s="21">
        <f>(C2542 * E2542 + C2542 * E2542 * F2542)</f>
      </c>
    </row>
    <row r="2543">
      <c r="A2543" s="4" t="s">
        <v>2095</v>
      </c>
      <c r="B2543" s="14" t="s">
        <v>111</v>
      </c>
      <c r="C2543" s="21"/>
      <c r="D2543" s="21" t="s">
        <v>17</v>
      </c>
      <c r="E2543" s="21"/>
      <c r="F2543" s="21">
        <f>(0)</f>
      </c>
      <c r="G2543" s="21">
        <f>(C2543 * E2543 + C2543 * E2543 * F2543)</f>
      </c>
    </row>
    <row r="2544">
      <c r="A2544" s="4" t="s">
        <v>2096</v>
      </c>
      <c r="B2544" s="14" t="s">
        <v>115</v>
      </c>
      <c r="C2544" s="21"/>
      <c r="D2544" s="21" t="s">
        <v>17</v>
      </c>
      <c r="E2544" s="21"/>
      <c r="F2544" s="21">
        <f>(0)</f>
      </c>
      <c r="G2544" s="21">
        <f>(C2544 * E2544 + C2544 * E2544 * F2544)</f>
      </c>
    </row>
    <row r="2545">
      <c r="A2545" s="4" t="s">
        <v>2097</v>
      </c>
      <c r="B2545" s="14" t="s">
        <v>119</v>
      </c>
      <c r="C2545" s="21"/>
      <c r="D2545" s="21" t="s">
        <v>17</v>
      </c>
      <c r="E2545" s="21"/>
      <c r="F2545" s="21">
        <f>(0)</f>
      </c>
      <c r="G2545" s="21">
        <f>(C2545 * E2545 + C2545 * E2545 * F2545)</f>
      </c>
    </row>
    <row r="2546">
      <c r="A2546" s="4" t="s">
        <v>2098</v>
      </c>
      <c r="B2546" s="14" t="s">
        <v>121</v>
      </c>
      <c r="C2546" s="21"/>
      <c r="D2546" s="21" t="s">
        <v>17</v>
      </c>
      <c r="E2546" s="21"/>
      <c r="F2546" s="21">
        <f>(0)</f>
      </c>
      <c r="G2546" s="21">
        <f>(C2546 * E2546 + C2546 * E2546 * F2546)</f>
      </c>
    </row>
    <row r="2547">
      <c r="A2547" s="4" t="s">
        <v>2099</v>
      </c>
      <c r="B2547" s="14" t="s">
        <v>39</v>
      </c>
      <c r="C2547" s="21"/>
      <c r="D2547" s="21" t="s">
        <v>17</v>
      </c>
      <c r="E2547" s="21"/>
      <c r="F2547" s="21">
        <f>(0)</f>
      </c>
      <c r="G2547" s="21">
        <f>(C2547 * E2547 + C2547 * E2547 * F2547)</f>
      </c>
    </row>
    <row r="2548">
      <c r="A2548" s="4" t="s">
        <v>2100</v>
      </c>
      <c r="B2548" s="14" t="s">
        <v>124</v>
      </c>
      <c r="C2548" s="21"/>
      <c r="D2548" s="21" t="s">
        <v>17</v>
      </c>
      <c r="E2548" s="21"/>
      <c r="F2548" s="21">
        <f>(0)</f>
      </c>
      <c r="G2548" s="21">
        <f>(C2548 * E2548 + C2548 * E2548 * F2548)</f>
      </c>
    </row>
    <row r="2549">
      <c r="A2549" s="4" t="s">
        <v>2101</v>
      </c>
      <c r="B2549" s="14" t="s">
        <v>194</v>
      </c>
      <c r="C2549" s="21"/>
      <c r="D2549" s="21" t="s">
        <v>17</v>
      </c>
      <c r="E2549" s="21"/>
      <c r="F2549" s="21">
        <f>(0)</f>
      </c>
      <c r="G2549" s="21">
        <f>(C2549 * E2549 + C2549 * E2549 * F2549)</f>
      </c>
    </row>
    <row r="2550">
      <c r="A2550" s="3"/>
      <c r="B2550" s="11" t="s">
        <v>42</v>
      </c>
      <c r="C2550" s="20"/>
      <c r="D2550" s="20"/>
      <c r="E2550" s="20"/>
      <c r="F2550" s="20"/>
      <c r="G2550" s="20"/>
    </row>
    <row r="2551">
      <c r="A2551" s="4" t="s">
        <v>2102</v>
      </c>
      <c r="B2551" s="12" t="s">
        <v>2103</v>
      </c>
      <c r="C2551" s="21">
        <f>(1)*(1)*(1)*(1)*(1 + (0))</f>
      </c>
      <c r="D2551" s="21" t="s">
        <v>45</v>
      </c>
      <c r="E2551" s="21"/>
      <c r="F2551" s="21">
        <f>(0)</f>
      </c>
      <c r="G2551" s="21">
        <f>(C2551 * E2551 + C2551 * E2551 * F2551)</f>
      </c>
    </row>
    <row r="2552">
      <c r="A2552" s="4" t="s">
        <v>2104</v>
      </c>
      <c r="B2552" s="12" t="s">
        <v>61</v>
      </c>
      <c r="C2552" s="21">
        <f>(1)*(1)*(1)*(1)*(1 + (0))</f>
      </c>
      <c r="D2552" s="21" t="s">
        <v>45</v>
      </c>
      <c r="E2552" s="21"/>
      <c r="F2552" s="21">
        <f>(0)</f>
      </c>
      <c r="G2552" s="21">
        <f>(C2552 * E2552 + C2552 * E2552 * F2552)</f>
      </c>
    </row>
    <row r="2553">
      <c r="A2553" s="4" t="s">
        <v>2105</v>
      </c>
      <c r="B2553" s="12" t="s">
        <v>136</v>
      </c>
      <c r="C2553" s="21">
        <f>(1)*(1)*(1)*(1)*(1 + (0))</f>
      </c>
      <c r="D2553" s="21" t="s">
        <v>45</v>
      </c>
      <c r="E2553" s="21"/>
      <c r="F2553" s="21">
        <f>(0)</f>
      </c>
      <c r="G2553" s="21">
        <f>(C2553 * E2553 + C2553 * E2553 * F2553)</f>
      </c>
    </row>
    <row r="2554">
      <c r="A2554" s="4" t="s">
        <v>2106</v>
      </c>
      <c r="B2554" s="12" t="s">
        <v>1017</v>
      </c>
      <c r="C2554" s="21">
        <f>(1)*(1)*(1)*(1)*(1 + (0))</f>
      </c>
      <c r="D2554" s="21" t="s">
        <v>45</v>
      </c>
      <c r="E2554" s="21"/>
      <c r="F2554" s="21">
        <f>(0)</f>
      </c>
      <c r="G2554" s="21">
        <f>(C2554 * E2554 + C2554 * E2554 * F2554)</f>
      </c>
    </row>
    <row r="2555">
      <c r="A2555" s="4" t="s">
        <v>1918</v>
      </c>
      <c r="B2555" s="12" t="s">
        <v>1183</v>
      </c>
      <c r="C2555" s="21">
        <f>(1)*(1)*(1)*(1)*(1 + (0))</f>
      </c>
      <c r="D2555" s="21" t="s">
        <v>45</v>
      </c>
      <c r="E2555" s="21"/>
      <c r="F2555" s="21">
        <f>(0)</f>
      </c>
      <c r="G2555" s="21">
        <f>(C2555 * E2555 + C2555 * E2555 * F2555)</f>
      </c>
    </row>
    <row r="2556">
      <c r="A2556" s="4" t="s">
        <v>2107</v>
      </c>
      <c r="B2556" s="12" t="s">
        <v>67</v>
      </c>
      <c r="C2556" s="21">
        <f>(1)*(1)*(1)*(1)*(1 + (0))</f>
      </c>
      <c r="D2556" s="21" t="s">
        <v>45</v>
      </c>
      <c r="E2556" s="21"/>
      <c r="F2556" s="21">
        <f>(0)</f>
      </c>
      <c r="G2556" s="21">
        <f>(C2556 * E2556 + C2556 * E2556 * F2556)</f>
      </c>
    </row>
    <row r="2557">
      <c r="A2557" s="4" t="s">
        <v>2108</v>
      </c>
      <c r="B2557" s="12" t="s">
        <v>143</v>
      </c>
      <c r="C2557" s="21">
        <f>(1)*(1)*(1)*(1)*(1 + (0))</f>
      </c>
      <c r="D2557" s="21" t="s">
        <v>45</v>
      </c>
      <c r="E2557" s="21"/>
      <c r="F2557" s="21">
        <f>(0)</f>
      </c>
      <c r="G2557" s="21">
        <f>(C2557 * E2557 + C2557 * E2557 * F2557)</f>
      </c>
    </row>
    <row r="2558">
      <c r="A2558" s="4" t="s">
        <v>2109</v>
      </c>
      <c r="B2558" s="12" t="s">
        <v>253</v>
      </c>
      <c r="C2558" s="21">
        <f>(1)*(1)*(1)*(1)*(1 + (0))</f>
      </c>
      <c r="D2558" s="21" t="s">
        <v>45</v>
      </c>
      <c r="E2558" s="21"/>
      <c r="F2558" s="21">
        <f>(0)</f>
      </c>
      <c r="G2558" s="21">
        <f>(C2558 * E2558 + C2558 * E2558 * F2558)</f>
      </c>
    </row>
    <row r="2559">
      <c r="A2559" s="4" t="s">
        <v>2110</v>
      </c>
      <c r="B2559" s="12" t="s">
        <v>2111</v>
      </c>
      <c r="C2559" s="21">
        <f>(1)*(1)*(1)*(1)*(1 + (0))</f>
      </c>
      <c r="D2559" s="21" t="s">
        <v>45</v>
      </c>
      <c r="E2559" s="21"/>
      <c r="F2559" s="21">
        <f>(0)</f>
      </c>
      <c r="G2559" s="21">
        <f>(C2559 * E2559 + C2559 * E2559 * F2559)</f>
      </c>
    </row>
    <row r="2560">
      <c r="A2560" s="4" t="s">
        <v>1920</v>
      </c>
      <c r="B2560" s="7" t="s">
        <v>2112</v>
      </c>
      <c r="C2560" s="21">
        <f>(1)*(1)*(1)*(1)*(1 + (0))</f>
      </c>
      <c r="D2560" s="21" t="s">
        <v>45</v>
      </c>
      <c r="E2560" s="21"/>
      <c r="F2560" s="21">
        <f>(0)</f>
      </c>
      <c r="G2560" s="21">
        <f>(C2560 * E2560 + C2560 * E2560 * F2560)</f>
      </c>
    </row>
    <row r="2561">
      <c r="A2561" s="2"/>
      <c r="B2561" s="10" t="s">
        <v>2113</v>
      </c>
      <c r="C2561" s="19"/>
      <c r="D2561" s="19"/>
      <c r="E2561" s="19"/>
      <c r="F2561" s="19"/>
      <c r="G2561" s="19"/>
    </row>
    <row r="2562">
      <c r="A2562" s="3"/>
      <c r="B2562" s="11" t="s">
        <v>14</v>
      </c>
      <c r="C2562" s="20"/>
      <c r="D2562" s="20"/>
      <c r="E2562" s="20"/>
      <c r="F2562" s="20"/>
      <c r="G2562" s="20"/>
    </row>
    <row r="2563">
      <c r="A2563" s="4" t="s">
        <v>1806</v>
      </c>
      <c r="B2563" s="12" t="s">
        <v>16</v>
      </c>
      <c r="C2563" s="21"/>
      <c r="D2563" s="21" t="s">
        <v>17</v>
      </c>
      <c r="E2563" s="21"/>
      <c r="F2563" s="21">
        <f>(0)</f>
      </c>
      <c r="G2563" s="21">
        <f>(C2563 * E2563 + C2563 * E2563 * F2563)</f>
      </c>
    </row>
    <row r="2564">
      <c r="A2564" s="4" t="s">
        <v>1807</v>
      </c>
      <c r="B2564" s="12" t="s">
        <v>19</v>
      </c>
      <c r="C2564" s="21"/>
      <c r="D2564" s="21" t="s">
        <v>17</v>
      </c>
      <c r="E2564" s="21"/>
      <c r="F2564" s="21">
        <f>(0)</f>
      </c>
      <c r="G2564" s="21">
        <f>(C2564 * E2564 + C2564 * E2564 * F2564)</f>
      </c>
    </row>
    <row r="2565">
      <c r="A2565" s="3"/>
      <c r="B2565" s="11" t="s">
        <v>98</v>
      </c>
      <c r="C2565" s="20"/>
      <c r="D2565" s="20"/>
      <c r="E2565" s="20"/>
      <c r="F2565" s="20"/>
      <c r="G2565" s="20"/>
    </row>
    <row r="2566">
      <c r="A2566" s="4"/>
      <c r="B2566" s="12" t="s">
        <v>2114</v>
      </c>
      <c r="C2566" s="21"/>
      <c r="D2566" s="21"/>
      <c r="E2566" s="21"/>
      <c r="F2566" s="21">
        <f>(0)</f>
      </c>
      <c r="G2566" s="21">
        <f>(C2566 * E2566 + C2566 * E2566 * F2566)</f>
      </c>
    </row>
    <row r="2567">
      <c r="A2567" s="4"/>
      <c r="B2567" s="12" t="s">
        <v>803</v>
      </c>
      <c r="C2567" s="21"/>
      <c r="D2567" s="21"/>
      <c r="E2567" s="21"/>
      <c r="F2567" s="21">
        <f>(0)</f>
      </c>
      <c r="G2567" s="21">
        <f>(C2567 * E2567 + C2567 * E2567 * F2567)</f>
      </c>
    </row>
    <row r="2568">
      <c r="A2568" s="4"/>
      <c r="B2568" s="12" t="s">
        <v>804</v>
      </c>
      <c r="C2568" s="21"/>
      <c r="D2568" s="21"/>
      <c r="E2568" s="21"/>
      <c r="F2568" s="21">
        <f>(0)</f>
      </c>
      <c r="G2568" s="21">
        <f>(C2568 * E2568 + C2568 * E2568 * F2568)</f>
      </c>
    </row>
    <row r="2569">
      <c r="A2569" s="3"/>
      <c r="B2569" s="11" t="s">
        <v>24</v>
      </c>
      <c r="C2569" s="20"/>
      <c r="D2569" s="20"/>
      <c r="E2569" s="20"/>
      <c r="F2569" s="20"/>
      <c r="G2569" s="20"/>
    </row>
    <row r="2570">
      <c r="A2570" s="5"/>
      <c r="B2570" s="13" t="s">
        <v>25</v>
      </c>
      <c r="C2570" s="22"/>
      <c r="D2570" s="22"/>
      <c r="E2570" s="22"/>
      <c r="F2570" s="22"/>
      <c r="G2570" s="22"/>
    </row>
    <row r="2571">
      <c r="A2571" s="4" t="s">
        <v>1810</v>
      </c>
      <c r="B2571" s="14" t="s">
        <v>1297</v>
      </c>
      <c r="C2571" s="21"/>
      <c r="D2571" s="21" t="s">
        <v>17</v>
      </c>
      <c r="E2571" s="21"/>
      <c r="F2571" s="21">
        <f>(0)</f>
      </c>
      <c r="G2571" s="21">
        <f>(C2571 * E2571 + C2571 * E2571 * F2571)</f>
      </c>
    </row>
    <row r="2572">
      <c r="A2572" s="4" t="s">
        <v>1811</v>
      </c>
      <c r="B2572" s="14" t="s">
        <v>1298</v>
      </c>
      <c r="C2572" s="21"/>
      <c r="D2572" s="21" t="s">
        <v>17</v>
      </c>
      <c r="E2572" s="21"/>
      <c r="F2572" s="21">
        <f>(0)</f>
      </c>
      <c r="G2572" s="21">
        <f>(C2572 * E2572 + C2572 * E2572 * F2572)</f>
      </c>
    </row>
    <row r="2573">
      <c r="A2573" s="4" t="s">
        <v>1812</v>
      </c>
      <c r="B2573" s="14" t="s">
        <v>1137</v>
      </c>
      <c r="C2573" s="21"/>
      <c r="D2573" s="21" t="s">
        <v>17</v>
      </c>
      <c r="E2573" s="21"/>
      <c r="F2573" s="21">
        <f>(0)</f>
      </c>
      <c r="G2573" s="21">
        <f>(C2573 * E2573 + C2573 * E2573 * F2573)</f>
      </c>
    </row>
    <row r="2574">
      <c r="A2574" s="4" t="s">
        <v>1813</v>
      </c>
      <c r="B2574" s="14" t="s">
        <v>1814</v>
      </c>
      <c r="C2574" s="21"/>
      <c r="D2574" s="21" t="s">
        <v>17</v>
      </c>
      <c r="E2574" s="21"/>
      <c r="F2574" s="21">
        <f>(0)</f>
      </c>
      <c r="G2574" s="21">
        <f>(C2574 * E2574 + C2574 * E2574 * F2574)</f>
      </c>
    </row>
    <row r="2575">
      <c r="A2575" s="4" t="s">
        <v>1815</v>
      </c>
      <c r="B2575" s="14" t="s">
        <v>1816</v>
      </c>
      <c r="C2575" s="21"/>
      <c r="D2575" s="21" t="s">
        <v>17</v>
      </c>
      <c r="E2575" s="21"/>
      <c r="F2575" s="21">
        <f>(0)</f>
      </c>
      <c r="G2575" s="21">
        <f>(C2575 * E2575 + C2575 * E2575 * F2575)</f>
      </c>
    </row>
    <row r="2576">
      <c r="A2576" s="4" t="s">
        <v>1817</v>
      </c>
      <c r="B2576" s="14" t="s">
        <v>194</v>
      </c>
      <c r="C2576" s="21"/>
      <c r="D2576" s="21" t="s">
        <v>17</v>
      </c>
      <c r="E2576" s="21"/>
      <c r="F2576" s="21">
        <f>(0)</f>
      </c>
      <c r="G2576" s="21">
        <f>(C2576 * E2576 + C2576 * E2576 * F2576)</f>
      </c>
    </row>
    <row r="2577">
      <c r="A2577" s="3"/>
      <c r="B2577" s="11" t="s">
        <v>42</v>
      </c>
      <c r="C2577" s="20"/>
      <c r="D2577" s="20"/>
      <c r="E2577" s="20"/>
      <c r="F2577" s="20"/>
      <c r="G2577" s="20"/>
    </row>
    <row r="2578">
      <c r="A2578" s="4" t="s">
        <v>1818</v>
      </c>
      <c r="B2578" s="12" t="s">
        <v>59</v>
      </c>
      <c r="C2578" s="21">
        <f>(1)*(1)*(1)*(1)*(1 + (0))</f>
      </c>
      <c r="D2578" s="21" t="s">
        <v>45</v>
      </c>
      <c r="E2578" s="21"/>
      <c r="F2578" s="21">
        <f>(0)</f>
      </c>
      <c r="G2578" s="21">
        <f>(C2578 * E2578 + C2578 * E2578 * F2578)</f>
      </c>
    </row>
    <row r="2579">
      <c r="A2579" s="4" t="s">
        <v>1819</v>
      </c>
      <c r="B2579" s="12" t="s">
        <v>1476</v>
      </c>
      <c r="C2579" s="21">
        <f>(1)*(1)*(1)*(1)*(1 + (0))</f>
      </c>
      <c r="D2579" s="21" t="s">
        <v>45</v>
      </c>
      <c r="E2579" s="21"/>
      <c r="F2579" s="21">
        <f>(0)</f>
      </c>
      <c r="G2579" s="21">
        <f>(C2579 * E2579 + C2579 * E2579 * F2579)</f>
      </c>
    </row>
    <row r="2580">
      <c r="A2580" s="4" t="s">
        <v>1820</v>
      </c>
      <c r="B2580" s="12" t="s">
        <v>1821</v>
      </c>
      <c r="C2580" s="21">
        <f>(1)*(1)*(1)*(1)*(1 + (0))</f>
      </c>
      <c r="D2580" s="21" t="s">
        <v>45</v>
      </c>
      <c r="E2580" s="21"/>
      <c r="F2580" s="21">
        <f>(0)</f>
      </c>
      <c r="G2580" s="21">
        <f>(C2580 * E2580 + C2580 * E2580 * F2580)</f>
      </c>
    </row>
    <row r="2581">
      <c r="A2581" s="4" t="s">
        <v>1822</v>
      </c>
      <c r="B2581" s="12" t="s">
        <v>1531</v>
      </c>
      <c r="C2581" s="21">
        <f>(1)*(1)*(1)*(1)*(1 + (0))</f>
      </c>
      <c r="D2581" s="21" t="s">
        <v>45</v>
      </c>
      <c r="E2581" s="21"/>
      <c r="F2581" s="21">
        <f>(0)</f>
      </c>
      <c r="G2581" s="21">
        <f>(C2581 * E2581 + C2581 * E2581 * F2581)</f>
      </c>
    </row>
    <row r="2582">
      <c r="A2582" s="4" t="s">
        <v>1823</v>
      </c>
      <c r="B2582" s="12" t="s">
        <v>1019</v>
      </c>
      <c r="C2582" s="21">
        <f>(1)*(1)*(1)*(1)*(1 + (0))</f>
      </c>
      <c r="D2582" s="21" t="s">
        <v>45</v>
      </c>
      <c r="E2582" s="21"/>
      <c r="F2582" s="21">
        <f>(0)</f>
      </c>
      <c r="G2582" s="21">
        <f>(C2582 * E2582 + C2582 * E2582 * F2582)</f>
      </c>
    </row>
    <row r="2583">
      <c r="A2583" s="4" t="s">
        <v>1824</v>
      </c>
      <c r="B2583" s="12" t="s">
        <v>832</v>
      </c>
      <c r="C2583" s="21">
        <f>(1)*(1)*(1)*(1)*(1 + (0))</f>
      </c>
      <c r="D2583" s="21" t="s">
        <v>45</v>
      </c>
      <c r="E2583" s="21"/>
      <c r="F2583" s="21">
        <f>(0)</f>
      </c>
      <c r="G2583" s="21">
        <f>(C2583 * E2583 + C2583 * E2583 * F2583)</f>
      </c>
    </row>
    <row r="2584">
      <c r="A2584" s="3"/>
      <c r="B2584" s="11" t="s">
        <v>82</v>
      </c>
      <c r="C2584" s="20"/>
      <c r="D2584" s="20"/>
      <c r="E2584" s="20"/>
      <c r="F2584" s="20"/>
      <c r="G2584" s="20"/>
    </row>
    <row r="2585">
      <c r="A2585" s="4"/>
      <c r="B2585" s="12" t="s">
        <v>2115</v>
      </c>
      <c r="C2585" s="21"/>
      <c r="D2585" s="21" t="s">
        <v>17</v>
      </c>
      <c r="E2585" s="21"/>
      <c r="F2585" s="21">
        <f>(0)</f>
      </c>
      <c r="G2585" s="21">
        <f>(C2585 * E2585 + C2585 * E2585 * F2585)</f>
      </c>
    </row>
    <row r="2586">
      <c r="A2586" s="4"/>
      <c r="B2586" s="12" t="s">
        <v>2116</v>
      </c>
      <c r="C2586" s="21"/>
      <c r="D2586" s="21" t="s">
        <v>17</v>
      </c>
      <c r="E2586" s="21"/>
      <c r="F2586" s="21">
        <f>(0)</f>
      </c>
      <c r="G2586" s="21">
        <f>(C2586 * E2586 + C2586 * E2586 * F2586)</f>
      </c>
    </row>
    <row r="2587">
      <c r="A2587" s="3"/>
      <c r="B2587" s="11" t="s">
        <v>2117</v>
      </c>
      <c r="C2587" s="20"/>
      <c r="D2587" s="20"/>
      <c r="E2587" s="20"/>
      <c r="F2587" s="20"/>
      <c r="G2587" s="20"/>
    </row>
    <row r="2588">
      <c r="A2588" s="5"/>
      <c r="B2588" s="13" t="s">
        <v>2118</v>
      </c>
      <c r="C2588" s="22"/>
      <c r="D2588" s="22"/>
      <c r="E2588" s="22"/>
      <c r="F2588" s="22"/>
      <c r="G2588" s="22"/>
    </row>
    <row r="2589">
      <c r="A2589" s="4"/>
      <c r="B2589" s="14" t="s">
        <v>840</v>
      </c>
      <c r="C2589" s="21">
        <f>(1342)*(1)*(1)*(1)*(1 + (0))</f>
      </c>
      <c r="D2589" s="21" t="s">
        <v>9</v>
      </c>
      <c r="E2589" s="21"/>
      <c r="F2589" s="21">
        <f>(0)</f>
      </c>
      <c r="G2589" s="21">
        <f>(C2589 * E2589 + C2589 * E2589 * F2589)</f>
      </c>
    </row>
    <row r="2590">
      <c r="A2590" s="2"/>
      <c r="B2590" s="10" t="s">
        <v>2119</v>
      </c>
      <c r="C2590" s="19"/>
      <c r="D2590" s="19"/>
      <c r="E2590" s="19"/>
      <c r="F2590" s="19"/>
      <c r="G2590" s="19"/>
    </row>
    <row r="2591">
      <c r="A2591" s="4"/>
      <c r="B2591" s="7" t="s">
        <v>2120</v>
      </c>
      <c r="C2591" s="21">
        <f>(1)*(1)*(1)*(1)*(1 + (0))</f>
      </c>
      <c r="D2591" s="21" t="s">
        <v>45</v>
      </c>
      <c r="E2591" s="21">
        <f>(600000)</f>
      </c>
      <c r="F2591" s="21">
        <f>(0)</f>
      </c>
      <c r="G2591" s="21">
        <f>(C2591 * E2591 + C2591 * E2591 * F2591)</f>
      </c>
    </row>
    <row r="2592">
      <c r="A2592" s="4"/>
      <c r="B2592" s="7" t="s">
        <v>2121</v>
      </c>
      <c r="C2592" s="21">
        <f>(1)*(1)*(1)*(1)*(1 + (0))</f>
      </c>
      <c r="D2592" s="21" t="s">
        <v>170</v>
      </c>
      <c r="E2592" s="21">
        <f>(300000)</f>
      </c>
      <c r="F2592" s="21">
        <f>(0)</f>
      </c>
      <c r="G2592" s="21">
        <f>(C2592 * E2592 + C2592 * E2592 * F2592)</f>
      </c>
    </row>
    <row r="2593">
      <c r="A2593" s="4"/>
      <c r="B2593" s="7" t="s">
        <v>2122</v>
      </c>
      <c r="C2593" s="21">
        <f>(1)*(1)*(1)*(1)*(1 + (0))</f>
      </c>
      <c r="D2593" s="21" t="s">
        <v>45</v>
      </c>
      <c r="E2593" s="21">
        <f>(300000)</f>
      </c>
      <c r="F2593" s="21">
        <f>(0)</f>
      </c>
      <c r="G2593" s="21">
        <f>(C2593 * E2593 + C2593 * E2593 * F2593)</f>
      </c>
    </row>
    <row r="2594">
      <c r="A2594" s="4"/>
      <c r="B2594" s="7"/>
      <c r="C2594" s="21"/>
      <c r="D2594" s="21"/>
      <c r="E2594" s="21"/>
      <c r="F2594" s="21">
        <f>(0)</f>
      </c>
      <c r="G2594" s="21">
        <f>(C2594 * E2594 + C2594 * E2594 * F2594)</f>
      </c>
    </row>
    <row r="2595">
      <c r="A2595" s="7"/>
      <c r="B2595" s="7"/>
      <c r="C2595" s="21"/>
      <c r="D2595" s="21"/>
      <c r="E2595" s="21"/>
      <c r="F2595" s="21"/>
      <c r="G2595" s="21"/>
    </row>
    <row r="2596">
      <c r="A2596" s="8" t="s">
        <v>2123</v>
      </c>
      <c r="B2596" s="8"/>
      <c r="C2596" s="8"/>
      <c r="D2596" s="8"/>
      <c r="E2596" s="8"/>
      <c r="F2596" s="8"/>
      <c r="G2596" s="8">
        <f>(SUM(G2:G2595))</f>
      </c>
    </row>
    <row r="2597">
      <c r="A2597" s="8" t="s">
        <v>2124</v>
      </c>
      <c r="B2597" s="8"/>
      <c r="C2597" s="8"/>
      <c r="D2597" s="8"/>
      <c r="E2597" s="8"/>
      <c r="F2597" s="8"/>
      <c r="G2597" s="8">
        <v>0</v>
      </c>
    </row>
    <row r="2598">
      <c r="A2598" s="8" t="s">
        <v>2125</v>
      </c>
      <c r="B2598" s="8"/>
      <c r="C2598" s="8"/>
      <c r="D2598" s="8"/>
      <c r="E2598" s="8"/>
      <c r="F2598" s="8"/>
      <c r="G2598" s="8">
        <f>0.1*(SUM(G2596:G2597))</f>
      </c>
    </row>
    <row r="2599">
      <c r="A2599" s="9" t="s">
        <v>5</v>
      </c>
      <c r="B2599" s="9"/>
      <c r="C2599" s="9"/>
      <c r="D2599" s="9"/>
      <c r="E2599" s="9"/>
      <c r="F2599" s="9"/>
      <c r="G2599" s="9">
        <f>SUM(G2596:G2598)</f>
      </c>
    </row>
  </sheetData>
  <headerFooter/>
</worksheet>
</file>

<file path=xl/worksheets/sheet3.xml><?xml version="1.0" encoding="utf-8"?>
<worksheet xmlns:r="http://schemas.openxmlformats.org/officeDocument/2006/relationships" xmlns="http://schemas.openxmlformats.org/spreadsheetml/2006/main">
  <dimension ref="A1:D41"/>
  <sheetViews>
    <sheetView workbookViewId="0">
      <pane xSplit="4" ySplit="1" topLeftCell="E2" state="frozen" activePane="bottomRight"/>
      <selection pane="topRight" activeCell="E1" sqref="E1"/>
      <selection pane="bottomLeft" activeCell="A2" sqref="A2"/>
      <selection pane="bottomRight" activeCell="A1" sqref="A1"/>
    </sheetView>
  </sheetViews>
  <sheetFormatPr defaultRowHeight="15"/>
  <cols>
    <col min="1" max="1" width="30" customWidth="1"/>
    <col min="2" max="2" width="9.140625" customWidth="1"/>
    <col min="3" max="3" width="15" customWidth="1"/>
    <col min="4" max="4" width="20" customWidth="1"/>
  </cols>
  <sheetData>
    <row r="1">
      <c r="A1" s="1" t="s">
        <v>1</v>
      </c>
      <c r="B1" s="1" t="s">
        <v>2127</v>
      </c>
      <c r="C1" s="1" t="s">
        <v>2128</v>
      </c>
      <c r="D1" s="1" t="s">
        <v>5</v>
      </c>
    </row>
    <row r="2">
      <c r="A2" s="7" t="s">
        <v>6</v>
      </c>
      <c r="B2" s="21"/>
      <c r="C2" s="21"/>
      <c r="D2" s="21">
        <f>SUBTOTAL(9,'Trade Breakup Showing Markup'!G$2:G$10)</f>
      </c>
    </row>
    <row r="3">
      <c r="A3" s="7" t="s">
        <v>13</v>
      </c>
      <c r="B3" s="21"/>
      <c r="C3" s="21"/>
      <c r="D3" s="21">
        <f>SUBTOTAL(9,'Trade Breakup Showing Markup'!G$11:G$56)</f>
      </c>
    </row>
    <row r="4">
      <c r="A4" s="7" t="s">
        <v>95</v>
      </c>
      <c r="B4" s="21"/>
      <c r="C4" s="21"/>
      <c r="D4" s="21">
        <f>SUBTOTAL(9,'Trade Breakup Showing Markup'!G$57:G$127)</f>
      </c>
    </row>
    <row r="5">
      <c r="A5" s="7" t="s">
        <v>188</v>
      </c>
      <c r="B5" s="21"/>
      <c r="C5" s="21"/>
      <c r="D5" s="21">
        <f>SUBTOTAL(9,'Trade Breakup Showing Markup'!G$128:G$157)</f>
      </c>
    </row>
    <row r="6">
      <c r="A6" s="7" t="s">
        <v>226</v>
      </c>
      <c r="B6" s="21"/>
      <c r="C6" s="21"/>
      <c r="D6" s="21">
        <f>SUBTOTAL(9,'Trade Breakup Showing Markup'!G$158:G$304)</f>
      </c>
    </row>
    <row r="7">
      <c r="A7" s="7" t="s">
        <v>372</v>
      </c>
      <c r="B7" s="21"/>
      <c r="C7" s="21"/>
      <c r="D7" s="21">
        <f>SUBTOTAL(9,'Trade Breakup Showing Markup'!G$305:G$429)</f>
      </c>
    </row>
    <row r="8">
      <c r="A8" s="7" t="s">
        <v>468</v>
      </c>
      <c r="B8" s="21"/>
      <c r="C8" s="21"/>
      <c r="D8" s="21">
        <f>SUBTOTAL(9,'Trade Breakup Showing Markup'!G$430:G$543)</f>
      </c>
    </row>
    <row r="9">
      <c r="A9" s="7" t="s">
        <v>556</v>
      </c>
      <c r="B9" s="21"/>
      <c r="C9" s="21"/>
      <c r="D9" s="21">
        <f>SUBTOTAL(9,'Trade Breakup Showing Markup'!G$544:G$583)</f>
      </c>
    </row>
    <row r="10">
      <c r="A10" s="7" t="s">
        <v>610</v>
      </c>
      <c r="B10" s="21"/>
      <c r="C10" s="21"/>
      <c r="D10" s="21">
        <f>SUBTOTAL(9,'Trade Breakup Showing Markup'!G$584:G$797)</f>
      </c>
    </row>
    <row r="11">
      <c r="A11" s="7" t="s">
        <v>799</v>
      </c>
      <c r="B11" s="21"/>
      <c r="C11" s="21"/>
      <c r="D11" s="21">
        <f>SUBTOTAL(9,'Trade Breakup Showing Markup'!G$798:G$852)</f>
      </c>
    </row>
    <row r="12">
      <c r="A12" s="7" t="s">
        <v>856</v>
      </c>
      <c r="B12" s="21"/>
      <c r="C12" s="21"/>
      <c r="D12" s="21">
        <f>SUBTOTAL(9,'Trade Breakup Showing Markup'!G$853:G$1116)</f>
      </c>
    </row>
    <row r="13">
      <c r="A13" s="7" t="s">
        <v>1000</v>
      </c>
      <c r="B13" s="21"/>
      <c r="C13" s="21"/>
      <c r="D13" s="21">
        <f>SUBTOTAL(9,'Trade Breakup Showing Markup'!G$1117:G$1196)</f>
      </c>
    </row>
    <row r="14">
      <c r="A14" s="7" t="s">
        <v>1057</v>
      </c>
      <c r="B14" s="21"/>
      <c r="C14" s="21"/>
      <c r="D14" s="21">
        <f>SUBTOTAL(9,'Trade Breakup Showing Markup'!G$1197:G$1263)</f>
      </c>
    </row>
    <row r="15">
      <c r="A15" s="7" t="s">
        <v>1129</v>
      </c>
      <c r="B15" s="21"/>
      <c r="C15" s="21"/>
      <c r="D15" s="21">
        <f>SUBTOTAL(9,'Trade Breakup Showing Markup'!G$1264:G$1332)</f>
      </c>
    </row>
    <row r="16">
      <c r="A16" s="7" t="s">
        <v>1198</v>
      </c>
      <c r="B16" s="21"/>
      <c r="C16" s="21"/>
      <c r="D16" s="21">
        <f>SUBTOTAL(9,'Trade Breakup Showing Markup'!G$1333:G$1441)</f>
      </c>
    </row>
    <row r="17">
      <c r="A17" s="7" t="s">
        <v>1294</v>
      </c>
      <c r="B17" s="21"/>
      <c r="C17" s="21"/>
      <c r="D17" s="21">
        <f>SUBTOTAL(9,'Trade Breakup Showing Markup'!G$1442:G$1555)</f>
      </c>
    </row>
    <row r="18">
      <c r="A18" s="7" t="s">
        <v>1362</v>
      </c>
      <c r="B18" s="21"/>
      <c r="C18" s="21"/>
      <c r="D18" s="21">
        <f>SUBTOTAL(9,'Trade Breakup Showing Markup'!G$1556:G$1781)</f>
      </c>
    </row>
    <row r="19">
      <c r="A19" s="7" t="s">
        <v>1460</v>
      </c>
      <c r="B19" s="21"/>
      <c r="C19" s="21"/>
      <c r="D19" s="21">
        <f>SUBTOTAL(9,'Trade Breakup Showing Markup'!G$1782:G$1836)</f>
      </c>
    </row>
    <row r="20">
      <c r="A20" s="7" t="s">
        <v>1504</v>
      </c>
      <c r="B20" s="21"/>
      <c r="C20" s="21"/>
      <c r="D20" s="21">
        <f>SUBTOTAL(9,'Trade Breakup Showing Markup'!G$1837:G$1866)</f>
      </c>
    </row>
    <row r="21">
      <c r="A21" s="7" t="s">
        <v>1526</v>
      </c>
      <c r="B21" s="21"/>
      <c r="C21" s="21"/>
      <c r="D21" s="21">
        <f>SUBTOTAL(9,'Trade Breakup Showing Markup'!G$1867:G$1923)</f>
      </c>
    </row>
    <row r="22">
      <c r="A22" s="7" t="s">
        <v>1560</v>
      </c>
      <c r="B22" s="21"/>
      <c r="C22" s="21"/>
      <c r="D22" s="21">
        <f>SUBTOTAL(9,'Trade Breakup Showing Markup'!G$1924:G$1967)</f>
      </c>
    </row>
    <row r="23">
      <c r="A23" s="7" t="s">
        <v>1598</v>
      </c>
      <c r="B23" s="21"/>
      <c r="C23" s="21"/>
      <c r="D23" s="21">
        <f>SUBTOTAL(9,'Trade Breakup Showing Markup'!G$1968:G$2034)</f>
      </c>
    </row>
    <row r="24">
      <c r="A24" s="7" t="s">
        <v>1652</v>
      </c>
      <c r="B24" s="21"/>
      <c r="C24" s="21"/>
      <c r="D24" s="21">
        <f>SUBTOTAL(9,'Trade Breakup Showing Markup'!G$2035:G$2147)</f>
      </c>
    </row>
    <row r="25">
      <c r="A25" s="7" t="s">
        <v>1750</v>
      </c>
      <c r="B25" s="21"/>
      <c r="C25" s="21"/>
      <c r="D25" s="21">
        <f>SUBTOTAL(9,'Trade Breakup Showing Markup'!G$2148:G$2186)</f>
      </c>
    </row>
    <row r="26">
      <c r="A26" s="7" t="s">
        <v>1765</v>
      </c>
      <c r="B26" s="21"/>
      <c r="C26" s="21"/>
      <c r="D26" s="21">
        <f>SUBTOTAL(9,'Trade Breakup Showing Markup'!G$2187:G$2244)</f>
      </c>
    </row>
    <row r="27">
      <c r="A27" s="7" t="s">
        <v>1805</v>
      </c>
      <c r="B27" s="21"/>
      <c r="C27" s="21"/>
      <c r="D27" s="21">
        <f>SUBTOTAL(9,'Trade Breakup Showing Markup'!G$2245:G$2300)</f>
      </c>
    </row>
    <row r="28">
      <c r="A28" s="7" t="s">
        <v>1859</v>
      </c>
      <c r="B28" s="21"/>
      <c r="C28" s="21"/>
      <c r="D28" s="21">
        <f>SUBTOTAL(9,'Trade Breakup Showing Markup'!G$2301:G$2326)</f>
      </c>
    </row>
    <row r="29">
      <c r="A29" s="7" t="s">
        <v>1897</v>
      </c>
      <c r="B29" s="21"/>
      <c r="C29" s="21"/>
      <c r="D29" s="21">
        <f>SUBTOTAL(9,'Trade Breakup Showing Markup'!G$2327:G$2349)</f>
      </c>
    </row>
    <row r="30">
      <c r="A30" s="7" t="s">
        <v>1923</v>
      </c>
      <c r="B30" s="21"/>
      <c r="C30" s="21"/>
      <c r="D30" s="21">
        <f>SUBTOTAL(9,'Trade Breakup Showing Markup'!G$2350:G$2368)</f>
      </c>
    </row>
    <row r="31">
      <c r="A31" s="7" t="s">
        <v>1941</v>
      </c>
      <c r="B31" s="21"/>
      <c r="C31" s="21"/>
      <c r="D31" s="21">
        <f>SUBTOTAL(9,'Trade Breakup Showing Markup'!G$2369:G$2389)</f>
      </c>
    </row>
    <row r="32">
      <c r="A32" s="7" t="s">
        <v>1961</v>
      </c>
      <c r="B32" s="21"/>
      <c r="C32" s="21"/>
      <c r="D32" s="21">
        <f>SUBTOTAL(9,'Trade Breakup Showing Markup'!G$2390:G$2407)</f>
      </c>
    </row>
    <row r="33">
      <c r="A33" s="7" t="s">
        <v>1967</v>
      </c>
      <c r="B33" s="21"/>
      <c r="C33" s="21"/>
      <c r="D33" s="21">
        <f>SUBTOTAL(9,'Trade Breakup Showing Markup'!G$2408:G$2533)</f>
      </c>
    </row>
    <row r="34">
      <c r="A34" s="7" t="s">
        <v>2088</v>
      </c>
      <c r="B34" s="21"/>
      <c r="C34" s="21"/>
      <c r="D34" s="21">
        <f>SUBTOTAL(9,'Trade Breakup Showing Markup'!G$2534:G$2560)</f>
      </c>
    </row>
    <row r="35">
      <c r="A35" s="7" t="s">
        <v>2113</v>
      </c>
      <c r="B35" s="21"/>
      <c r="C35" s="21"/>
      <c r="D35" s="21">
        <f>SUBTOTAL(9,'Trade Breakup Showing Markup'!G$2561:G$2589)</f>
      </c>
    </row>
    <row r="36">
      <c r="A36" s="7" t="s">
        <v>2119</v>
      </c>
      <c r="B36" s="21">
        <v>100</v>
      </c>
      <c r="C36" s="21"/>
      <c r="D36" s="21">
        <f>SUBTOTAL(9,'Trade Breakup Showing Markup'!G$2590:G$2593)</f>
      </c>
    </row>
    <row r="37">
      <c r="A37" s="7"/>
      <c r="B37" s="21"/>
      <c r="C37" s="21"/>
      <c r="D37" s="21">
        <f>SUBTOTAL(9,'Trade Breakup Showing Markup'!G$2594:G$2594)</f>
      </c>
    </row>
    <row r="38">
      <c r="A38" s="24" t="s">
        <v>2123</v>
      </c>
      <c r="B38" s="25"/>
      <c r="C38" s="25"/>
      <c r="D38" s="25">
        <f>'Trade Breakup Showing Markup'!G2596</f>
      </c>
    </row>
    <row r="39">
      <c r="A39" s="8" t="s">
        <v>2124</v>
      </c>
      <c r="B39" s="8"/>
      <c r="C39" s="8"/>
      <c r="D39" s="8">
        <f>'Trade Breakup Showing Markup'!G2597</f>
      </c>
    </row>
    <row r="40">
      <c r="A40" s="8" t="s">
        <v>2125</v>
      </c>
      <c r="B40" s="8"/>
      <c r="C40" s="8"/>
      <c r="D40" s="8">
        <f>'Trade Breakup Showing Markup'!G2598</f>
      </c>
    </row>
    <row r="41">
      <c r="A41" s="9" t="s">
        <v>5</v>
      </c>
      <c r="B41" s="9"/>
      <c r="C41" s="9"/>
      <c r="D41" s="9">
        <f>'Trade Breakup Showing Markup'!G2599</f>
      </c>
    </row>
  </sheetData>
  <headerFooter/>
</worksheet>
</file>