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D:\Jarvis\tests\fixtures\costx\"/>
    </mc:Choice>
  </mc:AlternateContent>
  <xr:revisionPtr revIDLastSave="0" documentId="13_ncr:1_{E2C4BA32-2CE4-4AA4-8E4E-4DE1A232261D}" xr6:coauthVersionLast="47" xr6:coauthVersionMax="47" xr10:uidLastSave="{00000000-0000-0000-0000-000000000000}"/>
  <bookViews>
    <workbookView xWindow="-120" yWindow="-120" windowWidth="29040" windowHeight="15720" xr2:uid="{00000000-000D-0000-FFFF-FFFF00000000}"/>
  </bookViews>
  <sheets>
    <sheet name="CostX"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351" i="1" l="1"/>
  <c r="F6349" i="1"/>
  <c r="I6349" i="1" s="1"/>
  <c r="F6306" i="1"/>
  <c r="I6306" i="1" s="1"/>
  <c r="F6251" i="1"/>
  <c r="I6251" i="1" s="1"/>
  <c r="I6203" i="1"/>
  <c r="F6203" i="1"/>
  <c r="F6191" i="1"/>
  <c r="I6191" i="1" s="1"/>
  <c r="I6161" i="1"/>
  <c r="F6161" i="1"/>
  <c r="I6154" i="1"/>
  <c r="F6154" i="1"/>
  <c r="I6142" i="1"/>
  <c r="F6142" i="1"/>
  <c r="F6134" i="1"/>
  <c r="I6134" i="1" s="1"/>
  <c r="I6047" i="1"/>
  <c r="F6047" i="1"/>
  <c r="I5998" i="1"/>
  <c r="F5998" i="1"/>
  <c r="I5985" i="1"/>
  <c r="F5985" i="1"/>
  <c r="F5970" i="1"/>
  <c r="I5970" i="1" s="1"/>
  <c r="I5929" i="1"/>
  <c r="F5929" i="1"/>
  <c r="I5859" i="1"/>
  <c r="F5857" i="1"/>
  <c r="I5857" i="1" s="1"/>
  <c r="I5843" i="1"/>
  <c r="F5843" i="1"/>
  <c r="F5826" i="1"/>
  <c r="I5826" i="1" s="1"/>
  <c r="F5610" i="1"/>
  <c r="I5610" i="1" s="1"/>
  <c r="I5411" i="1"/>
  <c r="I5409" i="1"/>
  <c r="F5409" i="1"/>
  <c r="F5349" i="1"/>
  <c r="I5349" i="1" s="1"/>
  <c r="I5324" i="1"/>
  <c r="F5324" i="1"/>
  <c r="F5299" i="1"/>
  <c r="I5299" i="1" s="1"/>
  <c r="F5277" i="1"/>
  <c r="I5277" i="1" s="1"/>
  <c r="F5249" i="1"/>
  <c r="I5249" i="1" s="1"/>
  <c r="I5199" i="1"/>
  <c r="F5199" i="1"/>
  <c r="F5172" i="1"/>
  <c r="I5172" i="1" s="1"/>
  <c r="F4999" i="1"/>
  <c r="I4999" i="1" s="1"/>
  <c r="F4747" i="1"/>
  <c r="I4747" i="1" s="1"/>
  <c r="F4701" i="1"/>
  <c r="I4701" i="1" s="1"/>
  <c r="F4610" i="1"/>
  <c r="I4610" i="1" s="1"/>
  <c r="F4498" i="1"/>
  <c r="I4498" i="1" s="1"/>
  <c r="F4385" i="1"/>
  <c r="I4385" i="1" s="1"/>
  <c r="F4236" i="1"/>
  <c r="I4236" i="1" s="1"/>
  <c r="F4117" i="1"/>
  <c r="I4117" i="1" s="1"/>
  <c r="F3958" i="1"/>
  <c r="I3958" i="1" s="1"/>
  <c r="F3931" i="1"/>
  <c r="I3931" i="1" s="1"/>
  <c r="F3785" i="1"/>
  <c r="I3785" i="1" s="1"/>
  <c r="F3427" i="1"/>
  <c r="I3427" i="1" s="1"/>
  <c r="F3387" i="1"/>
  <c r="I3387" i="1" s="1"/>
  <c r="F3122" i="1"/>
  <c r="I3122" i="1" s="1"/>
  <c r="I2755" i="1"/>
  <c r="I2753" i="1"/>
  <c r="F2753" i="1"/>
  <c r="I2562" i="1"/>
  <c r="F2562" i="1"/>
  <c r="I2501" i="1"/>
  <c r="F2501" i="1"/>
  <c r="F2379" i="1"/>
  <c r="I2379" i="1" s="1"/>
  <c r="I2189" i="1"/>
  <c r="F2189" i="1"/>
  <c r="I2067" i="1"/>
  <c r="F2067" i="1"/>
  <c r="I1936" i="1"/>
  <c r="F1936" i="1"/>
  <c r="F1783" i="1"/>
  <c r="I1783" i="1" s="1"/>
  <c r="I1675" i="1"/>
  <c r="F1675" i="1"/>
  <c r="I1617" i="1"/>
  <c r="F1617" i="1"/>
  <c r="I1428" i="1"/>
  <c r="F1428" i="1"/>
  <c r="F955" i="1"/>
  <c r="I955" i="1" s="1"/>
  <c r="F410" i="1"/>
  <c r="I410" i="1" s="1"/>
  <c r="I353" i="1"/>
  <c r="F353" i="1"/>
  <c r="I165" i="1"/>
  <c r="F165" i="1"/>
  <c r="F107" i="1"/>
  <c r="I107" i="1" s="1"/>
  <c r="F44" i="1"/>
  <c r="I44" i="1" s="1"/>
  <c r="I6354" i="1" s="1"/>
</calcChain>
</file>

<file path=xl/sharedStrings.xml><?xml version="1.0" encoding="utf-8"?>
<sst xmlns="http://schemas.openxmlformats.org/spreadsheetml/2006/main" count="16707" uniqueCount="6716">
  <si>
    <t>FULL BOQ</t>
  </si>
  <si>
    <t>Code</t>
  </si>
  <si>
    <t>Description</t>
  </si>
  <si>
    <t>Quantity</t>
  </si>
  <si>
    <t>UOM</t>
  </si>
  <si>
    <t>Rate</t>
  </si>
  <si>
    <t>SubTotal</t>
  </si>
  <si>
    <t>Factor</t>
  </si>
  <si>
    <t>Total</t>
  </si>
  <si>
    <t>MAIN WORKS</t>
  </si>
  <si>
    <t>A</t>
  </si>
  <si>
    <t>GROSS FLOOR AREA (GFA)</t>
  </si>
  <si>
    <t>DEFINITIONS</t>
  </si>
  <si>
    <t>Head1</t>
  </si>
  <si>
    <t>Gross building areas</t>
  </si>
  <si>
    <t>Head2</t>
  </si>
  <si>
    <t>A/1</t>
  </si>
  <si>
    <t>The sum of the 'Fully Enclosed Covered Area' and other practical functional areas.</t>
  </si>
  <si>
    <t>Note</t>
  </si>
  <si>
    <t>A/2</t>
  </si>
  <si>
    <t>Unit of Measurement: Square Metres (m2)</t>
  </si>
  <si>
    <t>Fully enclosed covered area (FECA)</t>
  </si>
  <si>
    <t>A/3</t>
  </si>
  <si>
    <t>As defined by Australian Institute of Quantity Surveyors</t>
  </si>
  <si>
    <t>A/4</t>
  </si>
  <si>
    <t>The sum of all such areas at all building floor levels, including basements (except unexcavated portions), floored roof spaced and attics, garages, penthouses, enclosed porches and attached enclosed covered ways alongside buildings, equipment rooms, lift shafts, vertical ducts, staircases and any other fully enclosed spaces and usable areas of the building, computed by measuring from the normal inside face of exterior walls but ignoring any projections such as plinths, columns, piers and the like which project form the normal inside face of exterior walls.</t>
  </si>
  <si>
    <t>A/5</t>
  </si>
  <si>
    <t>It shall not include open courts, light wells, connecting or isolated covered ways and net open areas of upper portions of rooms, lobbies, halls, interstitial space and the like which extend through the storey being computed.</t>
  </si>
  <si>
    <t>A/6</t>
  </si>
  <si>
    <t>Other practical functional building areas</t>
  </si>
  <si>
    <t>A/7</t>
  </si>
  <si>
    <t>Areas of the project externally to FECA that may have usefulness to the tenderer in bulk checking and cost analysis</t>
  </si>
  <si>
    <t>A/8</t>
  </si>
  <si>
    <t>Unenclosed covered areas (UCA) as defined by the Australian Institute of Quantity Surveyors has not been measured, instead a more practical measurement approach has been adopted such as total areas of balconies, areas under awnings, porte cocheres and the like</t>
  </si>
  <si>
    <t>A/9</t>
  </si>
  <si>
    <t>GROSS FLOOR AREA MEASUREMENT</t>
  </si>
  <si>
    <t>A/10</t>
  </si>
  <si>
    <t>A measurement of the GFA has been included for the use of tenderers. No costing of these quantities is required for the tender submission</t>
  </si>
  <si>
    <t>NORTH BUILDING</t>
  </si>
  <si>
    <t>Fully Enclosed Covered Area</t>
  </si>
  <si>
    <t>A/11</t>
  </si>
  <si>
    <t>Level 1</t>
  </si>
  <si>
    <t>m2</t>
  </si>
  <si>
    <t>A/12</t>
  </si>
  <si>
    <t>Level 2</t>
  </si>
  <si>
    <t>A/13</t>
  </si>
  <si>
    <t>Level 3</t>
  </si>
  <si>
    <t>A/14</t>
  </si>
  <si>
    <t>Level 4</t>
  </si>
  <si>
    <t>Unenclosed Covered Area</t>
  </si>
  <si>
    <t>A/15</t>
  </si>
  <si>
    <t>A/16</t>
  </si>
  <si>
    <t>A/17</t>
  </si>
  <si>
    <t>SOUTH BUILDING</t>
  </si>
  <si>
    <t>A/18</t>
  </si>
  <si>
    <t>A/19</t>
  </si>
  <si>
    <t>A/20</t>
  </si>
  <si>
    <t>A/21</t>
  </si>
  <si>
    <t>A/22</t>
  </si>
  <si>
    <t>A/23</t>
  </si>
  <si>
    <t>A/24</t>
  </si>
  <si>
    <t>TOTAL GROSS FLOOR AREA (GFA)</t>
  </si>
  <si>
    <t>B</t>
  </si>
  <si>
    <t>DEMOLITION &amp; SITE CLEARANCE</t>
  </si>
  <si>
    <t>GENERALLY</t>
  </si>
  <si>
    <t>B/1</t>
  </si>
  <si>
    <t>Tenderers are referred to the Specification for the full particulars of workmanship and materials, and the quantities herein provided shall be read in conjunction with the drawings</t>
  </si>
  <si>
    <t>B/2</t>
  </si>
  <si>
    <t>This Builders Bill of Quantities has not been measured in accordance with the Australian Standard Method of Measurement of Building Works, 5th Edition</t>
  </si>
  <si>
    <t>B/3</t>
  </si>
  <si>
    <t>The Tenderers should carefully check site to assess the extent of Demolition required for this contract</t>
  </si>
  <si>
    <t>REFERENCES</t>
  </si>
  <si>
    <t>B/4</t>
  </si>
  <si>
    <t>Refer to following drawings: A0102-A to A0103-A for "Demolition Plan"</t>
  </si>
  <si>
    <t>B/5</t>
  </si>
  <si>
    <t>Refer to following civil drawing series: C.00-A to C.02-A for "General Notes", C.30-A to C.31-A for "Civil Works Plan", C.40-A to C.51-A for "Stormwater and Civil Works Details"</t>
  </si>
  <si>
    <t>PRICES</t>
  </si>
  <si>
    <t>Prices shall include for:</t>
  </si>
  <si>
    <t>B/6</t>
  </si>
  <si>
    <t>Demolition of work</t>
  </si>
  <si>
    <t>B/7</t>
  </si>
  <si>
    <t>Taking down, removal and cartage from site</t>
  </si>
  <si>
    <t>B/8</t>
  </si>
  <si>
    <t>Cleaning up on completion</t>
  </si>
  <si>
    <t>B/9</t>
  </si>
  <si>
    <t>Protecting adjoining surfaces</t>
  </si>
  <si>
    <t>B/10</t>
  </si>
  <si>
    <t>Making good to work disturbed</t>
  </si>
  <si>
    <t>B/11</t>
  </si>
  <si>
    <t>Recycling waste where required</t>
  </si>
  <si>
    <t>B/12</t>
  </si>
  <si>
    <t>Tip fees</t>
  </si>
  <si>
    <t>B/13</t>
  </si>
  <si>
    <t>Environmental and sustainable requirements detailed in the specification</t>
  </si>
  <si>
    <t>GENERAL ITEMS</t>
  </si>
  <si>
    <t>B/14</t>
  </si>
  <si>
    <t>Allow for site visit to assess the nature and extent of demolition</t>
  </si>
  <si>
    <t>Item</t>
  </si>
  <si>
    <t>B/15</t>
  </si>
  <si>
    <t>Allow to remove all vegetation within the demolition zone for the new buildings and associated paths including those not specifically noted on the drawings</t>
  </si>
  <si>
    <t>B/16</t>
  </si>
  <si>
    <t>Allow to retain and protect existing works / premises on site and adjoining properties</t>
  </si>
  <si>
    <t>B/17</t>
  </si>
  <si>
    <t>Allow for provision and removal of temporary fencing / screens, hoardings, weather / dust protection measures, security, temporary access, warning notices and the like</t>
  </si>
  <si>
    <t>B/18</t>
  </si>
  <si>
    <t>Allow for all temporary shoring, propping, supports and the like (other than designed shoring and propping measured following)</t>
  </si>
  <si>
    <t>B/19</t>
  </si>
  <si>
    <t>Allow for all required credits for recovered materials</t>
  </si>
  <si>
    <t>B/20</t>
  </si>
  <si>
    <t>Allow for giving notice of any unanticipated hazardous materials or conditions found on site</t>
  </si>
  <si>
    <t>B/21</t>
  </si>
  <si>
    <t>Allow for giving notice of and providing facilities for inspection</t>
  </si>
  <si>
    <t>B/22</t>
  </si>
  <si>
    <t>Allow for compliance with quality assurance requirements</t>
  </si>
  <si>
    <t>B/23</t>
  </si>
  <si>
    <t>Allow for submissions including work plans, data and dilapidation records</t>
  </si>
  <si>
    <t>B/24</t>
  </si>
  <si>
    <t>Allow to make good all disturbed works</t>
  </si>
  <si>
    <t>B/25</t>
  </si>
  <si>
    <t>Allow to carry out works in accordance with waste management plan</t>
  </si>
  <si>
    <t>B/26</t>
  </si>
  <si>
    <t>Allow for all costs associated with meeting local authority requirements and obtaining approvals</t>
  </si>
  <si>
    <t>B/27</t>
  </si>
  <si>
    <t>Allow for traffic management measures</t>
  </si>
  <si>
    <t>B/28</t>
  </si>
  <si>
    <t>Allow to remove all redundant (visible and non visible) works; footings, slabs, retaining walls, pits etc including redundant inground services</t>
  </si>
  <si>
    <t>B/29</t>
  </si>
  <si>
    <t>Allow to remove redundant stormwater lines, grates and pits.</t>
  </si>
  <si>
    <t>B/30</t>
  </si>
  <si>
    <t>Allow for the removal of all Asbestos and Hazardous Material in accordance with the requirements of BCA, Work Cover, Australian Standards and local authorities.</t>
  </si>
  <si>
    <t>B/31</t>
  </si>
  <si>
    <t>Allow for the removal of all Contaminated Material in accordance with the requirements of the local authorities.</t>
  </si>
  <si>
    <t>B/32</t>
  </si>
  <si>
    <t>Allow to remove all debris from site including the payment of all fees etc.</t>
  </si>
  <si>
    <t>B/33</t>
  </si>
  <si>
    <t>NOTES AND ASSUMPTIONS</t>
  </si>
  <si>
    <t>B/34</t>
  </si>
  <si>
    <t>The following measurement of demolition works are INDICATIVE ONLY and it is the contractors responsibility to inspect the site and establish the full extent of Demolition Works.</t>
  </si>
  <si>
    <t>DEMOLITION</t>
  </si>
  <si>
    <t>B/35</t>
  </si>
  <si>
    <t>Demolish existing pathway</t>
  </si>
  <si>
    <t>B/36</t>
  </si>
  <si>
    <t>Demolish existing pavement</t>
  </si>
  <si>
    <t>B/37</t>
  </si>
  <si>
    <t>Demolish existing slab including walls and stairs (NB: No details provided)</t>
  </si>
  <si>
    <t>B/38</t>
  </si>
  <si>
    <t>Demolish Building 8 post completion of Byron building works</t>
  </si>
  <si>
    <t>B/39</t>
  </si>
  <si>
    <t>Demolish Building 9 post completion of Byron building works</t>
  </si>
  <si>
    <t>B/40</t>
  </si>
  <si>
    <t>Demolish existing condensers, retaining, walls, kerbs, spoon drain and stairs (NB: No details provided)</t>
  </si>
  <si>
    <t>B/41</t>
  </si>
  <si>
    <t>Demolish existing steel stairs connectiong Bld1, Level 1 to Science Rd (NB: No details provided)</t>
  </si>
  <si>
    <t>B/42</t>
  </si>
  <si>
    <t>Demolish existing kerb</t>
  </si>
  <si>
    <t>m</t>
  </si>
  <si>
    <t>B/43</t>
  </si>
  <si>
    <t>Demolish existing brick wall (NB: No details provided)</t>
  </si>
  <si>
    <t>B/44</t>
  </si>
  <si>
    <t>Demolish existing retaining wall (NB: No details provided)</t>
  </si>
  <si>
    <t>B/45</t>
  </si>
  <si>
    <t>Trees to remove</t>
  </si>
  <si>
    <t>no</t>
  </si>
  <si>
    <t>TREE PROTECTION AND REMOVAL</t>
  </si>
  <si>
    <t>B/46</t>
  </si>
  <si>
    <t>Temporary stake for trees</t>
  </si>
  <si>
    <t>B/47</t>
  </si>
  <si>
    <t>Tree protection area temporary fencing</t>
  </si>
  <si>
    <t>B/48</t>
  </si>
  <si>
    <t>Trunk protection battens to be installed</t>
  </si>
  <si>
    <t>SERVICES</t>
  </si>
  <si>
    <t>B/49</t>
  </si>
  <si>
    <t>Allow to remove Electrical Services as required</t>
  </si>
  <si>
    <t>B/50</t>
  </si>
  <si>
    <t>Allow to remove Hydraulic Services as required</t>
  </si>
  <si>
    <t>B/51</t>
  </si>
  <si>
    <t>Allow to remove Mechanical Services as required</t>
  </si>
  <si>
    <t>TOTAL DEMOLITION &amp; SITE CLEARANCE</t>
  </si>
  <si>
    <t>C</t>
  </si>
  <si>
    <t>SITE PREPARATION</t>
  </si>
  <si>
    <t>C/1</t>
  </si>
  <si>
    <t>C/2</t>
  </si>
  <si>
    <t>C/3</t>
  </si>
  <si>
    <t>Refer to following sections of William Clarke College  "Architectural Specification" dated 5 April 2024 by PMDL Architecture + Design: 0221 - Site Preparation/management</t>
  </si>
  <si>
    <t>C/4</t>
  </si>
  <si>
    <t>Refer to civil drawing series: C.01-A to C.02-A for "General Notes", C.10-A to C.11-A for "Soil Erosion and Sediment Control Plan and Details", C.20-A for "Bulk Excavation Plan", C.30-A to C.31-A for "Civil Works Plan", C.40-A to C.51-A for "Stormwater and Civil Works Details"</t>
  </si>
  <si>
    <t>C/5</t>
  </si>
  <si>
    <t>Refer to document "WCC Site As Built Mark Up" for "Early Works"</t>
  </si>
  <si>
    <t>C/6</t>
  </si>
  <si>
    <t>Getting out, levelling, grading, trimming and forming batters</t>
  </si>
  <si>
    <t>C/7</t>
  </si>
  <si>
    <t>Keeping sides plumb and to shape</t>
  </si>
  <si>
    <t>C/8</t>
  </si>
  <si>
    <t>Scabbling faces of excavation as required</t>
  </si>
  <si>
    <t>C/9</t>
  </si>
  <si>
    <t>Backfilling, ramming solid</t>
  </si>
  <si>
    <t>C/10</t>
  </si>
  <si>
    <t>Processing excavated materials suitable for reuse as fill</t>
  </si>
  <si>
    <t>C/11</t>
  </si>
  <si>
    <t>Loading and disposal of surplus spoil</t>
  </si>
  <si>
    <t>C/12</t>
  </si>
  <si>
    <t>Importing fill where required</t>
  </si>
  <si>
    <t>C/13</t>
  </si>
  <si>
    <t>All double handling required</t>
  </si>
  <si>
    <t>C/14</t>
  </si>
  <si>
    <t>All costs associated with forming and maintaining stripped material stockpiles</t>
  </si>
  <si>
    <t>C/15</t>
  </si>
  <si>
    <t>C/16</t>
  </si>
  <si>
    <t>The Contractor is deemed to have included for material as found</t>
  </si>
  <si>
    <t>C/17</t>
  </si>
  <si>
    <t>C/18</t>
  </si>
  <si>
    <t>C/19</t>
  </si>
  <si>
    <t>Allow for providing samples</t>
  </si>
  <si>
    <t>C/20</t>
  </si>
  <si>
    <t>Allow for testing</t>
  </si>
  <si>
    <t>C/21</t>
  </si>
  <si>
    <t>Allow for contractors submissions</t>
  </si>
  <si>
    <t>C/22</t>
  </si>
  <si>
    <t>Allow for inspection of site</t>
  </si>
  <si>
    <t>C/23</t>
  </si>
  <si>
    <t>Allow for complying with relevant Acts, By-laws and regulations relating to excavation, planking and strutting</t>
  </si>
  <si>
    <t>C/24</t>
  </si>
  <si>
    <t>C/25</t>
  </si>
  <si>
    <t>Allow for locating and marking all existing services including disconnection of redundant services not otherwise allowed for and protection of services to be retained</t>
  </si>
  <si>
    <t>C/26</t>
  </si>
  <si>
    <t>Allow for a dilapidation survey if required, monitoring of existing buildings, pavements and structures close to work areas, controlling possible damage and making good damage on completion</t>
  </si>
  <si>
    <t>C/27</t>
  </si>
  <si>
    <t>Allow for keeping excavations free from rain and percolating water by pumping, bailing and other means</t>
  </si>
  <si>
    <t>C/28</t>
  </si>
  <si>
    <t>Allow for provision and removal of temporary fencing, hoardings warning notices and the like</t>
  </si>
  <si>
    <t>C/29</t>
  </si>
  <si>
    <t>C/30</t>
  </si>
  <si>
    <t>Allow for any shoring, planking and strutting deemed necessary to retain sides of excavations but not measured following</t>
  </si>
  <si>
    <t>C/31</t>
  </si>
  <si>
    <t>Allow for benching prior to bulk fill on surfaces exceeding 1:4 slope</t>
  </si>
  <si>
    <t>C/32</t>
  </si>
  <si>
    <t>Allow for any working space excavations deemed necessary but not measured following</t>
  </si>
  <si>
    <t>C/33</t>
  </si>
  <si>
    <t>Allow for any safety covers over holes and other OH&amp;S requirements</t>
  </si>
  <si>
    <t>C/34</t>
  </si>
  <si>
    <t>Allow for geotechnical investigations, monitoring and reports</t>
  </si>
  <si>
    <t>SITE CLEARANCE</t>
  </si>
  <si>
    <t>C/35</t>
  </si>
  <si>
    <t>Removal of Water</t>
  </si>
  <si>
    <t>C/36</t>
  </si>
  <si>
    <t>Site restoration works to make good areas of site or outside site boundary to existing condition after completion of works if required</t>
  </si>
  <si>
    <t>Erosion and Sediment Control</t>
  </si>
  <si>
    <t>C/37</t>
  </si>
  <si>
    <t>Sediment Fence - 600mm filter cloth over woven wire fence with minimum 1200mm high post fence</t>
  </si>
  <si>
    <t>C/38</t>
  </si>
  <si>
    <t>Geotextile Inlet Filter - Geotextile filter fabric with sandbags around perimeter</t>
  </si>
  <si>
    <t>C/39</t>
  </si>
  <si>
    <t>Stabilized Site Access - 15000x3000mm site access point with geotextile fabric, igneous rock and sand bedding</t>
  </si>
  <si>
    <t>C/40</t>
  </si>
  <si>
    <t>Temporary stockpile - For construction notes please refer to C.11-A</t>
  </si>
  <si>
    <t>C/41</t>
  </si>
  <si>
    <t>Clean water swale - (NB: No details provided)</t>
  </si>
  <si>
    <t>C/42</t>
  </si>
  <si>
    <t>200mm DGB with honcho matting (NB:No details provided)</t>
  </si>
  <si>
    <t>C/43</t>
  </si>
  <si>
    <t>Temporary DGB roadway (NB:No details provided)</t>
  </si>
  <si>
    <t>C/44</t>
  </si>
  <si>
    <t>C/45</t>
  </si>
  <si>
    <t>TOTAL SITE PREPARATION</t>
  </si>
  <si>
    <t>D</t>
  </si>
  <si>
    <t>PILING</t>
  </si>
  <si>
    <t>D/1</t>
  </si>
  <si>
    <t>D/2</t>
  </si>
  <si>
    <t>D/3</t>
  </si>
  <si>
    <t>Refer to General Materials, Finishes and Fixtures Schedule for William Clarke College Bryson Building dated 05 April 2024 by PMDL Architecture + Design</t>
  </si>
  <si>
    <t>D/4</t>
  </si>
  <si>
    <t>Refer to following structural drawing series: SA to SJ for "Structural Plan"</t>
  </si>
  <si>
    <t>D/5</t>
  </si>
  <si>
    <t>Square cutting and waste</t>
  </si>
  <si>
    <t>D/6</t>
  </si>
  <si>
    <t>Forming all openings, machine cutting, cutting to form bond, cutting to form chases for edges of floor slabs</t>
  </si>
  <si>
    <t>D/7</t>
  </si>
  <si>
    <t>Forming reveals including pointing and cleaning down</t>
  </si>
  <si>
    <t>D/8</t>
  </si>
  <si>
    <t>Plumbing reveals and angles</t>
  </si>
  <si>
    <t>D/9</t>
  </si>
  <si>
    <t>Building in of frames, flashings, dampproof course, ties, lintels, structural steel framework and the like</t>
  </si>
  <si>
    <t>D/10</t>
  </si>
  <si>
    <t>Raking out joints for applied finishes</t>
  </si>
  <si>
    <t>D/11</t>
  </si>
  <si>
    <t>Keeping cavities clear of mortar droppings</t>
  </si>
  <si>
    <t>D/12</t>
  </si>
  <si>
    <t>Forming weepholes</t>
  </si>
  <si>
    <t>D/13</t>
  </si>
  <si>
    <t>Using solid blocks where core holes would otherwise be visible or where required for fire rating</t>
  </si>
  <si>
    <t>D/14</t>
  </si>
  <si>
    <t>Using matching half-blocks, closers, lintel and bond beam blocks as required</t>
  </si>
  <si>
    <t>D/15</t>
  </si>
  <si>
    <t>Building in or cutting holes for pipes, handrails, cramps, steel ties sections and the like</t>
  </si>
  <si>
    <t>D/16</t>
  </si>
  <si>
    <t>Making good and protecting finished surfaces</t>
  </si>
  <si>
    <t>D/17</t>
  </si>
  <si>
    <t>Cleaning down</t>
  </si>
  <si>
    <t>D/18</t>
  </si>
  <si>
    <t>Environmental and sustainable requirements detailed in the Tender documents (if any)</t>
  </si>
  <si>
    <t>D/19</t>
  </si>
  <si>
    <t>Allow for providing brick and mortar samples</t>
  </si>
  <si>
    <t>D/20</t>
  </si>
  <si>
    <t>Allow for building sample panels</t>
  </si>
  <si>
    <t>D/21</t>
  </si>
  <si>
    <t>Allow for testing</t>
  </si>
  <si>
    <t>D/22</t>
  </si>
  <si>
    <t>D/23</t>
  </si>
  <si>
    <t>D/24</t>
  </si>
  <si>
    <t>Allow for data submissions</t>
  </si>
  <si>
    <t>D/25</t>
  </si>
  <si>
    <t>Allow for storing and protecting bricks</t>
  </si>
  <si>
    <t>D/26</t>
  </si>
  <si>
    <t>Allow for warranties</t>
  </si>
  <si>
    <t>D/27</t>
  </si>
  <si>
    <t>Allow for making good/levelling the bulk earthworks following concrete pile works if necessary</t>
  </si>
  <si>
    <t>D/28</t>
  </si>
  <si>
    <t>Allow for attending on and making good after all other trades, cutting out, forming all chases, grooves and holes building in all pipes, sleeves, anchor, bolts, lugs, fixings etc as required, replacing defective bricks, pointing up all faulty joints, holes and dressing and making good damaged or defective work</t>
  </si>
  <si>
    <t>D/29</t>
  </si>
  <si>
    <t>Notes and assumptions here including drawings used</t>
  </si>
  <si>
    <t>Piling</t>
  </si>
  <si>
    <t>Boring</t>
  </si>
  <si>
    <t>Head3</t>
  </si>
  <si>
    <t>D/30</t>
  </si>
  <si>
    <t>BP1 - 500mm diameter bored pier; 2300mm height</t>
  </si>
  <si>
    <t>D/31</t>
  </si>
  <si>
    <t>BP2 - 600mm diameter bored pier; 1800mm height</t>
  </si>
  <si>
    <t>D/32</t>
  </si>
  <si>
    <t>BP3 - 750mm diameter bored pier; 1800mm height</t>
  </si>
  <si>
    <t>D/33</t>
  </si>
  <si>
    <t>BP4 - 900mm diameter bored pier; 1800mm height</t>
  </si>
  <si>
    <t>D/34</t>
  </si>
  <si>
    <t>BP6 - 1200mm diameter bored pier; 1300mm to 1800mm height</t>
  </si>
  <si>
    <t>D/35</t>
  </si>
  <si>
    <t>BP7 - 1200mm diameter bored pier; 3000mm to 4000mm height</t>
  </si>
  <si>
    <t>D/36</t>
  </si>
  <si>
    <t>BP8 - 1200mm diameter bored pier; 4000mm height</t>
  </si>
  <si>
    <t>D/37</t>
  </si>
  <si>
    <t>BP9 - 1200mm diameter bored pier; 6000mm height</t>
  </si>
  <si>
    <t>D/38</t>
  </si>
  <si>
    <t>BP9* - 1200mm diameter bored pier; 6500mm height</t>
  </si>
  <si>
    <t>D/39</t>
  </si>
  <si>
    <t>BP10* - 1200mm diameter bored pier; 9500mm height</t>
  </si>
  <si>
    <t>Extra Over for Socketing</t>
  </si>
  <si>
    <t>D/40</t>
  </si>
  <si>
    <t>BP1 - 500mm diameter bored pier</t>
  </si>
  <si>
    <t>D/41</t>
  </si>
  <si>
    <t>BP2 - 600mm diameter bored pier</t>
  </si>
  <si>
    <t>D/42</t>
  </si>
  <si>
    <t>BP3 - 750mm diameter bored pier</t>
  </si>
  <si>
    <t>D/43</t>
  </si>
  <si>
    <t>BP4 - 900mm diameter bored pier</t>
  </si>
  <si>
    <t>D/44</t>
  </si>
  <si>
    <t>BP6 - 1200mm diameter bored pier</t>
  </si>
  <si>
    <t>D/45</t>
  </si>
  <si>
    <t>BP7 - 1200mm diameter bored pier</t>
  </si>
  <si>
    <t>D/46</t>
  </si>
  <si>
    <t>BP8 - 1200mm diameter bored pier</t>
  </si>
  <si>
    <t>D/47</t>
  </si>
  <si>
    <t>BP9 - 1200mm diameter bored pier</t>
  </si>
  <si>
    <t>D/48</t>
  </si>
  <si>
    <t>BP9* - 1200mm diameter bored pier</t>
  </si>
  <si>
    <t>D/49</t>
  </si>
  <si>
    <t>BP10* - 1200mm diameter bored pier</t>
  </si>
  <si>
    <t>Insitu Concrete</t>
  </si>
  <si>
    <t>Pile (32MPa, 80mm slump, 20mm max. aggregate size)</t>
  </si>
  <si>
    <t>Head4</t>
  </si>
  <si>
    <t>D/50</t>
  </si>
  <si>
    <t>m3</t>
  </si>
  <si>
    <t>D/51</t>
  </si>
  <si>
    <t>D/52</t>
  </si>
  <si>
    <t>D/53</t>
  </si>
  <si>
    <t>D/54</t>
  </si>
  <si>
    <t>D/55</t>
  </si>
  <si>
    <t>D/56</t>
  </si>
  <si>
    <t>D/57</t>
  </si>
  <si>
    <t>D/58</t>
  </si>
  <si>
    <t>D/59</t>
  </si>
  <si>
    <t>Reinforcement</t>
  </si>
  <si>
    <t>Bar Reinforcement (Measured)</t>
  </si>
  <si>
    <t>D/60</t>
  </si>
  <si>
    <t>Bar reinforcement to BP1 - 500mm diameter bored pier</t>
  </si>
  <si>
    <t>t</t>
  </si>
  <si>
    <t>D/61</t>
  </si>
  <si>
    <t>Bar reinforcement to BP10* - 1200mm diameter bored pier</t>
  </si>
  <si>
    <t>D/62</t>
  </si>
  <si>
    <t>Bar reinforcement to BP2 - 600mm diameter bored pier</t>
  </si>
  <si>
    <t>D/63</t>
  </si>
  <si>
    <t>Bar reinforcement to BP3 - 750mm diameter bored pier</t>
  </si>
  <si>
    <t>D/64</t>
  </si>
  <si>
    <t>Bar reinforcement to BP4 - 900mm diameter bored pier</t>
  </si>
  <si>
    <t>D/65</t>
  </si>
  <si>
    <t>Bar reinforcement to BP6 - 1200mm diameter bored pier</t>
  </si>
  <si>
    <t>D/66</t>
  </si>
  <si>
    <t>Bar reinforcement to BP7 - 1200mm diameter bored pier</t>
  </si>
  <si>
    <t>D/67</t>
  </si>
  <si>
    <t>Bar reinforcement to BP8 - 1200mm diameter bored pier</t>
  </si>
  <si>
    <t>D/68</t>
  </si>
  <si>
    <t>Bar reinforcement to BP9 - 1200mm diameter bored pier</t>
  </si>
  <si>
    <t>D/69</t>
  </si>
  <si>
    <t>Bar reinforcement to BP9* - 1200mm diameter bored pier</t>
  </si>
  <si>
    <t>Spoil Removal</t>
  </si>
  <si>
    <t>D/70</t>
  </si>
  <si>
    <t>Spoil removal to BP1 - 500mm diameter bored pier</t>
  </si>
  <si>
    <t>D/71</t>
  </si>
  <si>
    <t>Spoil removal to BP2 - 600mm diameter bored pier</t>
  </si>
  <si>
    <t>D/72</t>
  </si>
  <si>
    <t>Spoil removal to BP3 - 750mm diameter bored pier</t>
  </si>
  <si>
    <t>D/73</t>
  </si>
  <si>
    <t>Spoil removal to BP4 - 900mm diameter bored pier</t>
  </si>
  <si>
    <t>D/74</t>
  </si>
  <si>
    <t>Spoil removal to BP6 - 1200mm diameter bored pier</t>
  </si>
  <si>
    <t>D/75</t>
  </si>
  <si>
    <t>Spoil removal to BP7 - 1200mm diameter bored pier</t>
  </si>
  <si>
    <t>D/76</t>
  </si>
  <si>
    <t>Spoil removal to BP8 - 1200mm diameter bored pier</t>
  </si>
  <si>
    <t>D/77</t>
  </si>
  <si>
    <t>Spoil removal to BP9 - 1200mm diameter bored pier</t>
  </si>
  <si>
    <t>D/78</t>
  </si>
  <si>
    <t>Spoil removal to BP9* - 1200mm diameter bored pier</t>
  </si>
  <si>
    <t>D/79</t>
  </si>
  <si>
    <t>Spoil removal to BP10* - 1200mm diameter bored pier</t>
  </si>
  <si>
    <t>Sundries</t>
  </si>
  <si>
    <t>Preparation of concrete pile head for incorporation into the structure including trimming/roughening surface at cut-off level, inspecting for and rectifying defective material, cleaning and straightening/bending projecting reinforcement, etc. to:</t>
  </si>
  <si>
    <t>D/80</t>
  </si>
  <si>
    <t>D/81</t>
  </si>
  <si>
    <t>D/82</t>
  </si>
  <si>
    <t>D/83</t>
  </si>
  <si>
    <t>D/84</t>
  </si>
  <si>
    <t>D/85</t>
  </si>
  <si>
    <t>D/86</t>
  </si>
  <si>
    <t>D/87</t>
  </si>
  <si>
    <t>D/88</t>
  </si>
  <si>
    <t>D/89</t>
  </si>
  <si>
    <t>Clean out base of concrete pile, including removing all water and loose material for:</t>
  </si>
  <si>
    <t>D/90</t>
  </si>
  <si>
    <t>D/91</t>
  </si>
  <si>
    <t>D/92</t>
  </si>
  <si>
    <t>D/93</t>
  </si>
  <si>
    <t>D/94</t>
  </si>
  <si>
    <t>D/95</t>
  </si>
  <si>
    <t>D/96</t>
  </si>
  <si>
    <t>D/97</t>
  </si>
  <si>
    <t>D/98</t>
  </si>
  <si>
    <t>D/99</t>
  </si>
  <si>
    <t>D/100</t>
  </si>
  <si>
    <t>BP1 - 500mm diameter bored pier; 1800mm to 2300mm height</t>
  </si>
  <si>
    <t>D/101</t>
  </si>
  <si>
    <t>D/102</t>
  </si>
  <si>
    <t>BP4 - 900mm diameter bored pier; 1800mm to 2300mm height</t>
  </si>
  <si>
    <t>D/103</t>
  </si>
  <si>
    <t>D/104</t>
  </si>
  <si>
    <t>BP7 - 1200mm diameter bored pier; 3000mm to 3500mm height</t>
  </si>
  <si>
    <t>D/105</t>
  </si>
  <si>
    <t>BP7* - 1200mm diameter bored pier 3500mm height</t>
  </si>
  <si>
    <t>D/106</t>
  </si>
  <si>
    <t>D/107</t>
  </si>
  <si>
    <t>BP8* - 1200mm diameter bored pier 4500mm height</t>
  </si>
  <si>
    <t>D/108</t>
  </si>
  <si>
    <t>D/109</t>
  </si>
  <si>
    <t>D/110</t>
  </si>
  <si>
    <t>D/111</t>
  </si>
  <si>
    <t>D/112</t>
  </si>
  <si>
    <t>D/113</t>
  </si>
  <si>
    <t>BP7* - 1200mm diameter bored pier</t>
  </si>
  <si>
    <t>D/114</t>
  </si>
  <si>
    <t>D/115</t>
  </si>
  <si>
    <t>BP8* - 1200mm diameter bored pier</t>
  </si>
  <si>
    <t>D/116</t>
  </si>
  <si>
    <t>D/117</t>
  </si>
  <si>
    <t>D/118</t>
  </si>
  <si>
    <t>D/119</t>
  </si>
  <si>
    <t>D/120</t>
  </si>
  <si>
    <t>D/121</t>
  </si>
  <si>
    <t>D/122</t>
  </si>
  <si>
    <t>D/123</t>
  </si>
  <si>
    <t>D/124</t>
  </si>
  <si>
    <t>D/125</t>
  </si>
  <si>
    <t>D/126</t>
  </si>
  <si>
    <t>D/127</t>
  </si>
  <si>
    <t>D/128</t>
  </si>
  <si>
    <t>D/129</t>
  </si>
  <si>
    <t>Bar reinforcement to BP7* - 1200mm diameter bored pier</t>
  </si>
  <si>
    <t>D/130</t>
  </si>
  <si>
    <t>D/131</t>
  </si>
  <si>
    <t>Bar reinforcement to BP8* - 1200mm diameter bored pier</t>
  </si>
  <si>
    <t>D/132</t>
  </si>
  <si>
    <t>D/133</t>
  </si>
  <si>
    <t>D/134</t>
  </si>
  <si>
    <t>D/135</t>
  </si>
  <si>
    <t>D/136</t>
  </si>
  <si>
    <t>D/137</t>
  </si>
  <si>
    <t>Spoil removal to BP7* - 1200mm diameter bored pier</t>
  </si>
  <si>
    <t>D/138</t>
  </si>
  <si>
    <t>D/139</t>
  </si>
  <si>
    <t>Spoil removal to BP8* - 1200mm diameter bored pier</t>
  </si>
  <si>
    <t>D/140</t>
  </si>
  <si>
    <t>D/141</t>
  </si>
  <si>
    <t>D/142</t>
  </si>
  <si>
    <t>D/143</t>
  </si>
  <si>
    <t>D/144</t>
  </si>
  <si>
    <t>D/145</t>
  </si>
  <si>
    <t>D/146</t>
  </si>
  <si>
    <t>D/147</t>
  </si>
  <si>
    <t>D/148</t>
  </si>
  <si>
    <t>D/149</t>
  </si>
  <si>
    <t>D/150</t>
  </si>
  <si>
    <t>D/151</t>
  </si>
  <si>
    <t>D/152</t>
  </si>
  <si>
    <t>D/153</t>
  </si>
  <si>
    <t>D/154</t>
  </si>
  <si>
    <t>D/155</t>
  </si>
  <si>
    <t>TOTAL PILING</t>
  </si>
  <si>
    <t>E</t>
  </si>
  <si>
    <t>DETAILED EXCAVATION</t>
  </si>
  <si>
    <t>E/1</t>
  </si>
  <si>
    <t>E/2</t>
  </si>
  <si>
    <t>E/3</t>
  </si>
  <si>
    <t>E/4</t>
  </si>
  <si>
    <t>E/5</t>
  </si>
  <si>
    <t>E/6</t>
  </si>
  <si>
    <t>E/7</t>
  </si>
  <si>
    <t>E/8</t>
  </si>
  <si>
    <t>E/9</t>
  </si>
  <si>
    <t>E/10</t>
  </si>
  <si>
    <t>E/11</t>
  </si>
  <si>
    <t>E/12</t>
  </si>
  <si>
    <t>E/13</t>
  </si>
  <si>
    <t>E/14</t>
  </si>
  <si>
    <t>E/15</t>
  </si>
  <si>
    <t>E/16</t>
  </si>
  <si>
    <t>E/17</t>
  </si>
  <si>
    <t>E/18</t>
  </si>
  <si>
    <t>E/19</t>
  </si>
  <si>
    <t>E/20</t>
  </si>
  <si>
    <t>E/21</t>
  </si>
  <si>
    <t>E/22</t>
  </si>
  <si>
    <t>E/23</t>
  </si>
  <si>
    <t>E/24</t>
  </si>
  <si>
    <t>E/25</t>
  </si>
  <si>
    <t>E/26</t>
  </si>
  <si>
    <t>E/27</t>
  </si>
  <si>
    <t>E/28</t>
  </si>
  <si>
    <t>E/29</t>
  </si>
  <si>
    <t>E/30</t>
  </si>
  <si>
    <t>E/31</t>
  </si>
  <si>
    <t>E/32</t>
  </si>
  <si>
    <t>E/33</t>
  </si>
  <si>
    <t>E/34</t>
  </si>
  <si>
    <t>No working area was considered in the quantity of the detailed excavation</t>
  </si>
  <si>
    <t>Detailed Excavation</t>
  </si>
  <si>
    <t>Footing</t>
  </si>
  <si>
    <t>E/35</t>
  </si>
  <si>
    <t>Detailed excavation to pile cap footing</t>
  </si>
  <si>
    <t>E/36</t>
  </si>
  <si>
    <t>Detailed excavation to ground beam</t>
  </si>
  <si>
    <t>Lift Pit</t>
  </si>
  <si>
    <t>E/37</t>
  </si>
  <si>
    <t>Detailed excavation to lift pit</t>
  </si>
  <si>
    <t>E/38</t>
  </si>
  <si>
    <t>E/39</t>
  </si>
  <si>
    <t>E/40</t>
  </si>
  <si>
    <t>TOTAL DETAILED EXCAVATION</t>
  </si>
  <si>
    <t>F</t>
  </si>
  <si>
    <t>IN-SITU CONCRETE</t>
  </si>
  <si>
    <t>F/1</t>
  </si>
  <si>
    <t>F/2</t>
  </si>
  <si>
    <t>F/3</t>
  </si>
  <si>
    <t>F/4</t>
  </si>
  <si>
    <t>F/5</t>
  </si>
  <si>
    <t>Mixing, handling, hoisting, placing in position and compacting</t>
  </si>
  <si>
    <t>F/6</t>
  </si>
  <si>
    <t>Pour joints / construction joints not detailed by engineer OR shown on drawings but not requiring formwork or jointing materials (e.g. between slab/footing and base of column/wall), including any associated scabbling</t>
  </si>
  <si>
    <t>F/7</t>
  </si>
  <si>
    <t>Forming falls and/or crossfalls for drainage other than indicated below as detailed</t>
  </si>
  <si>
    <t>F/8</t>
  </si>
  <si>
    <t>Making good after removal of formwork all holes for pipes, conduits and the like and casting in ends of angle brackets, lugs, frames and the like</t>
  </si>
  <si>
    <t>F/9</t>
  </si>
  <si>
    <t>Additional concrete required to conform to structural and excavated tolerances</t>
  </si>
  <si>
    <t>F/10</t>
  </si>
  <si>
    <t>F/11</t>
  </si>
  <si>
    <t>Allow for approval of foundation material bearing capacity by the consulting Geotechnical Engineer prior to placement of concrete</t>
  </si>
  <si>
    <t>F/12</t>
  </si>
  <si>
    <t>F/13</t>
  </si>
  <si>
    <t>F/14</t>
  </si>
  <si>
    <t>Allow for all testing in accordance with Engineers requirements</t>
  </si>
  <si>
    <t>F/15</t>
  </si>
  <si>
    <t>Allow for providing samples and sample panels of materials or finishes</t>
  </si>
  <si>
    <t>F/16</t>
  </si>
  <si>
    <t>Allow for contractor's submissions</t>
  </si>
  <si>
    <t>F/17</t>
  </si>
  <si>
    <t>Allow for protecting finished surfaces from damage and cleaning on completion</t>
  </si>
  <si>
    <t>F/18</t>
  </si>
  <si>
    <t>Allow for coordination with and attendance upon other trades for embedded items and other works associated with Concrete</t>
  </si>
  <si>
    <t>F/19</t>
  </si>
  <si>
    <t>Allow for concrete pumping and pump visits</t>
  </si>
  <si>
    <t>F/20</t>
  </si>
  <si>
    <t>Allow for concrete testing</t>
  </si>
  <si>
    <t>F/21</t>
  </si>
  <si>
    <t>Allow for guarantees</t>
  </si>
  <si>
    <t>F/22</t>
  </si>
  <si>
    <t>All slabs measured in full thickness</t>
  </si>
  <si>
    <t>F/23</t>
  </si>
  <si>
    <t>No concrete strength provided for mass concrete downturn, assumed to be 50Mpa. Refer to SB.13 for location</t>
  </si>
  <si>
    <t>F/24</t>
  </si>
  <si>
    <t>Measured construction joints to bored piers under slabs and under RC columns</t>
  </si>
  <si>
    <t>F/25</t>
  </si>
  <si>
    <t>Assumed beam sizes for beam tag L2-B1, B2, B4</t>
  </si>
  <si>
    <t>Assumption</t>
  </si>
  <si>
    <t>CONCRETE SUPPLY SUMMARY</t>
  </si>
  <si>
    <t>F/26</t>
  </si>
  <si>
    <t>32MPa, 80mm slump, 20mm max. aggregate size</t>
  </si>
  <si>
    <t>F/27</t>
  </si>
  <si>
    <t>40MPa, 80mm slump, 20mm max. aggregate size</t>
  </si>
  <si>
    <t>F/28</t>
  </si>
  <si>
    <t>40MPa, 80mm slump, 20mm max. aggregate size to post-tensioned slab and beams</t>
  </si>
  <si>
    <t>F/29</t>
  </si>
  <si>
    <t>50MPa, 80mm slump, 20mm max. aggregate size</t>
  </si>
  <si>
    <t>F/30</t>
  </si>
  <si>
    <t>Xypex admixture to lift pit base and walls</t>
  </si>
  <si>
    <t>Insitu Concrete</t>
  </si>
  <si>
    <t>Pile Cap Footing (50MPa, 80mm slump, 20mm max. aggregate size)</t>
  </si>
  <si>
    <t>Foundation (SB.01)</t>
  </si>
  <si>
    <t>F/31</t>
  </si>
  <si>
    <t>PC1 - 3600 x 1200 x 1200mm deep pile cap :[16 no]</t>
  </si>
  <si>
    <t>F/32</t>
  </si>
  <si>
    <t>PC2 - 3600 x 1200 x 1400mm deep pile cap :[12 no]</t>
  </si>
  <si>
    <t>Mass Concrete Downturn (50MPa, 80mm slump, 20mm max. aggregate size)</t>
  </si>
  <si>
    <t>F/33</t>
  </si>
  <si>
    <t>Provide 600 x 500 mass concrete downturn onto lift base to support edge beam :[2 no]</t>
  </si>
  <si>
    <t>Footing Beam (32Mpa, 80mm slump, 20mm max. aggregate size)</t>
  </si>
  <si>
    <t>F/34</t>
  </si>
  <si>
    <t>EB-A 600 x 600mm Foundation beam :[94 m]</t>
  </si>
  <si>
    <t>F/35</t>
  </si>
  <si>
    <t>FB-A 600 x 600mm Foundation beam :[32 m]</t>
  </si>
  <si>
    <t>F/36</t>
  </si>
  <si>
    <t>FB-B 900 x 600mm Foundation beam :[5 m]</t>
  </si>
  <si>
    <t>F/37</t>
  </si>
  <si>
    <t>FB-C 1200 x 600mm Foundation beam :[9 m]</t>
  </si>
  <si>
    <t>F/38</t>
  </si>
  <si>
    <t>IB-A 600 x 600mm Foundation beam :[7 m]</t>
  </si>
  <si>
    <t>F/39</t>
  </si>
  <si>
    <t>IB-B 450 x 600mm Foundation beam :[31 m]</t>
  </si>
  <si>
    <t>Base Slab on Ground (32Mpa, 80mm slump, 20mm max. aggregate size)</t>
  </si>
  <si>
    <t>F/40</t>
  </si>
  <si>
    <t>600mm thick Lift pit base slab :[22 m2]</t>
  </si>
  <si>
    <t>F/41</t>
  </si>
  <si>
    <t>600mm thick Stair base slab :[27 m2]</t>
  </si>
  <si>
    <t>F/42</t>
  </si>
  <si>
    <t>40mm thick integral fall to 600mm thick Base Slab :[48 m2]</t>
  </si>
  <si>
    <t>Concrete Walls (50MPa, 80mm slump, 20mm max. aggregate size)</t>
  </si>
  <si>
    <t>External Concrete Wall</t>
  </si>
  <si>
    <t>F/43</t>
  </si>
  <si>
    <t>Level 1 (SC.01)</t>
  </si>
  <si>
    <t>Head5</t>
  </si>
  <si>
    <t>F/44</t>
  </si>
  <si>
    <t>W3 - 300mm thick external wall :[32 m2]</t>
  </si>
  <si>
    <t>F/45</t>
  </si>
  <si>
    <t>Level 2 (SG.01)</t>
  </si>
  <si>
    <t>F/46</t>
  </si>
  <si>
    <t>W9 - 200mm thick external wall :[12 m2]</t>
  </si>
  <si>
    <t>F/47</t>
  </si>
  <si>
    <t>Level 3 (SH.01)</t>
  </si>
  <si>
    <t>F/48</t>
  </si>
  <si>
    <t>W9 - 200mm thick external wall :[11 m2]</t>
  </si>
  <si>
    <t>F/49</t>
  </si>
  <si>
    <t>Level 4 (SI.01)</t>
  </si>
  <si>
    <t>F/50</t>
  </si>
  <si>
    <t>W9 - 200mm thick external wall :[14 m2]</t>
  </si>
  <si>
    <t>Internal Concrete Wall</t>
  </si>
  <si>
    <t>F/51</t>
  </si>
  <si>
    <t>F/52</t>
  </si>
  <si>
    <t>W1 - 200mm thick lift pit wall :[17 m2]</t>
  </si>
  <si>
    <t>F/53</t>
  </si>
  <si>
    <t>W9 - 200mm thick lift pit wall :[6 m2]</t>
  </si>
  <si>
    <t>F/54</t>
  </si>
  <si>
    <t>F/55</t>
  </si>
  <si>
    <t>W1 - 200mm thick core wall :[149 m2]</t>
  </si>
  <si>
    <t>F/56</t>
  </si>
  <si>
    <t>W2 - 200mm thick core wall :[26 m2]</t>
  </si>
  <si>
    <t>F/57</t>
  </si>
  <si>
    <t>W3 - 300mm thick core wall :[14 m2]</t>
  </si>
  <si>
    <t>F/58</t>
  </si>
  <si>
    <t>W5 - 300mm thick core wall :[23 m2]</t>
  </si>
  <si>
    <t>F/59</t>
  </si>
  <si>
    <t>W9 - 200mm thick core wall :[19 m2]</t>
  </si>
  <si>
    <t>F/60</t>
  </si>
  <si>
    <t>W2 - 200mm thick internal wall :[67 m2]</t>
  </si>
  <si>
    <t>F/61</t>
  </si>
  <si>
    <t>W9 - 200mm thick internal wall :[19 m2]</t>
  </si>
  <si>
    <t>F/62</t>
  </si>
  <si>
    <t>F/63</t>
  </si>
  <si>
    <t>W1 - 200mm thick core wall :[97 m2]</t>
  </si>
  <si>
    <t>F/64</t>
  </si>
  <si>
    <t>W3 - 300mm thick core wall :[84 m2]</t>
  </si>
  <si>
    <t>F/65</t>
  </si>
  <si>
    <t>W9 - 200mm thick core wall :[12 m2]</t>
  </si>
  <si>
    <t>F/66</t>
  </si>
  <si>
    <t>W9 - 200mm thick internal wall :[44 m2]</t>
  </si>
  <si>
    <t>F/67</t>
  </si>
  <si>
    <t>F/68</t>
  </si>
  <si>
    <t>W2 - 200mm thick core wall :[141 m2]</t>
  </si>
  <si>
    <t>F/69</t>
  </si>
  <si>
    <t>W3 - 300mm thick core wall :[75 m2]</t>
  </si>
  <si>
    <t>F/70</t>
  </si>
  <si>
    <t>W9 - 200mm thick core wall :[13 m2]</t>
  </si>
  <si>
    <t>F/71</t>
  </si>
  <si>
    <t>F/72</t>
  </si>
  <si>
    <t>F/73</t>
  </si>
  <si>
    <t>W2 - 200mm thick core wall :[127 m2]</t>
  </si>
  <si>
    <t>F/74</t>
  </si>
  <si>
    <t>W3 - 300mm thick core wall :[78 m2]</t>
  </si>
  <si>
    <t>F/75</t>
  </si>
  <si>
    <t>W9 - 200mm thick internal wall :[29 m2]</t>
  </si>
  <si>
    <t>Concrete Walls (32MPa, 80mm slump, 20mm max. aggregate size)</t>
  </si>
  <si>
    <t>F/76</t>
  </si>
  <si>
    <t>F/77</t>
  </si>
  <si>
    <t>W8 - 150mm thick external parapet wall :[225 m2]</t>
  </si>
  <si>
    <t>F/78</t>
  </si>
  <si>
    <t>F/79</t>
  </si>
  <si>
    <t>W7 - 200mm thick internal wall :[130 m2]</t>
  </si>
  <si>
    <t>Columns (50MPa, 80mm slump, 20mm max. aggregate size)</t>
  </si>
  <si>
    <t>F/80</t>
  </si>
  <si>
    <t>CC1 - 400x700mm deep concrete column :[1 no]</t>
  </si>
  <si>
    <t>F/81</t>
  </si>
  <si>
    <t>CC10 - 500x500mm deep concrete column :[1 no]</t>
  </si>
  <si>
    <t>F/82</t>
  </si>
  <si>
    <t>CC11 - 400x600mm deep concrete column :[1 no]</t>
  </si>
  <si>
    <t>F/83</t>
  </si>
  <si>
    <t>CC12 - 400x700mm deep concrete column :[1 no]</t>
  </si>
  <si>
    <t>F/84</t>
  </si>
  <si>
    <t>CC13 - 400x700mm deep concrete column :[1 no]</t>
  </si>
  <si>
    <t>F/85</t>
  </si>
  <si>
    <t>CC14 - 450x450mm deep concrete column :[1 no]</t>
  </si>
  <si>
    <t>F/86</t>
  </si>
  <si>
    <t>CC15 - 400x700mm deep concrete column :[1 no]</t>
  </si>
  <si>
    <t>F/87</t>
  </si>
  <si>
    <t>CC16 - 500x500mm deep concrete column :[1 no]</t>
  </si>
  <si>
    <t>F/88</t>
  </si>
  <si>
    <t>CC17 - 400x700mm deep concrete column :[1 no]</t>
  </si>
  <si>
    <t>F/89</t>
  </si>
  <si>
    <t>CC18 - 400x700mm deep concrete column :[1 no]</t>
  </si>
  <si>
    <t>F/90</t>
  </si>
  <si>
    <t>CC19 - 400x700mm deep concrete column :[1 no]</t>
  </si>
  <si>
    <t>F/91</t>
  </si>
  <si>
    <t>CC2 - 400x700mm deep concrete column :[1 no]</t>
  </si>
  <si>
    <t>F/92</t>
  </si>
  <si>
    <t>CC20 - 450x450mm deep concrete column :[1 no]</t>
  </si>
  <si>
    <t>F/93</t>
  </si>
  <si>
    <t>CC21 - 450x450mm deep concrete column :[1 no]</t>
  </si>
  <si>
    <t>F/94</t>
  </si>
  <si>
    <t>CC22 - 400x700mm deep concrete column :[1 no]</t>
  </si>
  <si>
    <t>F/95</t>
  </si>
  <si>
    <t>CC23 - 400x700mm deep concrete column :[1 no]</t>
  </si>
  <si>
    <t>F/96</t>
  </si>
  <si>
    <t>CC24 - 400x600mm deep concrete column :[1 no]</t>
  </si>
  <si>
    <t>F/97</t>
  </si>
  <si>
    <t>CC25 - 400x600mm deep concrete column :[1 no]</t>
  </si>
  <si>
    <t>F/98</t>
  </si>
  <si>
    <t>CC26 - 400x700mm deep concrete column :[1 no]</t>
  </si>
  <si>
    <t>F/99</t>
  </si>
  <si>
    <t>CC27 - 400x700mm deep concrete column :[1 no]</t>
  </si>
  <si>
    <t>F/100</t>
  </si>
  <si>
    <t>CC28 - 450x450mm deep concrete column :[1 no]</t>
  </si>
  <si>
    <t>F/101</t>
  </si>
  <si>
    <t>CC29 - 450x450mm deep concrete column :[1 no]</t>
  </si>
  <si>
    <t>F/102</t>
  </si>
  <si>
    <t>CC3 - 400x700mm deep concrete column :[1 no]</t>
  </si>
  <si>
    <t>F/103</t>
  </si>
  <si>
    <t>CC30 - 500mm diameter concrete column :[1 no]</t>
  </si>
  <si>
    <t>F/104</t>
  </si>
  <si>
    <t>CC31 - 500mm diameter concrete column :[1 no]</t>
  </si>
  <si>
    <t>F/105</t>
  </si>
  <si>
    <t>CC32 - 500mm diameter concrete column :[1 no]</t>
  </si>
  <si>
    <t>F/106</t>
  </si>
  <si>
    <t>CC33 - 500mm diameter concrete column :[1 no]</t>
  </si>
  <si>
    <t>F/107</t>
  </si>
  <si>
    <t>CC4 - 400x700mm deep concrete column :[1 no]</t>
  </si>
  <si>
    <t>F/108</t>
  </si>
  <si>
    <t>CC5 - 400x700mm deep concrete column :[1 no]</t>
  </si>
  <si>
    <t>F/109</t>
  </si>
  <si>
    <t>CC6 - 400x700mm deep concrete column :[1 no]</t>
  </si>
  <si>
    <t>F/110</t>
  </si>
  <si>
    <t>CC7 - 300x800mm deep concrete column :[1 no]</t>
  </si>
  <si>
    <t>F/111</t>
  </si>
  <si>
    <t>CC8 - 300x800mm deep concrete column :[1 no]</t>
  </si>
  <si>
    <t>F/112</t>
  </si>
  <si>
    <t>CC9 - 400x700mm deep concrete column :[1 no]</t>
  </si>
  <si>
    <t>F/113</t>
  </si>
  <si>
    <t>CC1 - 800x400mm deep concrete column :[1 no]</t>
  </si>
  <si>
    <t>F/114</t>
  </si>
  <si>
    <t>CC10 - 400x600mm deep concrete column :[1 no]</t>
  </si>
  <si>
    <t>F/115</t>
  </si>
  <si>
    <t>CC11a - 400x600mm deep concrete column :[1 no]</t>
  </si>
  <si>
    <t>F/116</t>
  </si>
  <si>
    <t>CC12 - 400x600mm deep concrete column :[1 no]</t>
  </si>
  <si>
    <t>F/117</t>
  </si>
  <si>
    <t>CC13 - 400x600mm deep concrete column :[1 no]</t>
  </si>
  <si>
    <t>F/118</t>
  </si>
  <si>
    <t>CC15 - 800x400mm deep concrete column :[1 no]</t>
  </si>
  <si>
    <t>F/119</t>
  </si>
  <si>
    <t>CC16 - 800x400mm deep concrete column :[1 no]</t>
  </si>
  <si>
    <t>F/120</t>
  </si>
  <si>
    <t>CC17 - 400x600mm deep concrete column :[1 no]</t>
  </si>
  <si>
    <t>F/121</t>
  </si>
  <si>
    <t>CC18 - 400x600mm deep concrete column :[1 no]</t>
  </si>
  <si>
    <t>F/122</t>
  </si>
  <si>
    <t>CC19 - 400x600mm deep concrete column :[1 no]</t>
  </si>
  <si>
    <t>F/123</t>
  </si>
  <si>
    <t>CC22 - 800x400mm deep concrete column :[1 no]</t>
  </si>
  <si>
    <t>F/124</t>
  </si>
  <si>
    <t>CC23 - 800x400mm deep concrete column :[1 no]</t>
  </si>
  <si>
    <t>F/125</t>
  </si>
  <si>
    <t>F/126</t>
  </si>
  <si>
    <t>F/127</t>
  </si>
  <si>
    <t>CC26 - 800x400mm deep concrete column :[1 no]</t>
  </si>
  <si>
    <t>F/128</t>
  </si>
  <si>
    <t>CC27 - 400x600mm deep concrete column :[1 no]</t>
  </si>
  <si>
    <t>F/129</t>
  </si>
  <si>
    <t>CC29 - 400x600mm deep concrete column :[1 no]</t>
  </si>
  <si>
    <t>F/130</t>
  </si>
  <si>
    <t>CC3 - 800x400mm deep concrete column :[1 no]</t>
  </si>
  <si>
    <t>F/131</t>
  </si>
  <si>
    <t>CC4 - 800x400mm deep concrete column :[1 no]</t>
  </si>
  <si>
    <t>F/132</t>
  </si>
  <si>
    <t>CC5 - 800x400mm deep concrete column :[1 no]</t>
  </si>
  <si>
    <t>F/133</t>
  </si>
  <si>
    <t>CC6 - 800x400mm deep concrete column :[1 no]</t>
  </si>
  <si>
    <t>F/134</t>
  </si>
  <si>
    <t>CC61 - 800x400mm deep concrete column :[1 no]</t>
  </si>
  <si>
    <t>F/135</t>
  </si>
  <si>
    <t>CC66 - 400x600mm deep concrete column :[1 no]</t>
  </si>
  <si>
    <t>F/136</t>
  </si>
  <si>
    <t>CC67 - 400x600mm deep concrete column :[1 no]</t>
  </si>
  <si>
    <t>F/137</t>
  </si>
  <si>
    <t>CC68 - 400x600mm deep concrete column :[1 no]</t>
  </si>
  <si>
    <t>F/138</t>
  </si>
  <si>
    <t>CC69 - 400x600mm deep concrete column :[1 no]</t>
  </si>
  <si>
    <t>F/139</t>
  </si>
  <si>
    <t>CC73 - 400x600mm deep concrete column :[1 no]</t>
  </si>
  <si>
    <t>F/140</t>
  </si>
  <si>
    <t>CC9 - 800x400mm deep concrete column :[1 no]</t>
  </si>
  <si>
    <t>F/141</t>
  </si>
  <si>
    <t>F/142</t>
  </si>
  <si>
    <t>CC10 - 450x450mm deep concrete column :[1 no]</t>
  </si>
  <si>
    <t>F/143</t>
  </si>
  <si>
    <t>F/144</t>
  </si>
  <si>
    <t>F/145</t>
  </si>
  <si>
    <t>F/146</t>
  </si>
  <si>
    <t>F/147</t>
  </si>
  <si>
    <t>F/148</t>
  </si>
  <si>
    <t>F/149</t>
  </si>
  <si>
    <t>F/150</t>
  </si>
  <si>
    <t>F/151</t>
  </si>
  <si>
    <t>F/152</t>
  </si>
  <si>
    <t>F/153</t>
  </si>
  <si>
    <t>F/154</t>
  </si>
  <si>
    <t>F/155</t>
  </si>
  <si>
    <t>F/156</t>
  </si>
  <si>
    <t>F/157</t>
  </si>
  <si>
    <t>F/158</t>
  </si>
  <si>
    <t>F/159</t>
  </si>
  <si>
    <t>F/160</t>
  </si>
  <si>
    <t>F/161</t>
  </si>
  <si>
    <t>F/162</t>
  </si>
  <si>
    <t>F/163</t>
  </si>
  <si>
    <t>F/164</t>
  </si>
  <si>
    <t>F/165</t>
  </si>
  <si>
    <t>F/166</t>
  </si>
  <si>
    <t>F/167</t>
  </si>
  <si>
    <t>F/168</t>
  </si>
  <si>
    <t>F/169</t>
  </si>
  <si>
    <t>CC17 - 300x500mm deep concrete column :[1 no]</t>
  </si>
  <si>
    <t>F/170</t>
  </si>
  <si>
    <t>CC24 - 300x500mm deep concrete column :[1 no]</t>
  </si>
  <si>
    <t>F/171</t>
  </si>
  <si>
    <t>CC25 - 300x500mm deep concrete column :[1 no]</t>
  </si>
  <si>
    <t>F/172</t>
  </si>
  <si>
    <t>CC66 - 300x500mm deep concrete column :[1 no]</t>
  </si>
  <si>
    <t>F/173</t>
  </si>
  <si>
    <t>CC82 - 300x500mm deep concrete column :[1 no]</t>
  </si>
  <si>
    <t>F/174</t>
  </si>
  <si>
    <t>CC83 - 300x500mm deep concrete column :[1 no]</t>
  </si>
  <si>
    <t>F/175</t>
  </si>
  <si>
    <t>CC84 - 400x400mm deep concrete column :[1 no]</t>
  </si>
  <si>
    <t>F/176</t>
  </si>
  <si>
    <t>CC85 - 400x400mm deep concrete column :[1 no]</t>
  </si>
  <si>
    <t>F/177</t>
  </si>
  <si>
    <t>CC86 - 400x400mm deep concrete column :[1 no]</t>
  </si>
  <si>
    <t>F/178</t>
  </si>
  <si>
    <t>CC87 - 400x400mm deep concrete column :[1 no]</t>
  </si>
  <si>
    <t>F/179</t>
  </si>
  <si>
    <t>CC88 - 400x400mm deep concrete column :[1 no]</t>
  </si>
  <si>
    <t>F/180</t>
  </si>
  <si>
    <t>CC89 - 300x500mm deep concrete column :[1 no]</t>
  </si>
  <si>
    <t>F/181</t>
  </si>
  <si>
    <t>CC90 - 300x500mm deep concrete column :[1 no]</t>
  </si>
  <si>
    <t>F/182</t>
  </si>
  <si>
    <t>CC91 - 400x400mm deep concrete column :[1 no]</t>
  </si>
  <si>
    <t>F/183</t>
  </si>
  <si>
    <t>CC92 - 400x400mm deep concrete column :[1 no]</t>
  </si>
  <si>
    <t>F/184</t>
  </si>
  <si>
    <t>CC93 - 400x400mm deep concrete column :[1 no]</t>
  </si>
  <si>
    <t>F/185</t>
  </si>
  <si>
    <t>CC94 - 300x500mm deep concrete column :[1 no]</t>
  </si>
  <si>
    <t>F/186</t>
  </si>
  <si>
    <t>CC95 - 300x500mm deep concrete column :[1 no]</t>
  </si>
  <si>
    <t>F/187</t>
  </si>
  <si>
    <t>CC96 - 300x500mm deep concrete column :[1 no]</t>
  </si>
  <si>
    <t>Suspended Slab on Piers (32Mpa, 80mm slump, 20mm max. aggregate size)</t>
  </si>
  <si>
    <t>F/188</t>
  </si>
  <si>
    <t>160mm thick Suspended slab on piers :[649 m2]</t>
  </si>
  <si>
    <t>Suspended Slab (40MPa, 80mm slump, 20mm max. aggregate size)</t>
  </si>
  <si>
    <t>F/189</t>
  </si>
  <si>
    <t>200mm thick Suspended slab :[16 m2]</t>
  </si>
  <si>
    <t>F/190</t>
  </si>
  <si>
    <t>200mm thick Post tensioned slab :[1548 m2]</t>
  </si>
  <si>
    <t>F/191</t>
  </si>
  <si>
    <t>400mm thick Post tensioned slab :[94 m2]</t>
  </si>
  <si>
    <t>F/192</t>
  </si>
  <si>
    <t>40mm thick integral fall to 200mm thick suspended slab :[12 m2]</t>
  </si>
  <si>
    <t>F/193</t>
  </si>
  <si>
    <t>40mm thick integral fall to 400mm thick Post tensioned slab :[94 m2]</t>
  </si>
  <si>
    <t>F/194</t>
  </si>
  <si>
    <t>600mm wide slab fold :[12 m2]</t>
  </si>
  <si>
    <t>F/195</t>
  </si>
  <si>
    <t>Extra over labour for setdown</t>
  </si>
  <si>
    <t>F/196</t>
  </si>
  <si>
    <t>200mm thick Suspended slab :[4 m2]</t>
  </si>
  <si>
    <t>F/197</t>
  </si>
  <si>
    <t>200mm thick Post tensioned slab :[1497 m2]</t>
  </si>
  <si>
    <t>F/198</t>
  </si>
  <si>
    <t>250mm thick Post tensioned slab :[47 m2]</t>
  </si>
  <si>
    <t>F/199</t>
  </si>
  <si>
    <t>400mm thick Post tensioned slab :[67 m2]</t>
  </si>
  <si>
    <t>F/200</t>
  </si>
  <si>
    <t>40mm thick integral fall to 250mm thick PT slab :[47 m2]</t>
  </si>
  <si>
    <t>F/201</t>
  </si>
  <si>
    <t>40mm thick integral fall to 400mm thick PT slab :[67 m2]</t>
  </si>
  <si>
    <t>F/202</t>
  </si>
  <si>
    <t>600mm wide slab fold :[15 m2]</t>
  </si>
  <si>
    <t>F/203</t>
  </si>
  <si>
    <t>F/204</t>
  </si>
  <si>
    <t>F/205</t>
  </si>
  <si>
    <t>200mm thick Post tensioned slab :[1509 m2]</t>
  </si>
  <si>
    <t>F/206</t>
  </si>
  <si>
    <t>300mm thick Post tensioned slab :[51 m2]</t>
  </si>
  <si>
    <t>F/207</t>
  </si>
  <si>
    <t>400mm thick Post tensioned slab :[100 m2]</t>
  </si>
  <si>
    <t>F/208</t>
  </si>
  <si>
    <t>40mm thick integral fall to 300mm thick PT slab</t>
  </si>
  <si>
    <t>F/209</t>
  </si>
  <si>
    <t>600mm wide slab fold :[8 m2]</t>
  </si>
  <si>
    <t>F/210</t>
  </si>
  <si>
    <t>Roof (SJ.01)</t>
  </si>
  <si>
    <t>F/211</t>
  </si>
  <si>
    <t>200mm thick Suspended slab :[14 m2]</t>
  </si>
  <si>
    <t>F/212</t>
  </si>
  <si>
    <t>40mm thick integral fall to 200mm thick suspended slab :[14 m2]</t>
  </si>
  <si>
    <t>Attached Beams (40MPa, 80mm slump, 20mm max. aggregate size)</t>
  </si>
  <si>
    <t>F/213</t>
  </si>
  <si>
    <t>650 x 400mm deep post tensioned beam :[8 m]</t>
  </si>
  <si>
    <t>F/214</t>
  </si>
  <si>
    <t>900 x 450mm deep post tensioned beam :[74 m]</t>
  </si>
  <si>
    <t>F/215</t>
  </si>
  <si>
    <t>900 x 550mm deep post tensioned beam :[21 m]</t>
  </si>
  <si>
    <t>F/216</t>
  </si>
  <si>
    <t>900 x 850mm deep post tensioned beam :[13 m]</t>
  </si>
  <si>
    <t>F/217</t>
  </si>
  <si>
    <t>940 x 550mm deep post tensioned beam :[4 m]</t>
  </si>
  <si>
    <t>F/218</t>
  </si>
  <si>
    <t>1350 x 550mm deep post tensioned beam :[5 m]</t>
  </si>
  <si>
    <t>F/219</t>
  </si>
  <si>
    <t>1604 x 450mm deep post tensioned beam :[2 m]</t>
  </si>
  <si>
    <t>F/220</t>
  </si>
  <si>
    <t>1800 x 450mm deep post tensioned beam :[77 m]</t>
  </si>
  <si>
    <t>F/221</t>
  </si>
  <si>
    <t>1800 x 550mm deep post tensioned beam :[36 m]</t>
  </si>
  <si>
    <t>F/222</t>
  </si>
  <si>
    <t>1800 x 850mm deep post tensioned beam :[32 m]</t>
  </si>
  <si>
    <t>F/223</t>
  </si>
  <si>
    <t>2145 x 450mm deep post tensioned beam :[2 m]</t>
  </si>
  <si>
    <t>F/224</t>
  </si>
  <si>
    <t>2145 x 850mm deep post tensioned beam :[7 m]</t>
  </si>
  <si>
    <t>F/225</t>
  </si>
  <si>
    <t>2350 x 450mm deep post tensioned beam :[4 m]</t>
  </si>
  <si>
    <t>F/226</t>
  </si>
  <si>
    <t>2376 x 450mm deep post tensioned beam :[4 m]</t>
  </si>
  <si>
    <t>F/227</t>
  </si>
  <si>
    <t>2400 x 450mm deep post tensioned beam :[34 m]</t>
  </si>
  <si>
    <t>F/228</t>
  </si>
  <si>
    <t>2400 x 550mm deep post tensioned beam :[40 m]</t>
  </si>
  <si>
    <t>F/229</t>
  </si>
  <si>
    <t>900 x 450mm deep post tensioned beam :[60 m]</t>
  </si>
  <si>
    <t>F/230</t>
  </si>
  <si>
    <t>900 x 550mm deep post tensioned beam :[58 m]</t>
  </si>
  <si>
    <t>F/231</t>
  </si>
  <si>
    <t>940 x 450mm deep post tensioned beam :[4 m]</t>
  </si>
  <si>
    <t>F/232</t>
  </si>
  <si>
    <t>1090 x 450mm deep post tensioned beam :[8 m]</t>
  </si>
  <si>
    <t>F/233</t>
  </si>
  <si>
    <t>1800 x 450mm deep post tensioned beam :[122 m]</t>
  </si>
  <si>
    <t>F/234</t>
  </si>
  <si>
    <t>1800 x 550mm deep post tensioned beam :[38 m]</t>
  </si>
  <si>
    <t>F/235</t>
  </si>
  <si>
    <t>1810 x 450mm deep post tensioned beam :[9 m]</t>
  </si>
  <si>
    <t>F/236</t>
  </si>
  <si>
    <t>2145 x 450mm deep post tensioned beam :[21 m]</t>
  </si>
  <si>
    <t>F/237</t>
  </si>
  <si>
    <t>2350 x 450mm deep post tensioned beam :[5 m]</t>
  </si>
  <si>
    <t>F/238</t>
  </si>
  <si>
    <t>F/239</t>
  </si>
  <si>
    <t>900 x 450mm deep post tensioned beam :[99 m]</t>
  </si>
  <si>
    <t>F/240</t>
  </si>
  <si>
    <t>900 x 550mm deep post tensioned beam :[23 m]</t>
  </si>
  <si>
    <t>F/241</t>
  </si>
  <si>
    <t>F/242</t>
  </si>
  <si>
    <t>1128 x 550mm deep post tensioned beam :[2 m]</t>
  </si>
  <si>
    <t>F/243</t>
  </si>
  <si>
    <t>1800 x 450mm deep post tensioned beam :[83 m]</t>
  </si>
  <si>
    <t>F/244</t>
  </si>
  <si>
    <t>1800 x 550mm deep post tensioned beam :[147 m]</t>
  </si>
  <si>
    <t>F/245</t>
  </si>
  <si>
    <t>1800 x 600mm deep post tensioned beam :[25 m]</t>
  </si>
  <si>
    <t>F/246</t>
  </si>
  <si>
    <t>2000 x 450mm deep post tensioned beam :[8 m]</t>
  </si>
  <si>
    <t>F/247</t>
  </si>
  <si>
    <t>2145 x 450mm deep post tensioned beam :[3 m]</t>
  </si>
  <si>
    <t>F/248</t>
  </si>
  <si>
    <t>2350 x 450mm deep post tensioned beam :[1 m]</t>
  </si>
  <si>
    <t>F/249</t>
  </si>
  <si>
    <t>Concrete Stair (40MPa, 80mm slump, 20mm max. aggregate size)</t>
  </si>
  <si>
    <t>F/250</t>
  </si>
  <si>
    <t>Stair 2 - 1700mm to 1900mm width concrete stair with 280mm treads, 200mm throat thickness, 180mm to 183.35mm riser height with 7 flights and 4 midlandings</t>
  </si>
  <si>
    <t>F/251</t>
  </si>
  <si>
    <t>Stair 3 - 2820mm width concrete stair with 280mm treads, 250mm throat thickness, 161.80mm to 163.65mm riser height with 9 flights and 5 midlandings</t>
  </si>
  <si>
    <t>F/252</t>
  </si>
  <si>
    <t>Stair 4 - 1020mm width concrete stair with 250mm treads, 245mm throat thickness, 166.7mm to 180mm riser height with 8 flights and 8 midlandings</t>
  </si>
  <si>
    <t>Concrete curing of slab in accordance with engineers requirements</t>
  </si>
  <si>
    <t>F/253</t>
  </si>
  <si>
    <t>Slab on ground</t>
  </si>
  <si>
    <t>F/254</t>
  </si>
  <si>
    <t>Suspended slab</t>
  </si>
  <si>
    <t>F/255</t>
  </si>
  <si>
    <t>Stair treads and Landing</t>
  </si>
  <si>
    <t>Integral surface finishes as required</t>
  </si>
  <si>
    <t>F/256</t>
  </si>
  <si>
    <t>Machine Float Finish (NB: Assumed to general slab)</t>
  </si>
  <si>
    <t>F/257</t>
  </si>
  <si>
    <t>Broom Finish (NB: Assumed to external slab)</t>
  </si>
  <si>
    <t>F/258</t>
  </si>
  <si>
    <t>Wood Float Finish (NB: Assumed to tiled areas)</t>
  </si>
  <si>
    <t>Wood Float Finish to Stair thread and landings</t>
  </si>
  <si>
    <t>F/259</t>
  </si>
  <si>
    <t>Stair Treads</t>
  </si>
  <si>
    <t>F/260</t>
  </si>
  <si>
    <t>Stair Landings</t>
  </si>
  <si>
    <t>Honed Concrete Finish to western stair thread and landings</t>
  </si>
  <si>
    <t>F/261</t>
  </si>
  <si>
    <t>F/262</t>
  </si>
  <si>
    <t>Miscellaneous Items</t>
  </si>
  <si>
    <t>F/263</t>
  </si>
  <si>
    <t>Vertical layer of highly permeable crushed rock granular material minimum width 300mm - typical</t>
  </si>
  <si>
    <t>F/264</t>
  </si>
  <si>
    <t>SikaSwell-A 2010M swelling waterstop</t>
  </si>
  <si>
    <t>F/265</t>
  </si>
  <si>
    <t>100mm diameter PVC subsoil drainage pipe with filter fabric sock</t>
  </si>
  <si>
    <t>F/266</t>
  </si>
  <si>
    <t>Graded blue metal aggregate filter</t>
  </si>
  <si>
    <t>Joints and Associated Items</t>
  </si>
  <si>
    <t>F/267</t>
  </si>
  <si>
    <t>20mm compressible joint filler with 'Parchem Flamex PU' fire sealant and backing rod. Expansion joint, EJ</t>
  </si>
  <si>
    <t>F/268</t>
  </si>
  <si>
    <t>"Ancon DSDQ50" shear load connectors</t>
  </si>
  <si>
    <t>F/269</t>
  </si>
  <si>
    <t>Parchem Nitobond EP bonding agent, construction joint, CJ</t>
  </si>
  <si>
    <t>Blinding Layer and Concrete Underlay</t>
  </si>
  <si>
    <t>F/270</t>
  </si>
  <si>
    <t>50mm thick sand blinding under slab on ground</t>
  </si>
  <si>
    <t>F/271</t>
  </si>
  <si>
    <t>TERM-01 - Kordon TMB termite and moisture under slab of ground and sides of footings</t>
  </si>
  <si>
    <t>Foundation (SB.02)</t>
  </si>
  <si>
    <t>F/272</t>
  </si>
  <si>
    <t>PC1 - 3600 x 1200 x 1200mm deep pile cap :[10 no]</t>
  </si>
  <si>
    <t>F/273</t>
  </si>
  <si>
    <t>PC2 - 3600 x 1200 x 1400mm deep pile cap :[4 no]</t>
  </si>
  <si>
    <t>F/274</t>
  </si>
  <si>
    <t>FB-A 600 x 600mm Foundation beam :[107 m]</t>
  </si>
  <si>
    <t>F/275</t>
  </si>
  <si>
    <t>FB-B 900 x 600mm Foundation beam :[7 m]</t>
  </si>
  <si>
    <t>F/276</t>
  </si>
  <si>
    <t>FB-C 1200 x 600mm Foundation beam :[20 m]</t>
  </si>
  <si>
    <t>F/277</t>
  </si>
  <si>
    <t>FB-D 450 x 600mm Foundation beam :[27 m]</t>
  </si>
  <si>
    <t>F/278</t>
  </si>
  <si>
    <t>600mm thick Lift pit base slab :[15 m2]</t>
  </si>
  <si>
    <t>F/279</t>
  </si>
  <si>
    <t>40mm thick integral fall to 600mm thick Base Slab :[15 m2]</t>
  </si>
  <si>
    <t>F/280</t>
  </si>
  <si>
    <t>F/281</t>
  </si>
  <si>
    <t>W4 - 250mm thick external wall :[12 m2]</t>
  </si>
  <si>
    <t>F/282</t>
  </si>
  <si>
    <t>Level 1 (SC.02)</t>
  </si>
  <si>
    <t>F/283</t>
  </si>
  <si>
    <t>W4 - 250mm thick external wall :[116 m2]</t>
  </si>
  <si>
    <t>F/284</t>
  </si>
  <si>
    <t>Level 2 (SG.02)</t>
  </si>
  <si>
    <t>F/285</t>
  </si>
  <si>
    <t>250mm thick external wall :[9 m2]</t>
  </si>
  <si>
    <t>F/286</t>
  </si>
  <si>
    <t>Level 4 (SI.02)</t>
  </si>
  <si>
    <t>F/287</t>
  </si>
  <si>
    <t>W5 - 300mm thick external wall :[27 m2]</t>
  </si>
  <si>
    <t>F/288</t>
  </si>
  <si>
    <t>F/289</t>
  </si>
  <si>
    <t>W2 - 200mm thick lift pit wall :[14 m2]</t>
  </si>
  <si>
    <t>F/290</t>
  </si>
  <si>
    <t>F/291</t>
  </si>
  <si>
    <t>W2 - 200mm thick core wall :[53 m2]</t>
  </si>
  <si>
    <t>F/292</t>
  </si>
  <si>
    <t>W5 - 300mm thick core wall :[26 m2]</t>
  </si>
  <si>
    <t>F/293</t>
  </si>
  <si>
    <t>W2 - 200mm thick internal wall :[132 m2]</t>
  </si>
  <si>
    <t>F/294</t>
  </si>
  <si>
    <t>W6 - 300mm thick internal wall :[27 m2]</t>
  </si>
  <si>
    <t>F/295</t>
  </si>
  <si>
    <t>F/296</t>
  </si>
  <si>
    <t>W2 - 200mm thick core wall :[41 m2]</t>
  </si>
  <si>
    <t>F/297</t>
  </si>
  <si>
    <t>W6 - 300mm thick internal wall :[19 m2]</t>
  </si>
  <si>
    <t>F/298</t>
  </si>
  <si>
    <t>Level 3 (SH.02)</t>
  </si>
  <si>
    <t>F/299</t>
  </si>
  <si>
    <t>W2 - 200mm thick core wall :[39 m2]</t>
  </si>
  <si>
    <t>F/300</t>
  </si>
  <si>
    <t>W6 - 300mm thick internal wall :[25 m2]</t>
  </si>
  <si>
    <t>F/301</t>
  </si>
  <si>
    <t>F/302</t>
  </si>
  <si>
    <t>W2 - 200mm thick core wall :[42 m2]</t>
  </si>
  <si>
    <t>F/303</t>
  </si>
  <si>
    <t>F/304</t>
  </si>
  <si>
    <t>W8 - 150mm thick external parapet wall :[65 m2]</t>
  </si>
  <si>
    <t>F/305</t>
  </si>
  <si>
    <t>CC34 - 400x700mm deep concrete column :[1 no]</t>
  </si>
  <si>
    <t>F/306</t>
  </si>
  <si>
    <t>CC35 - 400x700mm deep concrete column :[1 no]</t>
  </si>
  <si>
    <t>F/307</t>
  </si>
  <si>
    <t>CC36 - 400x700mm deep concrete column :[1 no]</t>
  </si>
  <si>
    <t>F/308</t>
  </si>
  <si>
    <t>CC37 - 400x600mm deep concrete column :[1 no]</t>
  </si>
  <si>
    <t>F/309</t>
  </si>
  <si>
    <t>CC38 - 400x600mm deep concrete column :[1 no]</t>
  </si>
  <si>
    <t>F/310</t>
  </si>
  <si>
    <t>CC39 - 400x600mm deep concrete column :[1 no]</t>
  </si>
  <si>
    <t>F/311</t>
  </si>
  <si>
    <t>CC40 - 400x600mm deep concrete column :[1 no]</t>
  </si>
  <si>
    <t>F/312</t>
  </si>
  <si>
    <t>CC41 - 450x450mm deep concrete column :[1 no]</t>
  </si>
  <si>
    <t>F/313</t>
  </si>
  <si>
    <t>CC42 - 400x600mm deep concrete column :[1 no]</t>
  </si>
  <si>
    <t>F/314</t>
  </si>
  <si>
    <t>CC43 - 400x600mm deep concrete column :[1 no]</t>
  </si>
  <si>
    <t>F/315</t>
  </si>
  <si>
    <t>CC44 - 500mm diameter concrete column :[1 no]</t>
  </si>
  <si>
    <t>F/316</t>
  </si>
  <si>
    <t>CC45 - 400x600mm deep concrete column :[1 no]</t>
  </si>
  <si>
    <t>F/317</t>
  </si>
  <si>
    <t>CC46 - 450x450mm deep concrete column :[1 no]</t>
  </si>
  <si>
    <t>F/318</t>
  </si>
  <si>
    <t>CC47 - 400x600mm deep concrete column :[1 no]</t>
  </si>
  <si>
    <t>F/319</t>
  </si>
  <si>
    <t>CC48 - 450x450mm deep concrete column :[1 no]</t>
  </si>
  <si>
    <t>F/320</t>
  </si>
  <si>
    <t>CC49 - 400x600mm deep concrete column :[1 no]</t>
  </si>
  <si>
    <t>F/321</t>
  </si>
  <si>
    <t>CC50 - 400x600mm deep concrete column :[1 no]</t>
  </si>
  <si>
    <t>F/322</t>
  </si>
  <si>
    <t>CC51 - 400x600mm deep concrete column :[1 no]</t>
  </si>
  <si>
    <t>F/323</t>
  </si>
  <si>
    <t>CC52 - 450x450mm deep concrete column :[1 no]</t>
  </si>
  <si>
    <t>F/324</t>
  </si>
  <si>
    <t>CC53 - 450x450mm deep concrete column :[1 no]</t>
  </si>
  <si>
    <t>F/325</t>
  </si>
  <si>
    <t>CC54 - 450x450mm deep concrete column :[1 no]</t>
  </si>
  <si>
    <t>F/326</t>
  </si>
  <si>
    <t>CC55 - 400x600mm deep concrete column :[1 no]</t>
  </si>
  <si>
    <t>F/327</t>
  </si>
  <si>
    <t>CC56 - 400x600mm deep concrete column :[1 no]</t>
  </si>
  <si>
    <t>F/328</t>
  </si>
  <si>
    <t>CC57 - 400x600mm deep concrete column :[1 no]</t>
  </si>
  <si>
    <t>F/329</t>
  </si>
  <si>
    <t>CC58 - 400x1600mm deep concrete column :[1 no]</t>
  </si>
  <si>
    <t>F/330</t>
  </si>
  <si>
    <t>CC59 - 400x400mm deep concrete column :[1 no]</t>
  </si>
  <si>
    <t>F/331</t>
  </si>
  <si>
    <t>CC76 - 400x700mm deep concrete column :[1 no]</t>
  </si>
  <si>
    <t>F/332</t>
  </si>
  <si>
    <t>CC34 - 400x600mm deep concrete column :[1 no]</t>
  </si>
  <si>
    <t>F/333</t>
  </si>
  <si>
    <t>CC35 - 800x400mm deep concrete column :[1 no]</t>
  </si>
  <si>
    <t>F/334</t>
  </si>
  <si>
    <t>CC36 - 800x400mm deep concrete column :[1 no]</t>
  </si>
  <si>
    <t>F/335</t>
  </si>
  <si>
    <t>F/336</t>
  </si>
  <si>
    <t>F/337</t>
  </si>
  <si>
    <t>CC44 - 400x600mm deep concrete column :[1 no]</t>
  </si>
  <si>
    <t>F/338</t>
  </si>
  <si>
    <t>F/339</t>
  </si>
  <si>
    <t>CC48 - 400x600mm deep concrete column :[1 no]</t>
  </si>
  <si>
    <t>F/340</t>
  </si>
  <si>
    <t>F/341</t>
  </si>
  <si>
    <t>F/342</t>
  </si>
  <si>
    <t>CC52 - 400x600mm deep concrete column :[1 no]</t>
  </si>
  <si>
    <t>F/343</t>
  </si>
  <si>
    <t>CC54 - 400x600mm deep concrete column :[1 no]</t>
  </si>
  <si>
    <t>F/344</t>
  </si>
  <si>
    <t>F/345</t>
  </si>
  <si>
    <t>F/346</t>
  </si>
  <si>
    <t>F/347</t>
  </si>
  <si>
    <t>F/348</t>
  </si>
  <si>
    <t>CC76 - 800x400mm deep concrete column :[1 no]</t>
  </si>
  <si>
    <t>F/349</t>
  </si>
  <si>
    <t>CC77 - 800x400mm deep concrete column :[1 no]</t>
  </si>
  <si>
    <t>F/350</t>
  </si>
  <si>
    <t>CC78 - 400x600mm deep concrete column :[1 no]</t>
  </si>
  <si>
    <t>F/351</t>
  </si>
  <si>
    <t>CC79 - 800x400mm deep concrete column :[1 no]</t>
  </si>
  <si>
    <t>F/352</t>
  </si>
  <si>
    <t>CC80 - 500mm diameter concrete column :[1 no]</t>
  </si>
  <si>
    <t>F/353</t>
  </si>
  <si>
    <t>F/354</t>
  </si>
  <si>
    <t>F/355</t>
  </si>
  <si>
    <t>F/356</t>
  </si>
  <si>
    <t>F/357</t>
  </si>
  <si>
    <t>F/358</t>
  </si>
  <si>
    <t>F/359</t>
  </si>
  <si>
    <t>F/360</t>
  </si>
  <si>
    <t>F/361</t>
  </si>
  <si>
    <t>F/362</t>
  </si>
  <si>
    <t>F/363</t>
  </si>
  <si>
    <t>F/364</t>
  </si>
  <si>
    <t>F/365</t>
  </si>
  <si>
    <t>F/366</t>
  </si>
  <si>
    <t>F/367</t>
  </si>
  <si>
    <t>F/368</t>
  </si>
  <si>
    <t>F/369</t>
  </si>
  <si>
    <t>F/370</t>
  </si>
  <si>
    <t>F/371</t>
  </si>
  <si>
    <t>F/372</t>
  </si>
  <si>
    <t>CC81 - 400x600mm deep concrete column :[1 no]</t>
  </si>
  <si>
    <t>Columns (32MPa, 80mm slump, 20mm max. aggregate size)</t>
  </si>
  <si>
    <t>F/373</t>
  </si>
  <si>
    <t>CC100 - 300x500mm deep concrete column :[1 no]</t>
  </si>
  <si>
    <t>F/374</t>
  </si>
  <si>
    <t>CC97 - 300x500mm deep concrete column :[1 no]</t>
  </si>
  <si>
    <t>F/375</t>
  </si>
  <si>
    <t>CC98 - 300x500mm deep concrete column :[1 no]</t>
  </si>
  <si>
    <t>F/376</t>
  </si>
  <si>
    <t>CC99 - 300x500mm deep concrete column :[1 no]</t>
  </si>
  <si>
    <t>F/377</t>
  </si>
  <si>
    <t>160mm thick Suspended slab on piers :[869 m2]</t>
  </si>
  <si>
    <t>Suspended Ramp Slab (40MPa, 80mm slump, 20mm max. aggregate size)</t>
  </si>
  <si>
    <t>F/378</t>
  </si>
  <si>
    <t>200mm thick Ramp Slab :[38 m2]</t>
  </si>
  <si>
    <t>F/379</t>
  </si>
  <si>
    <t>200mm thick Suspended slab :[66 m2]</t>
  </si>
  <si>
    <t>F/380</t>
  </si>
  <si>
    <t>300mm thick Suspended slab :[103 m2]</t>
  </si>
  <si>
    <t>F/381</t>
  </si>
  <si>
    <t>200mm thick Post tensioned slab :[187 m2]</t>
  </si>
  <si>
    <t>F/382</t>
  </si>
  <si>
    <t>250mm thick Post tensioned slab :[16 m2]</t>
  </si>
  <si>
    <t>F/383</t>
  </si>
  <si>
    <t>300mm thick Post tensioned slab :[487 m2]</t>
  </si>
  <si>
    <t>F/384</t>
  </si>
  <si>
    <t>350mm thick Post tensioned slab :[43 m2]</t>
  </si>
  <si>
    <t>F/385</t>
  </si>
  <si>
    <t>40mm thick integral fall to 300mm thick suspended slab :[103 m2]</t>
  </si>
  <si>
    <t>F/386</t>
  </si>
  <si>
    <t>40mm thick integral fall to 200mm thick suspended slab :[105 m2]</t>
  </si>
  <si>
    <t>F/387</t>
  </si>
  <si>
    <t>40mm thick integral fall to 250mm thick Post tensioned slab :[16 m2]</t>
  </si>
  <si>
    <t>F/388</t>
  </si>
  <si>
    <t>40mm thick integral fall to 350mm thick Post tensioned slab :[43 m2]</t>
  </si>
  <si>
    <t>F/389</t>
  </si>
  <si>
    <t>250mm wide slab fold :[6 m2]</t>
  </si>
  <si>
    <t>F/390</t>
  </si>
  <si>
    <t>600mm wide slab fold :[2 m2]</t>
  </si>
  <si>
    <t>F/391</t>
  </si>
  <si>
    <t>100mm thick slab topping :[160 m2]</t>
  </si>
  <si>
    <t>F/392</t>
  </si>
  <si>
    <t>F/393</t>
  </si>
  <si>
    <t>200mm thick Suspended slab :[3 m2]</t>
  </si>
  <si>
    <t>F/394</t>
  </si>
  <si>
    <t>200mm thick Post tensioned slab :[724 m2]</t>
  </si>
  <si>
    <t>F/395</t>
  </si>
  <si>
    <t>250mm thick Post tensioned slab :[17 m2]</t>
  </si>
  <si>
    <t>F/396</t>
  </si>
  <si>
    <t>40mm thick integral fall to 250mm thick PT slab :[17 m2]</t>
  </si>
  <si>
    <t>F/397</t>
  </si>
  <si>
    <t>F/398</t>
  </si>
  <si>
    <t>F/399</t>
  </si>
  <si>
    <t>F/400</t>
  </si>
  <si>
    <t>200mm thick Post tensioned slab :[747 m2]</t>
  </si>
  <si>
    <t>F/401</t>
  </si>
  <si>
    <t>250mm thick Post tensioned slab :[20 m2]</t>
  </si>
  <si>
    <t>F/402</t>
  </si>
  <si>
    <t>600mm wide slab fold :[5 m2]</t>
  </si>
  <si>
    <t>F/403</t>
  </si>
  <si>
    <t>Roof (SJ.02)</t>
  </si>
  <si>
    <t>F/404</t>
  </si>
  <si>
    <t>200mm thick Suspended slab :[52 m2]</t>
  </si>
  <si>
    <t>F/405</t>
  </si>
  <si>
    <t>40mm thick integral fall to 200mm thick suspended slab :[52 m2]</t>
  </si>
  <si>
    <t>F/406</t>
  </si>
  <si>
    <t>L2-B3: 400 x 1500mm deep attached RC Beam :[7 m]</t>
  </si>
  <si>
    <t>F/407</t>
  </si>
  <si>
    <t>L2-B5: 300 x 1500mm deep attached RC Beam :[7 m]</t>
  </si>
  <si>
    <t>F/408</t>
  </si>
  <si>
    <t>L2-B6: 400 x 1650mm deep attached RC Beam :[8 m]</t>
  </si>
  <si>
    <t>F/409</t>
  </si>
  <si>
    <t>L2-B7: 400 x 1500mm deep attached RC Beam :[2 m]</t>
  </si>
  <si>
    <t>F/410</t>
  </si>
  <si>
    <t>L2-B8: 400 x 592mm deep attached RC Beam :[4 m]</t>
  </si>
  <si>
    <t>F/411</t>
  </si>
  <si>
    <t>L2-B9: 400 x 1052mm deep attached RC Beam :[4 m]</t>
  </si>
  <si>
    <t>F/412</t>
  </si>
  <si>
    <t>L2-B10: 300 x 495mm deep attached RC Beam :[2 m]</t>
  </si>
  <si>
    <t>F/413</t>
  </si>
  <si>
    <t>L2-B1: 400 x 1052mm deep attached RC Beam (NB: Assumed beam size no details provided) :[9 m]</t>
  </si>
  <si>
    <t>F/414</t>
  </si>
  <si>
    <t>L2-B2: 400 x 592mm deep attached RC Beam (NB: Assumed beam size no details provided) :[8 m]</t>
  </si>
  <si>
    <t>F/415</t>
  </si>
  <si>
    <t>L2-B4: 400 x 592mm deep attached RC Beam (NB: Assumed beam size no details provided) :[9 m]</t>
  </si>
  <si>
    <t>F/416</t>
  </si>
  <si>
    <t>900 x 450mm deep post tensioned beam :[29 m]</t>
  </si>
  <si>
    <t>F/417</t>
  </si>
  <si>
    <t>1140 x 550mm deep post tensioned beam :[5 m]</t>
  </si>
  <si>
    <t>F/418</t>
  </si>
  <si>
    <t>1800 x 450mm deep post tensioned beam :[14 m]</t>
  </si>
  <si>
    <t>F/419</t>
  </si>
  <si>
    <t>1800 x 550mm deep post tensioned beam :[8 m]</t>
  </si>
  <si>
    <t>F/420</t>
  </si>
  <si>
    <t>2000 x 550mm deep post tensioned beam :[13 m]</t>
  </si>
  <si>
    <t>F/421</t>
  </si>
  <si>
    <t>2400 x 450mm deep post tensioned beam :[28 m]</t>
  </si>
  <si>
    <t>F/422</t>
  </si>
  <si>
    <t>3000 x 625mm deep post tensioned beam :[9 m]</t>
  </si>
  <si>
    <t>F/423</t>
  </si>
  <si>
    <t>900 x 450mm deep post tensioned beam :[70 m]</t>
  </si>
  <si>
    <t>F/424</t>
  </si>
  <si>
    <t>1140 x 450mm deep post tensioned beam :[5 m]</t>
  </si>
  <si>
    <t>F/425</t>
  </si>
  <si>
    <t>1800 x 450mm deep post tensioned beam :[62 m]</t>
  </si>
  <si>
    <t>F/426</t>
  </si>
  <si>
    <t>2000 x 450mm deep post tensioned beam :[4 m]</t>
  </si>
  <si>
    <t>F/427</t>
  </si>
  <si>
    <t>2240 x 450mm deep post tensioned beam :[4 m]</t>
  </si>
  <si>
    <t>F/428</t>
  </si>
  <si>
    <t>2600 x 450mm deep post tensioned beam :[24 m]</t>
  </si>
  <si>
    <t>F/429</t>
  </si>
  <si>
    <t>900 x 450mm deep post tensioned beam :[89 m]</t>
  </si>
  <si>
    <t>F/430</t>
  </si>
  <si>
    <t>F/431</t>
  </si>
  <si>
    <t>1350 x 450mm deep post tensioned beam :[2 m]</t>
  </si>
  <si>
    <t>F/432</t>
  </si>
  <si>
    <t>1800 x 450mm deep post tensioned beam :[78 m]</t>
  </si>
  <si>
    <t>F/433</t>
  </si>
  <si>
    <t>F/434</t>
  </si>
  <si>
    <t>2600 x 450mm deep post tensioned beam :[25 m]</t>
  </si>
  <si>
    <t>F/435</t>
  </si>
  <si>
    <t>Stair 1 - 2000mm width concrete stair with 280mm treads, 200-350mm throat thickness, 172.25mm riser height with 5 flights and 3 midlandings</t>
  </si>
  <si>
    <t>F/436</t>
  </si>
  <si>
    <t>Stair 5 - 2670mm width concrete stair with 300mm treads, 250mm throat thickness, 150mm riser height with 1 flights</t>
  </si>
  <si>
    <t>F/437</t>
  </si>
  <si>
    <t>Stair 6 - 2670mm width concrete stair with 300mm treads, 250mm throat thickness, 150mm riser height with 1 flights</t>
  </si>
  <si>
    <t>F/438</t>
  </si>
  <si>
    <t>Stair 7 - 6770mm width concrete stair with 300mm treads, 240mm throat thickness, 161mm riser height with 2 flights and 1 midlandings</t>
  </si>
  <si>
    <t>F/439</t>
  </si>
  <si>
    <t>F/440</t>
  </si>
  <si>
    <t>F/441</t>
  </si>
  <si>
    <t>F/442</t>
  </si>
  <si>
    <t>F/443</t>
  </si>
  <si>
    <t>F/444</t>
  </si>
  <si>
    <t>F/445</t>
  </si>
  <si>
    <t>F/446</t>
  </si>
  <si>
    <t>F/447</t>
  </si>
  <si>
    <t>Course sand compacted in 300mm layers to surface level</t>
  </si>
  <si>
    <t>F/448</t>
  </si>
  <si>
    <t>F/449</t>
  </si>
  <si>
    <t>F/450</t>
  </si>
  <si>
    <t>F/451</t>
  </si>
  <si>
    <t>F/452</t>
  </si>
  <si>
    <t>F/453</t>
  </si>
  <si>
    <t>F/454</t>
  </si>
  <si>
    <t>TERM-01 - Kordon TMB termite and moisture barrier under slab on ground and sides of footing</t>
  </si>
  <si>
    <t>TOTAL IN-SITU CONCRETE</t>
  </si>
  <si>
    <t>G</t>
  </si>
  <si>
    <t>FORMWORK</t>
  </si>
  <si>
    <t>G/1</t>
  </si>
  <si>
    <t>G/2</t>
  </si>
  <si>
    <t>G/3</t>
  </si>
  <si>
    <t>G/4</t>
  </si>
  <si>
    <t>G/5</t>
  </si>
  <si>
    <t>All necessary boarding, supports, erecting, framing, temporary cambering, wedging, bolts, ties, etc</t>
  </si>
  <si>
    <t>G/6</t>
  </si>
  <si>
    <t>All cutting and angles</t>
  </si>
  <si>
    <t>G/7</t>
  </si>
  <si>
    <t>Perforations for reinforcing bars and pipes</t>
  </si>
  <si>
    <t>G/8</t>
  </si>
  <si>
    <t>Cleaning, wetting and treatment with separating agent before placing concrete</t>
  </si>
  <si>
    <t>G/9</t>
  </si>
  <si>
    <t>Provision of inspection openings</t>
  </si>
  <si>
    <t>G/10</t>
  </si>
  <si>
    <t>Removal of formwork</t>
  </si>
  <si>
    <t>G/11</t>
  </si>
  <si>
    <t>Forming chamferred edges / corners, splayed internal angles, bevels, pencil-round edges, drip grooves and the like in beams, columns, walls, openings, slab edges, kerbs and the like</t>
  </si>
  <si>
    <t>G/12</t>
  </si>
  <si>
    <t>Filling tie bolt holes</t>
  </si>
  <si>
    <t>G/13</t>
  </si>
  <si>
    <t>Strutting left after removal of formwork</t>
  </si>
  <si>
    <t>G/14</t>
  </si>
  <si>
    <t>G/15</t>
  </si>
  <si>
    <t>G/16</t>
  </si>
  <si>
    <t>G/17</t>
  </si>
  <si>
    <t>G/18</t>
  </si>
  <si>
    <t>Allow for catch scaffolds where propping height exceeds 5m if required (or other OH&amp;S requirements as necessary)</t>
  </si>
  <si>
    <t>G/19</t>
  </si>
  <si>
    <t>Allow for working platforms around suspended slabs if required (not included in measured areas)</t>
  </si>
  <si>
    <t>G/20</t>
  </si>
  <si>
    <t>Formwork to footing measured, however contractor to determine whether required against ground works conditions</t>
  </si>
  <si>
    <t>G/21</t>
  </si>
  <si>
    <t>Formwork less than or equal to 250mm high measured as length whereas formwork greater than 250mm high measured as area</t>
  </si>
  <si>
    <t>G/22</t>
  </si>
  <si>
    <t>Assumed Class 2 formwork to exposed surfaces and Class 5 formwork to rendered or permanently concealed surfaces</t>
  </si>
  <si>
    <t>Formwork - Class 2</t>
  </si>
  <si>
    <t>Concrete Walls</t>
  </si>
  <si>
    <t>G/23</t>
  </si>
  <si>
    <t>G/24</t>
  </si>
  <si>
    <t>Formwork to W3 - 300mm thick external wall</t>
  </si>
  <si>
    <t>G/25</t>
  </si>
  <si>
    <t>G/26</t>
  </si>
  <si>
    <t>Formwork to W8 - 150mm thick external parapet wall</t>
  </si>
  <si>
    <t>G/27</t>
  </si>
  <si>
    <t>G/28</t>
  </si>
  <si>
    <t>Formwork to W9 - 200mm thick external wall</t>
  </si>
  <si>
    <t>G/29</t>
  </si>
  <si>
    <t>G/30</t>
  </si>
  <si>
    <t>G/31</t>
  </si>
  <si>
    <t>G/32</t>
  </si>
  <si>
    <t>G/33</t>
  </si>
  <si>
    <t>G/34</t>
  </si>
  <si>
    <t>Formwork to W1 - 200mm thick core wall</t>
  </si>
  <si>
    <t>G/35</t>
  </si>
  <si>
    <t>Formwork to W2 - 200mm thick core wall</t>
  </si>
  <si>
    <t>G/36</t>
  </si>
  <si>
    <t>Formwork to W3 - 300mm thick core wall</t>
  </si>
  <si>
    <t>G/37</t>
  </si>
  <si>
    <t>Formwork to W5 - 300mm thick core wall</t>
  </si>
  <si>
    <t>G/38</t>
  </si>
  <si>
    <t>Formwork to W9 - 200mm thick core wall</t>
  </si>
  <si>
    <t>G/39</t>
  </si>
  <si>
    <t>Formwork to W2 - 200mm thick internal wall</t>
  </si>
  <si>
    <t>G/40</t>
  </si>
  <si>
    <t>Formwork to W9 - 200mm thick internal wall</t>
  </si>
  <si>
    <t>G/41</t>
  </si>
  <si>
    <t>G/42</t>
  </si>
  <si>
    <t>G/43</t>
  </si>
  <si>
    <t>G/44</t>
  </si>
  <si>
    <t>G/45</t>
  </si>
  <si>
    <t>G/46</t>
  </si>
  <si>
    <t>G/47</t>
  </si>
  <si>
    <t>G/48</t>
  </si>
  <si>
    <t>G/49</t>
  </si>
  <si>
    <t>G/50</t>
  </si>
  <si>
    <t>G/51</t>
  </si>
  <si>
    <t>G/52</t>
  </si>
  <si>
    <t>G/53</t>
  </si>
  <si>
    <t>G/54</t>
  </si>
  <si>
    <t>G/55</t>
  </si>
  <si>
    <t>Formwork to W7 - 200mm thick internal wall</t>
  </si>
  <si>
    <t>G/56</t>
  </si>
  <si>
    <t>Extra over curved formwork to internal walls</t>
  </si>
  <si>
    <t>Columns</t>
  </si>
  <si>
    <t>G/57</t>
  </si>
  <si>
    <t>Formwork to CC1 - 400x700mm deep concrete column</t>
  </si>
  <si>
    <t>G/58</t>
  </si>
  <si>
    <t>Formwork to CC10 - 500x500mm deep concrete column</t>
  </si>
  <si>
    <t>G/59</t>
  </si>
  <si>
    <t>Formwork to CC11 - 400x600mm deep concrete column</t>
  </si>
  <si>
    <t>G/60</t>
  </si>
  <si>
    <t>Formwork to CC12 - 400x700mm deep concrete column</t>
  </si>
  <si>
    <t>G/61</t>
  </si>
  <si>
    <t>Formwork to CC13 - 400x700mm deep concrete column</t>
  </si>
  <si>
    <t>G/62</t>
  </si>
  <si>
    <t>Formwork to CC14 - 450x450mm deep concrete column</t>
  </si>
  <si>
    <t>G/63</t>
  </si>
  <si>
    <t>Formwork to CC15 - 400x700mm deep concrete column</t>
  </si>
  <si>
    <t>G/64</t>
  </si>
  <si>
    <t>Formwork to CC16 - 500x500mm deep concrete column</t>
  </si>
  <si>
    <t>G/65</t>
  </si>
  <si>
    <t>Formwork to CC17 - 400x700mm deep concrete column</t>
  </si>
  <si>
    <t>G/66</t>
  </si>
  <si>
    <t>Formwork to CC18 - 400x700mm deep concrete column</t>
  </si>
  <si>
    <t>G/67</t>
  </si>
  <si>
    <t>Formwork to CC19 - 400x700mm deep concrete column</t>
  </si>
  <si>
    <t>G/68</t>
  </si>
  <si>
    <t>Formwork to CC2 - 400x700mm deep concrete column</t>
  </si>
  <si>
    <t>G/69</t>
  </si>
  <si>
    <t>Formwork to CC20 - 450x450mm deep concrete column</t>
  </si>
  <si>
    <t>G/70</t>
  </si>
  <si>
    <t>Formwork to CC21 - 450x450mm deep concrete column</t>
  </si>
  <si>
    <t>G/71</t>
  </si>
  <si>
    <t>Formwork to CC22 - 400x700mm deep concrete column</t>
  </si>
  <si>
    <t>G/72</t>
  </si>
  <si>
    <t>Formwork to CC23 - 400x700mm deep concrete column</t>
  </si>
  <si>
    <t>G/73</t>
  </si>
  <si>
    <t>Formwork to CC24 - 400x600mm deep concrete column</t>
  </si>
  <si>
    <t>G/74</t>
  </si>
  <si>
    <t>Formwork to CC25 - 400x600mm deep concrete column</t>
  </si>
  <si>
    <t>G/75</t>
  </si>
  <si>
    <t>Formwork to CC26 - 400x700mm deep concrete column</t>
  </si>
  <si>
    <t>G/76</t>
  </si>
  <si>
    <t>Formwork to CC27 - 400x700mm deep concrete column</t>
  </si>
  <si>
    <t>G/77</t>
  </si>
  <si>
    <t>Formwork to CC28 - 450x450mm deep concrete column</t>
  </si>
  <si>
    <t>G/78</t>
  </si>
  <si>
    <t>Formwork to CC29 - 450x450mm deep concrete column</t>
  </si>
  <si>
    <t>G/79</t>
  </si>
  <si>
    <t>Formwork to CC3 - 400x700mm deep concrete column</t>
  </si>
  <si>
    <t>G/80</t>
  </si>
  <si>
    <t>Formwork to CC30 - 500mm diameter concrete column</t>
  </si>
  <si>
    <t>G/81</t>
  </si>
  <si>
    <t>Formwork to CC31 - 500mm diameter concrete column</t>
  </si>
  <si>
    <t>G/82</t>
  </si>
  <si>
    <t>Formwork to CC32 - 500mm diameter concrete column</t>
  </si>
  <si>
    <t>G/83</t>
  </si>
  <si>
    <t>Formwork to CC33 - 500mm diameter concrete column</t>
  </si>
  <si>
    <t>G/84</t>
  </si>
  <si>
    <t>Formwork to CC4 - 400x700mm deep concrete column</t>
  </si>
  <si>
    <t>G/85</t>
  </si>
  <si>
    <t>Formwork to CC5 - 400x700mm deep concrete column</t>
  </si>
  <si>
    <t>G/86</t>
  </si>
  <si>
    <t>Formwork to CC6 - 400x700mm deep concrete column</t>
  </si>
  <si>
    <t>G/87</t>
  </si>
  <si>
    <t>Formwork to CC7 - 300x800mm deep concrete column</t>
  </si>
  <si>
    <t>G/88</t>
  </si>
  <si>
    <t>Formwork to CC8 - 300x800mm deep concrete column</t>
  </si>
  <si>
    <t>G/89</t>
  </si>
  <si>
    <t>Formwork to CC9 - 400x700mm deep concrete column</t>
  </si>
  <si>
    <t>G/90</t>
  </si>
  <si>
    <t>Formwork to CC1 - 800x400mm deep concrete column</t>
  </si>
  <si>
    <t>G/91</t>
  </si>
  <si>
    <t>Formwork to CC10 - 400x600mm deep concrete column</t>
  </si>
  <si>
    <t>G/92</t>
  </si>
  <si>
    <t>Formwork to CC11a - 400x600mm deep concrete column</t>
  </si>
  <si>
    <t>G/93</t>
  </si>
  <si>
    <t>Formwork to CC12 - 400x600mm deep concrete column</t>
  </si>
  <si>
    <t>G/94</t>
  </si>
  <si>
    <t>Formwork to CC13 - 400x600mm deep concrete column</t>
  </si>
  <si>
    <t>G/95</t>
  </si>
  <si>
    <t>Formwork to CC15 - 800x400mm deep concrete column</t>
  </si>
  <si>
    <t>G/96</t>
  </si>
  <si>
    <t>Formwork to CC16 - 800x400mm deep concrete column</t>
  </si>
  <si>
    <t>G/97</t>
  </si>
  <si>
    <t>Formwork to CC17 - 400x600mm deep concrete column</t>
  </si>
  <si>
    <t>G/98</t>
  </si>
  <si>
    <t>Formwork to CC18 - 400x600mm deep concrete column</t>
  </si>
  <si>
    <t>G/99</t>
  </si>
  <si>
    <t>Formwork to CC19 - 400x600mm deep concrete column</t>
  </si>
  <si>
    <t>G/100</t>
  </si>
  <si>
    <t>Formwork to CC22 - 800x400mm deep concrete column</t>
  </si>
  <si>
    <t>G/101</t>
  </si>
  <si>
    <t>Formwork to CC23 - 800x400mm deep concrete column</t>
  </si>
  <si>
    <t>G/102</t>
  </si>
  <si>
    <t>G/103</t>
  </si>
  <si>
    <t>G/104</t>
  </si>
  <si>
    <t>Formwork to CC26 - 800x400mm deep concrete column</t>
  </si>
  <si>
    <t>G/105</t>
  </si>
  <si>
    <t>Formwork to CC27 - 400x600mm deep concrete column</t>
  </si>
  <si>
    <t>G/106</t>
  </si>
  <si>
    <t>Formwork to CC29 - 400x600mm deep concrete column</t>
  </si>
  <si>
    <t>G/107</t>
  </si>
  <si>
    <t>Formwork to CC3 - 800x400mm deep concrete column</t>
  </si>
  <si>
    <t>G/108</t>
  </si>
  <si>
    <t>Formwork to CC4 - 800x400mm deep concrete column</t>
  </si>
  <si>
    <t>G/109</t>
  </si>
  <si>
    <t>Formwork to CC5 - 800x400mm deep concrete column</t>
  </si>
  <si>
    <t>G/110</t>
  </si>
  <si>
    <t>Formwork to CC6 - 800x400mm deep concrete column</t>
  </si>
  <si>
    <t>G/111</t>
  </si>
  <si>
    <t>Formwork to CC61 - 800x400mm deep concrete column</t>
  </si>
  <si>
    <t>G/112</t>
  </si>
  <si>
    <t>Formwork to CC66 - 400x600mm deep concrete column</t>
  </si>
  <si>
    <t>G/113</t>
  </si>
  <si>
    <t>Formwork to CC67 - 400x600mm deep concrete column</t>
  </si>
  <si>
    <t>G/114</t>
  </si>
  <si>
    <t>Formwork to CC68 - 400x600mm deep concrete column</t>
  </si>
  <si>
    <t>G/115</t>
  </si>
  <si>
    <t>Formwork to CC69 - 400x600mm deep concrete column</t>
  </si>
  <si>
    <t>G/116</t>
  </si>
  <si>
    <t>Formwork to CC73 - 400x600mm deep concrete column</t>
  </si>
  <si>
    <t>G/117</t>
  </si>
  <si>
    <t>Formwork to CC9 - 800x400mm deep concrete column</t>
  </si>
  <si>
    <t>G/118</t>
  </si>
  <si>
    <t>G/119</t>
  </si>
  <si>
    <t>Formwork to CC10 - 450x450mm deep concrete column</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</si>
  <si>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</si>
  <si>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</si>
  <si>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</si>
  <si>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</si>
  <si>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</si>
  <si>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</si>
  <si>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</si>
  <si>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</si>
  <si>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</si>
  <si>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</si>
  <si>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</si>
  <si>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</si>
  <si>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</si>
  <si>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</si>
  <si>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</si>
  <si>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</si>
  <si>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</si>
  <si>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</si>
  <si>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</si>
  <si>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</si>
  <si>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</si>
  <si>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</si>
  <si>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</si>
  <si>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</si>
  <si>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</si>
  <si>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</si>
  <si>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</si>
  <si>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Formwork to CC17 - 300x500mm deep concrete column</t>
  </si>
  <si>
    <t>G/147</t>
  </si>
  <si>
    <t>Formwork to CC24 - 300x500mm deep concrete column</t>
  </si>
  <si>
    <t>G/148</t>
  </si>
  <si>
    <t>Formwork to CC25 - 300x500mm deep concrete column</t>
  </si>
  <si>
    <t>G/149</t>
  </si>
  <si>
    <t>Formwork to CC66 - 300x500mm deep concrete column</t>
  </si>
  <si>
    <t>G/150</t>
  </si>
  <si>
    <t>Formwork to CC82 - 300x500mm deep concrete column</t>
  </si>
  <si>
    <t>G/151</t>
  </si>
  <si>
    <t>Formwork to CC83 - 300x500mm deep concrete column</t>
  </si>
  <si>
    <t>G/152</t>
  </si>
  <si>
    <t>Formwork to CC84 - 400x400mm deep concrete column</t>
  </si>
  <si>
    <t>G/153</t>
  </si>
  <si>
    <t>Formwork to CC85 - 400x400mm deep concrete column</t>
  </si>
  <si>
    <t>G/154</t>
  </si>
  <si>
    <t>Formwork to CC86 - 400x400mm deep concrete column</t>
  </si>
  <si>
    <t>G/155</t>
  </si>
  <si>
    <t>Formwork to CC87 - 400x400mm deep concrete column</t>
  </si>
  <si>
    <t>G/156</t>
  </si>
  <si>
    <t>Formwork to CC88 - 400x400mm deep concrete column</t>
  </si>
  <si>
    <t>G/157</t>
  </si>
  <si>
    <t>Formwork to CC89 - 300x500mm deep concrete column</t>
  </si>
  <si>
    <t>G/158</t>
  </si>
  <si>
    <t>Formwork to CC90 - 300x500mm deep concrete column</t>
  </si>
  <si>
    <t>G/159</t>
  </si>
  <si>
    <t>Formwork to CC91 - 400x400mm deep concrete column</t>
  </si>
  <si>
    <t>G/160</t>
  </si>
  <si>
    <t>Formwork to CC92 - 400x400mm deep concrete column</t>
  </si>
  <si>
    <t>G/161</t>
  </si>
  <si>
    <t>Formwork to CC93 - 400x400mm deep concrete column</t>
  </si>
  <si>
    <t>G/162</t>
  </si>
  <si>
    <t>Formwork to CC94 - 300x500mm deep concrete column</t>
  </si>
  <si>
    <t>G/163</t>
  </si>
  <si>
    <t>Formwork to CC95 - 300x500mm deep concrete column</t>
  </si>
  <si>
    <t>G/164</t>
  </si>
  <si>
    <t>Formwork to CC96 - 300x500mm deep concrete column</t>
  </si>
  <si>
    <t>Suspended slab</t>
  </si>
  <si>
    <t>G/165</t>
  </si>
  <si>
    <t>Formwork to soffit with strutting height 3.5m - 4.5m high</t>
  </si>
  <si>
    <t>G/166</t>
  </si>
  <si>
    <t>Edgeboard greater than 250mm high to suspended slab</t>
  </si>
  <si>
    <t>G/167</t>
  </si>
  <si>
    <t>Edgeboard less than or equal to 250mm high to suspended slab</t>
  </si>
  <si>
    <t>G/168</t>
  </si>
  <si>
    <t>Slab step in soffit of slab less than or equal to 250mm high to suspended slab</t>
  </si>
  <si>
    <t>G/169</t>
  </si>
  <si>
    <t>Slab step in top of slab less than or equal to 250mm high to suspended slab</t>
  </si>
  <si>
    <t>Level 3 (SG.01)</t>
  </si>
  <si>
    <t>G/170</t>
  </si>
  <si>
    <t>G/171</t>
  </si>
  <si>
    <t>G/172</t>
  </si>
  <si>
    <t>G/173</t>
  </si>
  <si>
    <t>G/174</t>
  </si>
  <si>
    <t>Extra over curved formwork to edgeboard greater than 250mm high to suspended slab</t>
  </si>
  <si>
    <t>G/175</t>
  </si>
  <si>
    <t>Formwork to soffit with strutting height up to 3.5m high</t>
  </si>
  <si>
    <t>G/176</t>
  </si>
  <si>
    <t>G/177</t>
  </si>
  <si>
    <t>G/178</t>
  </si>
  <si>
    <t>G/179</t>
  </si>
  <si>
    <t>G/180</t>
  </si>
  <si>
    <t>Formwork to soffit with strutting height 4.5m - 5.5m high</t>
  </si>
  <si>
    <t>G/181</t>
  </si>
  <si>
    <t>Attached Beam</t>
  </si>
  <si>
    <t>G/182</t>
  </si>
  <si>
    <t>Formwork less than or equal to 250mm high to attached beam</t>
  </si>
  <si>
    <t>G/183</t>
  </si>
  <si>
    <t>Formwork greater than 250mm high to 250mm high to attached beam</t>
  </si>
  <si>
    <t>G/184</t>
  </si>
  <si>
    <t>G/185</t>
  </si>
  <si>
    <t>G/186</t>
  </si>
  <si>
    <t>G/187</t>
  </si>
  <si>
    <t>Concrete Stair</t>
  </si>
  <si>
    <t>Stair 2 - 1700mm to 1900mm width concrete stair with 280mm treads, 200mm throat thickness, 180mm to 183.35mm riser height with 7 flights and 4 midlandings</t>
  </si>
  <si>
    <t>G/188</t>
  </si>
  <si>
    <t>Soffit to stair</t>
  </si>
  <si>
    <t>G/189</t>
  </si>
  <si>
    <t>Stringer formwork</t>
  </si>
  <si>
    <t>G/190</t>
  </si>
  <si>
    <t>Riser formwork</t>
  </si>
  <si>
    <t>G/191</t>
  </si>
  <si>
    <t>Soffit to stair landing</t>
  </si>
  <si>
    <t>G/192</t>
  </si>
  <si>
    <t>Edgeboard to stair landing less than or equal to 250mm high</t>
  </si>
  <si>
    <t>G/193</t>
  </si>
  <si>
    <t>G/194</t>
  </si>
  <si>
    <t>G/195</t>
  </si>
  <si>
    <t>G/196</t>
  </si>
  <si>
    <t>G/197</t>
  </si>
  <si>
    <t>G/198</t>
  </si>
  <si>
    <t>Edgeboard to stair landing greater than 250mm high</t>
  </si>
  <si>
    <t>G/199</t>
  </si>
  <si>
    <t>G/200</t>
  </si>
  <si>
    <t>G/201</t>
  </si>
  <si>
    <t>G/202</t>
  </si>
  <si>
    <t>G/203</t>
  </si>
  <si>
    <t>Formwork - Class 5</t>
  </si>
  <si>
    <t>Pile Cap Footing</t>
  </si>
  <si>
    <t>G/204</t>
  </si>
  <si>
    <t>Formwork to PC1 - 3600 x 1200 x 1200mm deep pile cap</t>
  </si>
  <si>
    <t>G/205</t>
  </si>
  <si>
    <t>Formwork to PC2 - 3600 x 1200 x 1400mm deep pile cap</t>
  </si>
  <si>
    <t>Footing Beam</t>
  </si>
  <si>
    <t>G/206</t>
  </si>
  <si>
    <t>Formwork to greater than 250mm high to ground beam</t>
  </si>
  <si>
    <t>Base Slab on Ground</t>
  </si>
  <si>
    <t>G/207</t>
  </si>
  <si>
    <t>Edgeboard greater than 250mm high to base slab on ground</t>
  </si>
  <si>
    <t>Suspended slab on piers</t>
  </si>
  <si>
    <t>G/208</t>
  </si>
  <si>
    <t>Edgeboard less than or equal to 250mm high to slab on ground</t>
  </si>
  <si>
    <t>G/209</t>
  </si>
  <si>
    <t>Formwork to W1 - 200mm thick lift pit wall</t>
  </si>
  <si>
    <t>G/210</t>
  </si>
  <si>
    <t>Formwork to W9 - 200mm thick lift pit wall</t>
  </si>
  <si>
    <t>Void Former</t>
  </si>
  <si>
    <t>Pile Cap</t>
  </si>
  <si>
    <t>G/211</t>
  </si>
  <si>
    <t>50mm thick Corkjoint Ecovoid void formers to PC1 - 3600 x 1200 x 1200mm deep pile cap</t>
  </si>
  <si>
    <t>G/212</t>
  </si>
  <si>
    <t>50mm thick Corkjoint Ecovoid void formers to PC2 - 3600 x 1200 x 1400mm deep pile cap</t>
  </si>
  <si>
    <t>G/213</t>
  </si>
  <si>
    <t>50mm thick Corkjoint Ecovoid void formers</t>
  </si>
  <si>
    <t>G/214</t>
  </si>
  <si>
    <t>G/215</t>
  </si>
  <si>
    <t>G/216</t>
  </si>
  <si>
    <t>G/217</t>
  </si>
  <si>
    <t>Formwork to W4 - 250mm thick external wall</t>
  </si>
  <si>
    <t>G/218</t>
  </si>
  <si>
    <t>G/219</t>
  </si>
  <si>
    <t>G/220</t>
  </si>
  <si>
    <t>G/221</t>
  </si>
  <si>
    <t>Formwork to 250mm thick external wall</t>
  </si>
  <si>
    <t>G/222</t>
  </si>
  <si>
    <t>G/223</t>
  </si>
  <si>
    <t>Formwork to W5 - 300mm thick external wall</t>
  </si>
  <si>
    <t>G/224</t>
  </si>
  <si>
    <t>G/225</t>
  </si>
  <si>
    <t>Extra over curved formwork to external walls</t>
  </si>
  <si>
    <t>G/226</t>
  </si>
  <si>
    <t>G/227</t>
  </si>
  <si>
    <t>G/228</t>
  </si>
  <si>
    <t>G/229</t>
  </si>
  <si>
    <t>G/230</t>
  </si>
  <si>
    <t>Formwork to W6 - 300mm thick internal wall</t>
  </si>
  <si>
    <t>G/231</t>
  </si>
  <si>
    <t>G/232</t>
  </si>
  <si>
    <t>G/233</t>
  </si>
  <si>
    <t>G/234</t>
  </si>
  <si>
    <t>G/235</t>
  </si>
  <si>
    <t>G/236</t>
  </si>
  <si>
    <t>G/237</t>
  </si>
  <si>
    <t>G/238</t>
  </si>
  <si>
    <t>G/239</t>
  </si>
  <si>
    <t>Formwork to CC34 - 400x700mm deep concrete column</t>
  </si>
  <si>
    <t>G/240</t>
  </si>
  <si>
    <t>Formwork to CC35 - 400x700mm deep concrete column</t>
  </si>
  <si>
    <t>G/241</t>
  </si>
  <si>
    <t>Formwork to CC36 - 400x700mm deep concrete column</t>
  </si>
  <si>
    <t>G/242</t>
  </si>
  <si>
    <t>Formwork to CC37 - 400x600mm deep concrete column</t>
  </si>
  <si>
    <t>G/243</t>
  </si>
  <si>
    <t>Formwork to CC38 - 400x600mm deep concrete column</t>
  </si>
  <si>
    <t>G/244</t>
  </si>
  <si>
    <t>Formwork to CC39 - 400x600mm deep concrete column</t>
  </si>
  <si>
    <t>G/245</t>
  </si>
  <si>
    <t>Formwork to CC40 - 400x600mm deep concrete column</t>
  </si>
  <si>
    <t>G/246</t>
  </si>
  <si>
    <t>Formwork to CC41 - 450x450mm deep concrete column</t>
  </si>
  <si>
    <t>G/247</t>
  </si>
  <si>
    <t>Formwork to CC42 - 400x600mm deep concrete column</t>
  </si>
  <si>
    <t>G/248</t>
  </si>
  <si>
    <t>Formwork to CC43 - 400x600mm deep concrete column</t>
  </si>
  <si>
    <t>G/249</t>
  </si>
  <si>
    <t>Formwork to CC44 - 500mm diameter concrete column</t>
  </si>
  <si>
    <t>G/250</t>
  </si>
  <si>
    <t>Formwork to CC45 - 400x600mm deep concrete column</t>
  </si>
  <si>
    <t>G/251</t>
  </si>
  <si>
    <t>Formwork to CC46 - 450x450mm deep concrete column</t>
  </si>
  <si>
    <t>G/252</t>
  </si>
  <si>
    <t>Formwork to CC47 - 400x600mm deep concrete column</t>
  </si>
  <si>
    <t>G/253</t>
  </si>
  <si>
    <t>Formwork to CC48 - 450x450mm deep concrete column</t>
  </si>
  <si>
    <t>G/254</t>
  </si>
  <si>
    <t>Formwork to CC49 - 400x600mm deep concrete column</t>
  </si>
  <si>
    <t>G/255</t>
  </si>
  <si>
    <t>Formwork to CC50 - 400x600mm deep concrete column</t>
  </si>
  <si>
    <t>G/256</t>
  </si>
  <si>
    <t>Formwork to CC51 - 400x600mm deep concrete column</t>
  </si>
  <si>
    <t>G/257</t>
  </si>
  <si>
    <t>Formwork to CC52 - 450x450mm deep concrete column</t>
  </si>
  <si>
    <t>G/258</t>
  </si>
  <si>
    <t>Formwork to CC53 - 450x450mm deep concrete column</t>
  </si>
  <si>
    <t>G/259</t>
  </si>
  <si>
    <t>Formwork to CC54 - 450x450mm deep concrete column</t>
  </si>
  <si>
    <t>G/260</t>
  </si>
  <si>
    <t>Formwork to CC55 - 400x600mm deep concrete column</t>
  </si>
  <si>
    <t>G/261</t>
  </si>
  <si>
    <t>Formwork to CC56 - 400x600mm deep concrete column</t>
  </si>
  <si>
    <t>G/262</t>
  </si>
  <si>
    <t>Formwork to CC57 - 400x600mm deep concrete column</t>
  </si>
  <si>
    <t>G/263</t>
  </si>
  <si>
    <t>Formwork to CC58 - 400x1600mm deep concrete column</t>
  </si>
  <si>
    <t>G/264</t>
  </si>
  <si>
    <t>Formwork to CC59 - 400x400mm deep concrete column</t>
  </si>
  <si>
    <t>G/265</t>
  </si>
  <si>
    <t>Formwork to CC76 - 400x700mm deep concrete column</t>
  </si>
  <si>
    <t>G/266</t>
  </si>
  <si>
    <t>Formwork to CC34 - 400x600mm deep concrete column</t>
  </si>
  <si>
    <t>G/267</t>
  </si>
  <si>
    <t>Formwork to CC35 - 800x400mm deep concrete column</t>
  </si>
  <si>
    <t>G/268</t>
  </si>
  <si>
    <t>Formwork to CC36 - 800x400mm deep concrete column</t>
  </si>
  <si>
    <t>G/269</t>
  </si>
  <si>
    <t>G/270</t>
  </si>
  <si>
    <t>G/271</t>
  </si>
  <si>
    <t>Formwork to CC44 - 400x600mm deep concrete column</t>
  </si>
  <si>
    <t>G/272</t>
  </si>
  <si>
    <t>G/273</t>
  </si>
  <si>
    <t>Formwork to CC48 - 400x600mm deep concrete column</t>
  </si>
  <si>
    <t>G/274</t>
  </si>
  <si>
    <t>G/275</t>
  </si>
  <si>
    <t>G/276</t>
  </si>
  <si>
    <t>Formwork to CC52 - 400x600mm deep concrete column</t>
  </si>
  <si>
    <t>G/277</t>
  </si>
  <si>
    <t>Formwork to CC54 - 400x600mm deep concrete column</t>
  </si>
  <si>
    <t>G/278</t>
  </si>
  <si>
    <t>G/279</t>
  </si>
  <si>
    <t>G/280</t>
  </si>
  <si>
    <t>G/281</t>
  </si>
  <si>
    <t>G/282</t>
  </si>
  <si>
    <t>Formwork to CC76 - 800x400mm deep concrete column</t>
  </si>
  <si>
    <t>G/283</t>
  </si>
  <si>
    <t>Formwork to CC77 - 800x400mm deep concrete column</t>
  </si>
  <si>
    <t>G/284</t>
  </si>
  <si>
    <t>Formwork to CC78 - 400x600mm deep concrete column</t>
  </si>
  <si>
    <t>G/285</t>
  </si>
  <si>
    <t>Formwork to CC79 - 800x400mm deep concrete column</t>
  </si>
  <si>
    <t>G/286</t>
  </si>
  <si>
    <t>Formwork to CC80 - 500mm diameter concrete column</t>
  </si>
  <si>
    <t>G/287</t>
  </si>
  <si>
    <t>G/288</t>
  </si>
  <si>
    <t>G/289</t>
  </si>
  <si>
    <t>G/290</t>
  </si>
  <si>
    <t>G/291</t>
  </si>
  <si>
    <t>G/292</t>
  </si>
  <si>
    <t>G/293</t>
  </si>
  <si>
    <t>G/294</t>
  </si>
  <si>
    <t>G/295</t>
  </si>
  <si>
    <t>G/296</t>
  </si>
  <si>
    <t>G/297</t>
  </si>
  <si>
    <t>G/298</t>
  </si>
  <si>
    <t>G/299</t>
  </si>
  <si>
    <t>G/300</t>
  </si>
  <si>
    <t>G/301</t>
  </si>
  <si>
    <t>G/302</t>
  </si>
  <si>
    <t>G/303</t>
  </si>
  <si>
    <t>G/304</t>
  </si>
  <si>
    <t>G/305</t>
  </si>
  <si>
    <t>G/306</t>
  </si>
  <si>
    <t>Formwork to CC81 - 400x600mm deep concrete column</t>
  </si>
  <si>
    <t>G/307</t>
  </si>
  <si>
    <t>Formwork to CC100 - 300x500mm deep concrete column</t>
  </si>
  <si>
    <t>G/308</t>
  </si>
  <si>
    <t>Formwork to CC97 - 300x500mm deep concrete column</t>
  </si>
  <si>
    <t>G/309</t>
  </si>
  <si>
    <t>Formwork to CC98 - 300x500mm deep concrete column</t>
  </si>
  <si>
    <t>G/310</t>
  </si>
  <si>
    <t>Formwork to CC99 - 300x500mm deep concrete column</t>
  </si>
  <si>
    <t>Ramp slab</t>
  </si>
  <si>
    <t>G/311</t>
  </si>
  <si>
    <t>G/312</t>
  </si>
  <si>
    <t>G/313</t>
  </si>
  <si>
    <t>G/314</t>
  </si>
  <si>
    <t>G/315</t>
  </si>
  <si>
    <t>Slab step in soffit of slab greater than 250mm high to suspended slab</t>
  </si>
  <si>
    <t>G/316</t>
  </si>
  <si>
    <t>G/317</t>
  </si>
  <si>
    <t>G/318</t>
  </si>
  <si>
    <t>Extra over curved formwork to slab step in soffit of slab greater than 250mm high</t>
  </si>
  <si>
    <t>Level 3 (SG.02)</t>
  </si>
  <si>
    <t>G/319</t>
  </si>
  <si>
    <t>G/320</t>
  </si>
  <si>
    <t>G/321</t>
  </si>
  <si>
    <t>G/322</t>
  </si>
  <si>
    <t>G/323</t>
  </si>
  <si>
    <t>G/324</t>
  </si>
  <si>
    <t>G/325</t>
  </si>
  <si>
    <t>G/326</t>
  </si>
  <si>
    <t>G/327</t>
  </si>
  <si>
    <t>G/328</t>
  </si>
  <si>
    <t>G/329</t>
  </si>
  <si>
    <t>G/330</t>
  </si>
  <si>
    <t>G/331</t>
  </si>
  <si>
    <t>G/332</t>
  </si>
  <si>
    <t>G/333</t>
  </si>
  <si>
    <t>G/334</t>
  </si>
  <si>
    <t>G/335</t>
  </si>
  <si>
    <t>G/336</t>
  </si>
  <si>
    <t>G/337</t>
  </si>
  <si>
    <t>G/338</t>
  </si>
  <si>
    <t>G/339</t>
  </si>
  <si>
    <t>G/340</t>
  </si>
  <si>
    <t>G/341</t>
  </si>
  <si>
    <t>G/342</t>
  </si>
  <si>
    <t>G/343</t>
  </si>
  <si>
    <t>G/344</t>
  </si>
  <si>
    <t>G/345</t>
  </si>
  <si>
    <t>G/346</t>
  </si>
  <si>
    <t>Stair 7 - 3385mm width concrete stair with 300mm treads, 240mm throat thickness, 161mm riser height with 2 flights and 1 midlandings</t>
  </si>
  <si>
    <t>G/347</t>
  </si>
  <si>
    <t>G/348</t>
  </si>
  <si>
    <t>G/349</t>
  </si>
  <si>
    <t>G/350</t>
  </si>
  <si>
    <t>G/351</t>
  </si>
  <si>
    <t>Pile Cap Footing</t>
  </si>
  <si>
    <t>G/352</t>
  </si>
  <si>
    <t>G/353</t>
  </si>
  <si>
    <t>G/354</t>
  </si>
  <si>
    <t>G/355</t>
  </si>
  <si>
    <t>Extra over curved formwork to ground beam</t>
  </si>
  <si>
    <t>G/356</t>
  </si>
  <si>
    <t>G/357</t>
  </si>
  <si>
    <t>G/358</t>
  </si>
  <si>
    <t>Slab step in top of slab less than or equal to 250mm high to SOG</t>
  </si>
  <si>
    <t>G/359</t>
  </si>
  <si>
    <t>Slab step in top of slab greater than 250mm high to SOG</t>
  </si>
  <si>
    <t>G/360</t>
  </si>
  <si>
    <t>Extra over curved formwork to slab step in top of slab less than or equal to 250mm high</t>
  </si>
  <si>
    <t>G/361</t>
  </si>
  <si>
    <t>Extra over curved formwork to slab step in top of slab greater than 250mm high</t>
  </si>
  <si>
    <t>G/362</t>
  </si>
  <si>
    <t>Formwork to W2 - 200mm thick lift pit wall</t>
  </si>
  <si>
    <t>G/363</t>
  </si>
  <si>
    <t>G/364</t>
  </si>
  <si>
    <t>G/365</t>
  </si>
  <si>
    <t>G/366</t>
  </si>
  <si>
    <t>G/367</t>
  </si>
  <si>
    <t>G/368</t>
  </si>
  <si>
    <t>Stairs</t>
  </si>
  <si>
    <t>G/369</t>
  </si>
  <si>
    <t>50mm thick Triangular corkjoint Ecovoid void formers 900mm high (NB: Measured as flat on plan refer to SC.10 detail L1-1)</t>
  </si>
  <si>
    <t>G/370</t>
  </si>
  <si>
    <t>50mm thick Triangular corkjoint Ecovoid void formers 900mm high (NB: Measured as flat on plan refer to SG.21 detail L2-5,)</t>
  </si>
  <si>
    <t>TOTAL FORMWORK</t>
  </si>
  <si>
    <t>H</t>
  </si>
  <si>
    <t>REINFORCEMENT</t>
  </si>
  <si>
    <t>H/1</t>
  </si>
  <si>
    <t>H/2</t>
  </si>
  <si>
    <t>H/3</t>
  </si>
  <si>
    <t>H/4</t>
  </si>
  <si>
    <t>H/5</t>
  </si>
  <si>
    <t>Supply and delivery to site</t>
  </si>
  <si>
    <t>H/6</t>
  </si>
  <si>
    <t>Cleaning, cutting, bending, fabrication and tagging</t>
  </si>
  <si>
    <t>H/7</t>
  </si>
  <si>
    <t>Placing and provision of all necessary temporary fixings and supports including tie wire, chair supports, etc</t>
  </si>
  <si>
    <t>H/8</t>
  </si>
  <si>
    <t>Rolling margins and waste</t>
  </si>
  <si>
    <t>H/9</t>
  </si>
  <si>
    <t>H/10</t>
  </si>
  <si>
    <t>H/11</t>
  </si>
  <si>
    <t>H/12</t>
  </si>
  <si>
    <t>Allow for producing bending schedules</t>
  </si>
  <si>
    <t>H/13</t>
  </si>
  <si>
    <t>Allow for contractor's submissions</t>
  </si>
  <si>
    <t>H/14</t>
  </si>
  <si>
    <t>Allow for safety capping to starter bars</t>
  </si>
  <si>
    <t>H/15</t>
  </si>
  <si>
    <t>Allow for all costs associated with cathodic protection, earthing and lightning conduction</t>
  </si>
  <si>
    <t>H/16</t>
  </si>
  <si>
    <t>Splicing, trimmer bars and wastage not considered</t>
  </si>
  <si>
    <t>H/17</t>
  </si>
  <si>
    <t>Computed REO rate for wall reinforcements</t>
  </si>
  <si>
    <t>REINFORCEMENT SUPPLY SUMMARY</t>
  </si>
  <si>
    <t>H/18</t>
  </si>
  <si>
    <t>Total bar reinforcement (Measured Net)</t>
  </si>
  <si>
    <t>H/19</t>
  </si>
  <si>
    <t>Total bar reinforcement (By Ratio Net)</t>
  </si>
  <si>
    <t>Bar Reinforcement (measured)</t>
  </si>
  <si>
    <t>H/20</t>
  </si>
  <si>
    <t>Bar reinforcement to pile cap</t>
  </si>
  <si>
    <t>Footing Beam</t>
  </si>
  <si>
    <t>H/21</t>
  </si>
  <si>
    <t>Bar reinforcement to footing beam</t>
  </si>
  <si>
    <t>H/22</t>
  </si>
  <si>
    <t>Bar reinforcement to base slab on ground</t>
  </si>
  <si>
    <t>Suspended Slab on Piers</t>
  </si>
  <si>
    <t>H/23</t>
  </si>
  <si>
    <t>Bar reinforcement to slab on piers</t>
  </si>
  <si>
    <t>Concrete Walls</t>
  </si>
  <si>
    <t>H/24</t>
  </si>
  <si>
    <t>H/25</t>
  </si>
  <si>
    <t>Bar reinforcement to external wall</t>
  </si>
  <si>
    <t>H/26</t>
  </si>
  <si>
    <t>H/27</t>
  </si>
  <si>
    <t>H/28</t>
  </si>
  <si>
    <t>H/29</t>
  </si>
  <si>
    <t>H/30</t>
  </si>
  <si>
    <t>H/31</t>
  </si>
  <si>
    <t>H/32</t>
  </si>
  <si>
    <t>H/33</t>
  </si>
  <si>
    <t>Bar reinforcement to lift pit wall</t>
  </si>
  <si>
    <t>H/34</t>
  </si>
  <si>
    <t>H/35</t>
  </si>
  <si>
    <t>Bar reinforcement to core wall</t>
  </si>
  <si>
    <t>H/36</t>
  </si>
  <si>
    <t>Bar reinforcement to internal wall</t>
  </si>
  <si>
    <t>H/37</t>
  </si>
  <si>
    <t>H/38</t>
  </si>
  <si>
    <t>H/39</t>
  </si>
  <si>
    <t>H/40</t>
  </si>
  <si>
    <t>H/41</t>
  </si>
  <si>
    <t>H/42</t>
  </si>
  <si>
    <t>H/43</t>
  </si>
  <si>
    <t>H/44</t>
  </si>
  <si>
    <t>H/45</t>
  </si>
  <si>
    <t>H/46</t>
  </si>
  <si>
    <t>Bar reinforcement to concrete columns</t>
  </si>
  <si>
    <t>H/47</t>
  </si>
  <si>
    <t>H/48</t>
  </si>
  <si>
    <t>H/49</t>
  </si>
  <si>
    <t>Suspended Slab</t>
  </si>
  <si>
    <t>H/50</t>
  </si>
  <si>
    <t>Bar reinforcement to suspended slab</t>
  </si>
  <si>
    <t>H/51</t>
  </si>
  <si>
    <t>H/52</t>
  </si>
  <si>
    <t>H/53</t>
  </si>
  <si>
    <t>H/54</t>
  </si>
  <si>
    <t>Bar reinforcement to Stair 2 - 1700mm to 1900mm width concrete stair with 280mm treads, 200mm throat thickness, 180mm to 183.35mm riser height with 7 flights and 4 midlandings</t>
  </si>
  <si>
    <t>H/55</t>
  </si>
  <si>
    <t>Bar reinforcement to Stair 3 - 2820mm width concrete stair with 280mm treads, 250mm throat thickness, 161.80mm to 163.65mm riser height with 9 flights and 5 midlandings</t>
  </si>
  <si>
    <t>H/56</t>
  </si>
  <si>
    <t>Bar reinforcement to Stair 4 - 1020mm width concrete stair with 250mm treads, 245mm throat thickness, 166.7mm to 180mm riser height with 8 flights and 8 midlandings</t>
  </si>
  <si>
    <t>Bar Reinforcement (by ratio)</t>
  </si>
  <si>
    <t>H/57</t>
  </si>
  <si>
    <t>Reinforcement to suspended post tensioned slab; REO Rate: 50 kg/m3</t>
  </si>
  <si>
    <t>H/58</t>
  </si>
  <si>
    <t>H/59</t>
  </si>
  <si>
    <t>H/60</t>
  </si>
  <si>
    <t>Reinforcement to suspended post tensioned beam; REO Rate: 50 kg/m3</t>
  </si>
  <si>
    <t>H/61</t>
  </si>
  <si>
    <t>H/62</t>
  </si>
  <si>
    <t>H/63</t>
  </si>
  <si>
    <t>Bar reinforcement to PC1 - 3600 x 1200 x 1200mm deep pile cap</t>
  </si>
  <si>
    <t>H/64</t>
  </si>
  <si>
    <t>H/65</t>
  </si>
  <si>
    <t>H/66</t>
  </si>
  <si>
    <t>Ramp Slab</t>
  </si>
  <si>
    <t>H/67</t>
  </si>
  <si>
    <t>Bar reinforcement to ramp slab</t>
  </si>
  <si>
    <t>H/68</t>
  </si>
  <si>
    <t>H/69</t>
  </si>
  <si>
    <t>H/70</t>
  </si>
  <si>
    <t>H/71</t>
  </si>
  <si>
    <t>H/72</t>
  </si>
  <si>
    <t>H/73</t>
  </si>
  <si>
    <t>H/74</t>
  </si>
  <si>
    <t>H/75</t>
  </si>
  <si>
    <t>H/76</t>
  </si>
  <si>
    <t>Bar reinforcement to external parapet wall</t>
  </si>
  <si>
    <t>H/77</t>
  </si>
  <si>
    <t>H/78</t>
  </si>
  <si>
    <t>H/79</t>
  </si>
  <si>
    <t>H/80</t>
  </si>
  <si>
    <t>H/81</t>
  </si>
  <si>
    <t>H/82</t>
  </si>
  <si>
    <t>H/83</t>
  </si>
  <si>
    <t>H/84</t>
  </si>
  <si>
    <t>H/85</t>
  </si>
  <si>
    <t>H/86</t>
  </si>
  <si>
    <t>H/87</t>
  </si>
  <si>
    <t>H/88</t>
  </si>
  <si>
    <t>H/89</t>
  </si>
  <si>
    <t>Columns</t>
  </si>
  <si>
    <t>H/90</t>
  </si>
  <si>
    <t>H/91</t>
  </si>
  <si>
    <t>H/92</t>
  </si>
  <si>
    <t>H/93</t>
  </si>
  <si>
    <t>H/94</t>
  </si>
  <si>
    <t>H/95</t>
  </si>
  <si>
    <t>Bar reinforcement to slab topping</t>
  </si>
  <si>
    <t>H/96</t>
  </si>
  <si>
    <t>H/97</t>
  </si>
  <si>
    <t>H/98</t>
  </si>
  <si>
    <t>H/99</t>
  </si>
  <si>
    <t>Bar reinforcement to RC beam</t>
  </si>
  <si>
    <t>H/100</t>
  </si>
  <si>
    <t>Bar reinforcement to Stair 1 - 2000mm width concrete stair with 280mm treads, 200-350mm throat thickness, 172.25mm riser height with 5 flights and 3 midlandings</t>
  </si>
  <si>
    <t>H/101</t>
  </si>
  <si>
    <t>Bar reinforcement to Stair 5 - 2670mm width concrete stair with 300mm treads, 250mm throat thickness, 150mm riser height with 1 flights</t>
  </si>
  <si>
    <t>H/102</t>
  </si>
  <si>
    <t>Bar reinforcement to Stair 6 - 2670mm width concrete stair with 300mm treads, 250mm throat thickness, 150mm riser height with 1 flights</t>
  </si>
  <si>
    <t>H/103</t>
  </si>
  <si>
    <t>H/104</t>
  </si>
  <si>
    <t>H/105</t>
  </si>
  <si>
    <t>H/106</t>
  </si>
  <si>
    <t>H/107</t>
  </si>
  <si>
    <t>H/108</t>
  </si>
  <si>
    <t>H/109</t>
  </si>
  <si>
    <t>TOTAL REINFORCEMENT</t>
  </si>
  <si>
    <t>I</t>
  </si>
  <si>
    <t>POST TENSIONING</t>
  </si>
  <si>
    <t>I/1</t>
  </si>
  <si>
    <t>I/2</t>
  </si>
  <si>
    <t>I/3</t>
  </si>
  <si>
    <t>I/4</t>
  </si>
  <si>
    <t>I/5</t>
  </si>
  <si>
    <t>Formation of and grouting of all air holes</t>
  </si>
  <si>
    <t>I/6</t>
  </si>
  <si>
    <t>I/7</t>
  </si>
  <si>
    <t>I/8</t>
  </si>
  <si>
    <t>Allow for samples and tests</t>
  </si>
  <si>
    <t>I/9</t>
  </si>
  <si>
    <t>I/10</t>
  </si>
  <si>
    <t>Allow for contractors submissions including shop drawings, work method statement, certificates, etc</t>
  </si>
  <si>
    <t>I/11</t>
  </si>
  <si>
    <t>Allow for supply of power for prestressing works</t>
  </si>
  <si>
    <t>I/12</t>
  </si>
  <si>
    <t>Allow for supply of water for prestressing works</t>
  </si>
  <si>
    <t>I/13</t>
  </si>
  <si>
    <t>Allow for hoisting of prestressing materials and equipment</t>
  </si>
  <si>
    <t>I/14</t>
  </si>
  <si>
    <t>Allow for scaffolding</t>
  </si>
  <si>
    <t>I/15</t>
  </si>
  <si>
    <t>Allow for the supply of expendable items such as cones, wedges, anchor plates, spacers and similar items</t>
  </si>
  <si>
    <t>I/16</t>
  </si>
  <si>
    <t>Allow for cutting off staple ends as required</t>
  </si>
  <si>
    <t>I/17</t>
  </si>
  <si>
    <t>Allow for compressed air as required</t>
  </si>
  <si>
    <t>I/18</t>
  </si>
  <si>
    <t>Allow for filling and parging of pockets / recesses at anchorages</t>
  </si>
  <si>
    <t>I/19</t>
  </si>
  <si>
    <t>Allow for all design and detailing by post-tensioning subcontractor</t>
  </si>
  <si>
    <t>Post Tensioning</t>
  </si>
  <si>
    <t>I/20</t>
  </si>
  <si>
    <t>I/21</t>
  </si>
  <si>
    <t>I/22</t>
  </si>
  <si>
    <t>I/23</t>
  </si>
  <si>
    <t>I/24</t>
  </si>
  <si>
    <t>I/25</t>
  </si>
  <si>
    <t>I/26</t>
  </si>
  <si>
    <t>I/27</t>
  </si>
  <si>
    <t>I/28</t>
  </si>
  <si>
    <t>I/29</t>
  </si>
  <si>
    <t>I/30</t>
  </si>
  <si>
    <t>I/31</t>
  </si>
  <si>
    <t>TOTAL POST TENSIONING</t>
  </si>
  <si>
    <t>J</t>
  </si>
  <si>
    <t>MASONRY - BRICK &amp; BLOCK</t>
  </si>
  <si>
    <t>J/1</t>
  </si>
  <si>
    <t>J/2</t>
  </si>
  <si>
    <t>J/3</t>
  </si>
  <si>
    <t>J/4</t>
  </si>
  <si>
    <t>Refer to following sections of William Clarke College  "Architectural Specification" dated 5 April 2024 by PMDL Architecture + Design: 0181 - Adhesives, sealants and fasteners, 0331 - Brick and block construction, 0463 - Glass blockwork, 0471 - Thermal insulation membranes, 0472 - Acoustic insulation</t>
  </si>
  <si>
    <t>J/5</t>
  </si>
  <si>
    <t>Refer to following architectural drawing series: A0010 for "Wall Types Schedule", A011 for "Partition Types Schedule, "A0130 for "GA Plans", A100 for "North and South GA Plan", A2000 for "Elevations", A3000 for "Sections", A4000 for "Wall Section Details"</t>
  </si>
  <si>
    <t>J/6</t>
  </si>
  <si>
    <t>Refer to William Clarke College "NCC 2022 Section J-4 DTS Report" Volume 1 dated 5 April 2024 by PMDL Architecture + Design</t>
  </si>
  <si>
    <t>J/7</t>
  </si>
  <si>
    <t>J/8</t>
  </si>
  <si>
    <t>J/9</t>
  </si>
  <si>
    <t>J/10</t>
  </si>
  <si>
    <t>J/11</t>
  </si>
  <si>
    <t>J/12</t>
  </si>
  <si>
    <t>J/13</t>
  </si>
  <si>
    <t>J/14</t>
  </si>
  <si>
    <t>J/15</t>
  </si>
  <si>
    <t>J/16</t>
  </si>
  <si>
    <t>J/17</t>
  </si>
  <si>
    <t>J/18</t>
  </si>
  <si>
    <t>J/19</t>
  </si>
  <si>
    <t>J/20</t>
  </si>
  <si>
    <t>J/21</t>
  </si>
  <si>
    <t>J/22</t>
  </si>
  <si>
    <t>J/23</t>
  </si>
  <si>
    <t>J/24</t>
  </si>
  <si>
    <t>J/25</t>
  </si>
  <si>
    <t>J/26</t>
  </si>
  <si>
    <t>J/27</t>
  </si>
  <si>
    <t>J/28</t>
  </si>
  <si>
    <t>J/29</t>
  </si>
  <si>
    <t>J/30</t>
  </si>
  <si>
    <t>Unless noted otherwise, all walls are measured up to slab soffit/Roof soffit</t>
  </si>
  <si>
    <t>J/31</t>
  </si>
  <si>
    <t>No corefilling details found for footing beam blockwork, assumed it to be 0.12m3/m2</t>
  </si>
  <si>
    <t>Internal Blockwork Wall</t>
  </si>
  <si>
    <t>Internal Blockwall up to 3.0m high</t>
  </si>
  <si>
    <t>PTN-04a - 140mm thick reinforced blockwork to plasterboard lining, Smooth finish; Austral Grey Blocks (NB: Plasterboard linings measured separately)</t>
  </si>
  <si>
    <t>J/32</t>
  </si>
  <si>
    <t>Level 1 (A1201-A)</t>
  </si>
  <si>
    <t>PTN-04c - 140mm thick reinforced blockwork, Smooth finish; Austral Grey Blocks</t>
  </si>
  <si>
    <t>J/33</t>
  </si>
  <si>
    <t>Internal Blockwall with total height from 3.0m - 4.0m</t>
  </si>
  <si>
    <t>J/34</t>
  </si>
  <si>
    <t>J/35</t>
  </si>
  <si>
    <t>Internal Blockwall with total height from 5.0m - 6.0m</t>
  </si>
  <si>
    <t>PTN-04b - 140mm thick reinforced blockwork, Smooth finish; Austral Grey Blocks</t>
  </si>
  <si>
    <t>J/36</t>
  </si>
  <si>
    <t>J/37</t>
  </si>
  <si>
    <t>Corefilling to Internal Blockwork Wall</t>
  </si>
  <si>
    <t>Corefilling to Internal Blockwall up to 3.0m high</t>
  </si>
  <si>
    <t>Corefilling to PTN-04a - 140mm thick reinforced blockwork wall; 20MPa, 250mm slump, 10mm max aggregate size; Assumed 0.1m3/m2 corefilling</t>
  </si>
  <si>
    <t>J/38</t>
  </si>
  <si>
    <t>Corefilling to PTN-04c - 140mm thick reinforced blockwork wall; 20MPa, 250mm slump, 10mm max aggregate size; Assumed 0.1m3/m2 corefilling</t>
  </si>
  <si>
    <t>J/39</t>
  </si>
  <si>
    <t>Corefilling to Internal Blockwall with total height from 3.0m - 4.0m</t>
  </si>
  <si>
    <t>J/40</t>
  </si>
  <si>
    <t>J/41</t>
  </si>
  <si>
    <t>Corefilling to Internal Blockwall with total height from 5.0m - 6.0m</t>
  </si>
  <si>
    <t>Corefilling to PTN-04b - 140mm thick reinforced blockwork wall; 20MPa, 250mm slump, 10mm max aggregate size; Assumed 0.1m3/m2 corefilling</t>
  </si>
  <si>
    <t>J/42</t>
  </si>
  <si>
    <t>J/43</t>
  </si>
  <si>
    <t>Bar Reinforcement to Internal Blockwork Wall (By Ratio)</t>
  </si>
  <si>
    <t>Bar Reinforcement to Internal Blockwall up to 3.0m high</t>
  </si>
  <si>
    <t>Bar reinforcement to  PTN-04a - 140mm thick reinforced blockwork wall; Assumed REO Rate: 60kg/m3</t>
  </si>
  <si>
    <t>J/44</t>
  </si>
  <si>
    <t>Bar reinforcement to  PTN-04c - 140mm thick reinforced blockwork wall; Assumed REO Rate: 60kg/m3</t>
  </si>
  <si>
    <t>J/45</t>
  </si>
  <si>
    <t>Bar Reinforcement to Internal Blockwall with total height from 3.0m - 4.0m</t>
  </si>
  <si>
    <t>J/46</t>
  </si>
  <si>
    <t>J/47</t>
  </si>
  <si>
    <t>Bar Reinforcement to Internal Blockwall with total height from 5.0m - 6.0m</t>
  </si>
  <si>
    <t>Bar reinforcement to  PTN-04b - 140mm thick reinforced blockwork wall; Assumed REO Rate: 60kg/m3</t>
  </si>
  <si>
    <t>J/48</t>
  </si>
  <si>
    <t>J/49</t>
  </si>
  <si>
    <t>Footing Beam Blockwork up to 3.0m high</t>
  </si>
  <si>
    <t>190mm thick blockwork (Refer SB.11 , Type FB-A)</t>
  </si>
  <si>
    <t>J/50</t>
  </si>
  <si>
    <t>Corefilling to Footing Beam Blockwork up to 3.0m high</t>
  </si>
  <si>
    <t>Corefilling to 190mm thick blockwork, CF: 0.12 (Refer SB.11 , Type FB-A)</t>
  </si>
  <si>
    <t>J/51</t>
  </si>
  <si>
    <t>Bar reinforcement to Footing Beam Blockwork up to 3.0m high</t>
  </si>
  <si>
    <t>Bar reinforcement to 190mm thick blockwork (Refer SB.11 , Type FB-A)</t>
  </si>
  <si>
    <t>J/52</t>
  </si>
  <si>
    <t>J/53</t>
  </si>
  <si>
    <t>J/54</t>
  </si>
  <si>
    <t>J/55</t>
  </si>
  <si>
    <t>TOTAL MASONRY - BRICK &amp; BLOCK</t>
  </si>
  <si>
    <t>K</t>
  </si>
  <si>
    <t>STRUCTURAL STEELWORK</t>
  </si>
  <si>
    <t>K/1</t>
  </si>
  <si>
    <t>K/2</t>
  </si>
  <si>
    <t>K/3</t>
  </si>
  <si>
    <t>Refer to following SA.01 to SJ.11 for "Structural Plans"</t>
  </si>
  <si>
    <t>K/4</t>
  </si>
  <si>
    <t>Refer to following sections of William Clarke College  "Architectural Specification" dated 5 April 2024 by PMDL Architecture + Design: 0181 - Adhesives, sealants and fasteners, and 0342 - Light steel framing</t>
  </si>
  <si>
    <t>K/5</t>
  </si>
  <si>
    <t>K/6</t>
  </si>
  <si>
    <t>All shop fabrication work including cutting, notching, milling, machining, drilling, slotted holes, bolting, riveting, welding, grinding and incidental labours</t>
  </si>
  <si>
    <t>K/7</t>
  </si>
  <si>
    <t>Marking, delivery, unloading, hoisting, erecting and fixing</t>
  </si>
  <si>
    <t>K/8</t>
  </si>
  <si>
    <t>Cutting to dead lengths, notching and machining ends and bearings</t>
  </si>
  <si>
    <t>K/9</t>
  </si>
  <si>
    <t>Site cutting and welding</t>
  </si>
  <si>
    <t>K/10</t>
  </si>
  <si>
    <t>Touching up surface treatment where required</t>
  </si>
  <si>
    <t>K/11</t>
  </si>
  <si>
    <t>Bolts including nuts and washers</t>
  </si>
  <si>
    <t>K/12</t>
  </si>
  <si>
    <t>K/13</t>
  </si>
  <si>
    <t>K/14</t>
  </si>
  <si>
    <t>K/15</t>
  </si>
  <si>
    <t>Allow for preparation of shop drawings</t>
  </si>
  <si>
    <t>K/16</t>
  </si>
  <si>
    <t>Allow for testing in accordance with the Engineer's requirements</t>
  </si>
  <si>
    <t>K/17</t>
  </si>
  <si>
    <t>Allow for providing samples of materials or finishes</t>
  </si>
  <si>
    <t>K/18</t>
  </si>
  <si>
    <t>Allow for obtaining manufacturers certificates of inspections</t>
  </si>
  <si>
    <t>K/19</t>
  </si>
  <si>
    <t>Allow for special trial shop assembly where required</t>
  </si>
  <si>
    <t>K/20</t>
  </si>
  <si>
    <t>Allow for necessary temporary bracing, propping and the like required for erection and removing on completion</t>
  </si>
  <si>
    <t>K/21</t>
  </si>
  <si>
    <t>Allow for inspection / testing of welds including the use of any special equipment</t>
  </si>
  <si>
    <t>K/22</t>
  </si>
  <si>
    <t>K/23</t>
  </si>
  <si>
    <t>Allow for identification marks to steel</t>
  </si>
  <si>
    <t>K/24</t>
  </si>
  <si>
    <t>All steelwork to be sandblasted to Class 2.5 finish</t>
  </si>
  <si>
    <t>K/25</t>
  </si>
  <si>
    <t>All steelwork below finished floor level and finished ground level shall be painted with epoxy paint complying with AS 2364</t>
  </si>
  <si>
    <t>K/26</t>
  </si>
  <si>
    <t>All other steelwork shall be painted with inorganic zinc silicate paint complying with AS 2105</t>
  </si>
  <si>
    <t>Level 2 (SG.01-A)</t>
  </si>
  <si>
    <t>Framing</t>
  </si>
  <si>
    <t>K/27</t>
  </si>
  <si>
    <t>OR1 - 150UC23.4, 23.4kg/m, 899.8mm surface perimeter at 900 cts max</t>
  </si>
  <si>
    <t>K/28</t>
  </si>
  <si>
    <t>15% for connection, etc</t>
  </si>
  <si>
    <t>Level 3 (SH.01-A)</t>
  </si>
  <si>
    <t>K/29</t>
  </si>
  <si>
    <t>K/30</t>
  </si>
  <si>
    <t>Level 4 (SI.01-A)</t>
  </si>
  <si>
    <t>K/31</t>
  </si>
  <si>
    <t>K/32</t>
  </si>
  <si>
    <t>Roof (SJ.01-A)</t>
  </si>
  <si>
    <t>K/33</t>
  </si>
  <si>
    <t>OWC1 - 150x150x6SHS, 26.2kg/m, 600mm surface perimeter</t>
  </si>
  <si>
    <t>K/34</t>
  </si>
  <si>
    <t>K/35</t>
  </si>
  <si>
    <t>10mm thick cleat plate stiffener to top and bottom of cleat with 10mm cleat plate to side of beam fixed with 2M16 bolts</t>
  </si>
  <si>
    <t>K/36</t>
  </si>
  <si>
    <t>12mm thick base plate on 20mm thick grout bed fixed to concrete slab with 2M16 Hilti hit-re 500 V3 with hit-v rod with 125mm long embedment</t>
  </si>
  <si>
    <t>K/37</t>
  </si>
  <si>
    <t>HB1 - 200UB22.3, 22.3kg/m, 926mm surface perimeter</t>
  </si>
  <si>
    <t>K/38</t>
  </si>
  <si>
    <t>RB1 - 610UB101, 101kg/m, 2094.8mm surface perimeter</t>
  </si>
  <si>
    <t>K/39</t>
  </si>
  <si>
    <t>RB2 - 530UB82, 82kg/m, 1872.8mm surface perimeter</t>
  </si>
  <si>
    <t>K/40</t>
  </si>
  <si>
    <t>RB3 - 700WB130, 130kg/m, 2380mm surface perimeter</t>
  </si>
  <si>
    <t>K/41</t>
  </si>
  <si>
    <t>RB4 - 700WB150, 150kg/m, 2400mm surface perimeter</t>
  </si>
  <si>
    <t>K/42</t>
  </si>
  <si>
    <t>SB1 - 250UB31.4, 31.4kg/m, 1075.8mm surface perimeter</t>
  </si>
  <si>
    <t>K/43</t>
  </si>
  <si>
    <t>SB2 - 410UB53.7, 53.7kg/m, 1502.8mm surface perimeter</t>
  </si>
  <si>
    <t>K/44</t>
  </si>
  <si>
    <t>SB3 - 310UB40.4, 40.4kg/m, 1251.8mm surface perimeter</t>
  </si>
  <si>
    <t>K/45</t>
  </si>
  <si>
    <t>SB4 - 360UB44.7, 44.7kg/m, 1374.2mm surface perimeter</t>
  </si>
  <si>
    <t>K/46</t>
  </si>
  <si>
    <t>SB5 - 200UB22.3, 22.3kg/m, 926mm surface perimeter</t>
  </si>
  <si>
    <t>K/47</t>
  </si>
  <si>
    <t>T1 - 168.3CHS4.8, 19.4kg/m, 529mm surface perimeter</t>
  </si>
  <si>
    <t>K/48</t>
  </si>
  <si>
    <t>OWB1 - 300x200x6RHS, 45kg/m, 1000mm surface perimeter</t>
  </si>
  <si>
    <t>K/49</t>
  </si>
  <si>
    <t>OWB2 - 300x200x10RHS, 72.7kg/m, 1000mm surface perimeter</t>
  </si>
  <si>
    <t>K/50</t>
  </si>
  <si>
    <t>TB1 - 200x200x6SHS, 35.6kg/m, 800mm surface perimeter</t>
  </si>
  <si>
    <t>K/51</t>
  </si>
  <si>
    <t>TB2 - 150x150x6SHS, 26.2kg/m, 600mm surface perimeter</t>
  </si>
  <si>
    <t>K/52</t>
  </si>
  <si>
    <t>TB3 - 250x250x9SHS, 65.9kg/m, 1000mm surface perimeter</t>
  </si>
  <si>
    <t>K/53</t>
  </si>
  <si>
    <t>K/54</t>
  </si>
  <si>
    <t>8mm thick plate cap welded to 100x100x9mm thick angle fixed through bolted connection on 100x100x8mm thick angle bar welded to steel beam with 10mm stiffener plates on each side of web</t>
  </si>
  <si>
    <t>Bracings</t>
  </si>
  <si>
    <t>K/55</t>
  </si>
  <si>
    <t>br1 - 20mm dia solid rod with turn-buckle Bracings</t>
  </si>
  <si>
    <t>K/56</t>
  </si>
  <si>
    <t>Purlins and Girts</t>
  </si>
  <si>
    <t>K/57</t>
  </si>
  <si>
    <t>Bridging to C20019</t>
  </si>
  <si>
    <t>K/58</t>
  </si>
  <si>
    <t>Bridging to C30024</t>
  </si>
  <si>
    <t>K/59</t>
  </si>
  <si>
    <t>Bridging to Z20019</t>
  </si>
  <si>
    <t>K/60</t>
  </si>
  <si>
    <t>C20019 at 1200mm cts max purlins</t>
  </si>
  <si>
    <t>K/61</t>
  </si>
  <si>
    <t>C30024 at 1200mm cts max purlins</t>
  </si>
  <si>
    <t>K/62</t>
  </si>
  <si>
    <t>Z20019 at 1200mm cts max purlins</t>
  </si>
  <si>
    <t>Surface Preparation</t>
  </si>
  <si>
    <t>Class 2.5 Blast Clean</t>
  </si>
  <si>
    <t>K/63</t>
  </si>
  <si>
    <t>Sandblasting to columns</t>
  </si>
  <si>
    <t>K/64</t>
  </si>
  <si>
    <t>Sandblasting to framing</t>
  </si>
  <si>
    <t>K/65</t>
  </si>
  <si>
    <t>Sandblasting to bracings</t>
  </si>
  <si>
    <t>Protective coating to structural steel</t>
  </si>
  <si>
    <t>K/66</t>
  </si>
  <si>
    <t>Epoxy paint to columns</t>
  </si>
  <si>
    <t>K/67</t>
  </si>
  <si>
    <t>Epoxy paint to framing</t>
  </si>
  <si>
    <t>K/68</t>
  </si>
  <si>
    <t>Inorganic zinc silicate paint to framing</t>
  </si>
  <si>
    <t>K/69</t>
  </si>
  <si>
    <t>Inorganic zinc silicate paint to bracings</t>
  </si>
  <si>
    <t>SOUTH BUILDING</t>
  </si>
  <si>
    <t>Level 2 (SG.02-A)</t>
  </si>
  <si>
    <t>K/70</t>
  </si>
  <si>
    <t>K/71</t>
  </si>
  <si>
    <t>Level 3 (SH.02-A)</t>
  </si>
  <si>
    <t>K/72</t>
  </si>
  <si>
    <t>SC100 - 360UB44.7, 44.7kg/m, 1374.2mm surface perimeter</t>
  </si>
  <si>
    <t>K/73</t>
  </si>
  <si>
    <t>K/74</t>
  </si>
  <si>
    <t>Base plate to SC100 - 360UB44.7, 44.7kg/m, 1374.2mm surface perimeter</t>
  </si>
  <si>
    <t>K/75</t>
  </si>
  <si>
    <t>K/76</t>
  </si>
  <si>
    <t>Roof Framing</t>
  </si>
  <si>
    <t>K/77</t>
  </si>
  <si>
    <t>RB100 - 360UB44.7, 44.7kg/m, 1374.2mm surface perimeter</t>
  </si>
  <si>
    <t>K/78</t>
  </si>
  <si>
    <t>SB100 - 250UB31.4, 31.4kg/m, 1075.8mm surface perimeter</t>
  </si>
  <si>
    <t>K/79</t>
  </si>
  <si>
    <t>SB101 - 200UB22.3, 22.3kg/m, 926mm surface perimeter</t>
  </si>
  <si>
    <t>K/80</t>
  </si>
  <si>
    <t>T101 - 139.7CHS3, 10.1kg/m, 439mm surface perimeter</t>
  </si>
  <si>
    <t>K/81</t>
  </si>
  <si>
    <t>SA100 - 100x100x10EA, 14.2kg/m, 400mm surface perimeter</t>
  </si>
  <si>
    <t>K/82</t>
  </si>
  <si>
    <t>K/83</t>
  </si>
  <si>
    <t>br10 - 16mm dia solid rod with turn-buckle Bracings</t>
  </si>
  <si>
    <t>K/84</t>
  </si>
  <si>
    <t>K/85</t>
  </si>
  <si>
    <t>Bridging to P100</t>
  </si>
  <si>
    <t>K/86</t>
  </si>
  <si>
    <t>Bridging to P101</t>
  </si>
  <si>
    <t>K/87</t>
  </si>
  <si>
    <t>P100 - C15019 purlins spaced at 1200 cts max purlins</t>
  </si>
  <si>
    <t>K/88</t>
  </si>
  <si>
    <t>P101 - C20019 purlins spaced at 1200 cts max purlins</t>
  </si>
  <si>
    <t>Level 4 (SI.02-A)</t>
  </si>
  <si>
    <t>K/89</t>
  </si>
  <si>
    <t>K/90</t>
  </si>
  <si>
    <t>Roof (SJ.02-A)</t>
  </si>
  <si>
    <t>K/91</t>
  </si>
  <si>
    <t>K/92</t>
  </si>
  <si>
    <t>HB2 - 310UB40.4, 40.4kg/m, 1251.8mm surface perimeter</t>
  </si>
  <si>
    <t>K/93</t>
  </si>
  <si>
    <t>K/94</t>
  </si>
  <si>
    <t>K/95</t>
  </si>
  <si>
    <t>K/96</t>
  </si>
  <si>
    <t>K/97</t>
  </si>
  <si>
    <t>K/98</t>
  </si>
  <si>
    <t>K/99</t>
  </si>
  <si>
    <t>K/100</t>
  </si>
  <si>
    <t>K/101</t>
  </si>
  <si>
    <t>K/102</t>
  </si>
  <si>
    <t>K/103</t>
  </si>
  <si>
    <t>K/104</t>
  </si>
  <si>
    <t>K/105</t>
  </si>
  <si>
    <t>K/106</t>
  </si>
  <si>
    <t>K/107</t>
  </si>
  <si>
    <t>K/108</t>
  </si>
  <si>
    <t>K/109</t>
  </si>
  <si>
    <t>K/110</t>
  </si>
  <si>
    <t>Epoxy paint to framing</t>
  </si>
  <si>
    <t>K/111</t>
  </si>
  <si>
    <t>K/112</t>
  </si>
  <si>
    <t>TOTAL STRUCTURAL STEELWORK</t>
  </si>
  <si>
    <t>L</t>
  </si>
  <si>
    <t>ROOFING &amp; ROOF PLUMBING</t>
  </si>
  <si>
    <t>L/1</t>
  </si>
  <si>
    <t>L/2</t>
  </si>
  <si>
    <t>L/3</t>
  </si>
  <si>
    <t>L/4</t>
  </si>
  <si>
    <t>Refer to following sections of William Clarke College  "Architectural Specification" dated 5 April 2024 by PMDL Architecture + Design: 0411 - Waterproofing (external &amp; tanking), 0423 - Roofing profiled sheet metal, 0457 - External Screens</t>
  </si>
  <si>
    <t>L/5</t>
  </si>
  <si>
    <t>Refer to following architectural drawing series: A0130 for "GA Plans", A100 for "North and South GA Plan", A2000 for "Elevations", A3000 for "Sections", A4000 for "Wall Section Details"</t>
  </si>
  <si>
    <t>L/6</t>
  </si>
  <si>
    <t>Refer to following drawings: H000 to H207 for "Hydraulic Services Plans"</t>
  </si>
  <si>
    <t>L/7</t>
  </si>
  <si>
    <t>Laps, square or raking cutting and waste</t>
  </si>
  <si>
    <t>L/8</t>
  </si>
  <si>
    <t>Turning-up and turning-down roof sheets</t>
  </si>
  <si>
    <t>L/9</t>
  </si>
  <si>
    <t>Nails, screws, clips, rivets, straps and the like</t>
  </si>
  <si>
    <t>L/10</t>
  </si>
  <si>
    <t>Provision for thermal movement</t>
  </si>
  <si>
    <t>L/11</t>
  </si>
  <si>
    <t>Isolation of dissimilar materials</t>
  </si>
  <si>
    <t>L/12</t>
  </si>
  <si>
    <t>Fixing of wall cladding in vertical or horizontal direction as required</t>
  </si>
  <si>
    <t>L/13</t>
  </si>
  <si>
    <t>L/14</t>
  </si>
  <si>
    <t>Allow for giving notice and providing facilities for inspections</t>
  </si>
  <si>
    <t>L/15</t>
  </si>
  <si>
    <t>Allow for providing samples and prototypes</t>
  </si>
  <si>
    <t>L/16</t>
  </si>
  <si>
    <t>Allow for tests</t>
  </si>
  <si>
    <t>L/17</t>
  </si>
  <si>
    <t>L/18</t>
  </si>
  <si>
    <t>Allow for providing warranties</t>
  </si>
  <si>
    <t>L/19</t>
  </si>
  <si>
    <t>Allow for providing maintenance manuals</t>
  </si>
  <si>
    <t>L/20</t>
  </si>
  <si>
    <t>Allow for protecting the roofing system from damage throughout the work and cleaning off on completion</t>
  </si>
  <si>
    <t>L/21</t>
  </si>
  <si>
    <t>Allow for ensuring that the roof structure is satisfactory before fixing roof sheeting</t>
  </si>
  <si>
    <t>L/22</t>
  </si>
  <si>
    <t>Roof insulation measured in insulation trade</t>
  </si>
  <si>
    <t>L/23</t>
  </si>
  <si>
    <t>Roof sarking measured in waterproofing trade</t>
  </si>
  <si>
    <t>Sheet Metal Roofing</t>
  </si>
  <si>
    <t>ROOF-01 - Lysaght Kliplok 406 profiled metal sheet roofing in surfmist colourbond finish</t>
  </si>
  <si>
    <t>L/24</t>
  </si>
  <si>
    <t>Roof (A1009-A)</t>
  </si>
  <si>
    <t>L/25</t>
  </si>
  <si>
    <t>Raking Cutting to ROOF-01</t>
  </si>
  <si>
    <t>Sun Shade</t>
  </si>
  <si>
    <t>ES-03 - Sun shading device fixed to slab edge</t>
  </si>
  <si>
    <t>L/26</t>
  </si>
  <si>
    <t>Level 3 (A1005-A)</t>
  </si>
  <si>
    <t>Bird-Proofing Mesh</t>
  </si>
  <si>
    <t>Safety Mesh, to ANZ Standard</t>
  </si>
  <si>
    <t>L/27</t>
  </si>
  <si>
    <t>Support Mesh</t>
  </si>
  <si>
    <t>L/28</t>
  </si>
  <si>
    <t>Flashings and Cappings</t>
  </si>
  <si>
    <t>Cappings</t>
  </si>
  <si>
    <t>Lysaght folded colourbond steel to form hip capping in Dulux duratec colour; Formed BMT: 0.48</t>
  </si>
  <si>
    <t>L/29</t>
  </si>
  <si>
    <t>Lysaght folded colourbond steel to form ridge capping in Dulux duratec colour; Formed BMT: 0.48</t>
  </si>
  <si>
    <t>L/30</t>
  </si>
  <si>
    <t>Gutters and Downpipes</t>
  </si>
  <si>
    <t>100mm dia Lysaght colourbond downpipe</t>
  </si>
  <si>
    <t>L/31</t>
  </si>
  <si>
    <t>150mm dia Lysaght colourbond downpipe</t>
  </si>
  <si>
    <t>L/32</t>
  </si>
  <si>
    <t>150mm half round Lysaght colourbond eaves gutter including flashings and cappings; BMT: 06</t>
  </si>
  <si>
    <t>L/33</t>
  </si>
  <si>
    <t>200mm half round Lysaght colourbond eaves gutter including flashings and cappings; BMT: 06</t>
  </si>
  <si>
    <t>L/34</t>
  </si>
  <si>
    <t>200x200mm deep Lysaght colourbond eaves gutter including flashings and cappings; BMT: 06</t>
  </si>
  <si>
    <t>L/35</t>
  </si>
  <si>
    <t>Custom gutter profile (NB: No details provided)</t>
  </si>
  <si>
    <t>L/36</t>
  </si>
  <si>
    <t>Downpipe Spreader</t>
  </si>
  <si>
    <t>L/37</t>
  </si>
  <si>
    <t>Leaf Guard to Eaves Gutter</t>
  </si>
  <si>
    <t>L/38</t>
  </si>
  <si>
    <t>Leaf Guard to custom gutter profile (NB: No details provided)</t>
  </si>
  <si>
    <t>L/39</t>
  </si>
  <si>
    <t>OF Overflow</t>
  </si>
  <si>
    <t>L/40</t>
  </si>
  <si>
    <t>Level 4 (A1007-A)</t>
  </si>
  <si>
    <t>L/41</t>
  </si>
  <si>
    <t>Skylights</t>
  </si>
  <si>
    <t>SKYLIGHT-01 - 2000mm dia skylight, Code: GCSL2000AU-DG, Supplier: Skyspan</t>
  </si>
  <si>
    <t>L/42</t>
  </si>
  <si>
    <t>SKYLIGHT-02 - 100mm dia skylight, Code: GCSL1600AU-DG, Supplier: Skyspan</t>
  </si>
  <si>
    <t>L/43</t>
  </si>
  <si>
    <t>Back tray flashing to skylight</t>
  </si>
  <si>
    <t>L/44</t>
  </si>
  <si>
    <t>Roof Safety System</t>
  </si>
  <si>
    <t>L/45</t>
  </si>
  <si>
    <t>Roof access safety system including but not limited to ladder, walkways and safety anchor systems</t>
  </si>
  <si>
    <t>L/46</t>
  </si>
  <si>
    <t>Level 3 (A1006-A)</t>
  </si>
  <si>
    <t>L/47</t>
  </si>
  <si>
    <t>Roof (A1010-A)</t>
  </si>
  <si>
    <t>L/48</t>
  </si>
  <si>
    <t>L/49</t>
  </si>
  <si>
    <t>Curve Cutting to ROOF-01</t>
  </si>
  <si>
    <t>L/50</t>
  </si>
  <si>
    <t>L/51</t>
  </si>
  <si>
    <t>L/52</t>
  </si>
  <si>
    <t>L/53</t>
  </si>
  <si>
    <t>Flashings</t>
  </si>
  <si>
    <t>Lysaght folded colourbond steel to form flashing between roof and wall in Dulux duratec colour; Formed BMT: 0.48</t>
  </si>
  <si>
    <t>L/54</t>
  </si>
  <si>
    <t>Lysaght folded colourbond steel to form barge capping in Dulux duratec colour; Formed BMT: 0.48</t>
  </si>
  <si>
    <t>L/55</t>
  </si>
  <si>
    <t>L/56</t>
  </si>
  <si>
    <t>L/57</t>
  </si>
  <si>
    <t>L/58</t>
  </si>
  <si>
    <t>L/59</t>
  </si>
  <si>
    <t>L/60</t>
  </si>
  <si>
    <t>300x200mm deep Lysaght colourbond eaves gutter including flashings and cappings; BMT: 06</t>
  </si>
  <si>
    <t>L/61</t>
  </si>
  <si>
    <t>L/62</t>
  </si>
  <si>
    <t>L/63</t>
  </si>
  <si>
    <t>L/64</t>
  </si>
  <si>
    <t>L/65</t>
  </si>
  <si>
    <t>L/66</t>
  </si>
  <si>
    <t>L/67</t>
  </si>
  <si>
    <t>L/68</t>
  </si>
  <si>
    <t>L/69</t>
  </si>
  <si>
    <t>TOTAL ROOFING &amp; ROOF PLUMBING</t>
  </si>
  <si>
    <t>M</t>
  </si>
  <si>
    <t>FAÇADE - MASONRY/BLOCKWORK</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</si>
  <si>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</si>
  <si>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</si>
  <si>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</si>
  <si>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</si>
  <si>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</si>
  <si>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</si>
  <si>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</si>
  <si>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</si>
  <si>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</si>
  <si>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</si>
  <si>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</si>
  <si>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</si>
  <si>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</si>
  <si>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</si>
  <si>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</si>
  <si>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</si>
  <si>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</si>
  <si>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</si>
  <si>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</si>
  <si>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</si>
  <si>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</si>
  <si>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</si>
  <si>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</si>
  <si>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</si>
  <si>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</si>
  <si>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</si>
  <si>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</si>
  <si>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</si>
  <si>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</si>
  <si>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</si>
  <si>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BLK01 and BLK02 must be stacked in a ratio of two layers of BLK01 to one layer of BLK02, refer to DWG No. A4007-A for pattern and coursing.</t>
  </si>
  <si>
    <t>External Blockwork Wall</t>
  </si>
  <si>
    <t>External Blockwall up to 3.0m high</t>
  </si>
  <si>
    <t>WT-02e - 140mm thick reinforced blockwork with FC cladding to 90mm thick insulated brickwall; Smooth finish; Austral Grey Blocks (NB: FC cladding and brickwall measured separately)</t>
  </si>
  <si>
    <t>M/31</t>
  </si>
  <si>
    <t>WT-02d - 140mm thick reinforced blockwork to 90mm thick insulated brickwall; Smooth finish; Austral Grey Blocks (NB: FC cladding and brickwall measured separately)</t>
  </si>
  <si>
    <t>M/32</t>
  </si>
  <si>
    <t>Corefilling to External Blockwork Wall</t>
  </si>
  <si>
    <t>Corefilling  to External Blockwall up to 3.0m high</t>
  </si>
  <si>
    <t>Corefilling to WT-02e - 140mm thick reinforced blockwork wall; 20MPa, 250mm slump, 10mm max aggregate size; Assumed 0.1m3/m2 corefilling</t>
  </si>
  <si>
    <t>M/33</t>
  </si>
  <si>
    <t>Corefilling to WT-02d - 140mm thick reinforced blockwork wall; 20MPa, 250mm slump, 10mm max aggregate size; Assumed 0.1m3/m2 corefilling</t>
  </si>
  <si>
    <t>M/34</t>
  </si>
  <si>
    <t>Bar Reinforcement to External Blockwork Wall (By Ratio)</t>
  </si>
  <si>
    <t>Bar reinforcement to External Blockwall up to 3.0m high</t>
  </si>
  <si>
    <t>Bar reinforcement to WT-02e - 140mm thick reinforced blockwork wall; Assumed REO Rate: 60kg/m3</t>
  </si>
  <si>
    <t>M/35</t>
  </si>
  <si>
    <t>Bar reinforcement to WT-02d - 140mm thick reinforced blockwork wall; Assumed REO Rate: 60kg/m3</t>
  </si>
  <si>
    <t>M/36</t>
  </si>
  <si>
    <t>Additional labour and set out for splayed wall</t>
  </si>
  <si>
    <t>Extra Over to lay blocks to splay (115 degrees)</t>
  </si>
  <si>
    <t>M/37</t>
  </si>
  <si>
    <t>Extra Over to lay blocks to splay (145 degrees)</t>
  </si>
  <si>
    <t>M/38</t>
  </si>
  <si>
    <t>External Brickwork Wall</t>
  </si>
  <si>
    <t>Brickwall up to 3.0m high</t>
  </si>
  <si>
    <t>WT-02e - 390x190x90mm thick BLK-01 - Solid honed full height and 390x90x90mm thick BLK-02 - Solid honed half height in stretcher bond pattern with 40mm thick INSUL-08 rigid board insulation (NB: BLK01 and BLK02 must be stacked in a ratio of two layers of BLK01 to one layer of BLK02, INSUL-08 measured separately)</t>
  </si>
  <si>
    <t>M/39</t>
  </si>
  <si>
    <t>WT-02d - 390x190x90mm thick BLK-01 - Solid honed full height and 390x90x90mm thick BLK-02 - Solid honed half height in stretcher bond pattern with 40mm thick INSUL-08 rigid board insulation (NB: BLK01 and BLK02 must be stacked in a ratio of two layers of BLK01 to one layer of BLK02, INSUL-08 measured separately)</t>
  </si>
  <si>
    <t>M/40</t>
  </si>
  <si>
    <t>WT-02 - 390x190x90mm thick BLK-01 - Solid honed full height and 390x90x90mm thick BLK-02 - Solid honed half height in stretcher bond pattern with 40mm thick rigid board insulation, FRL 120/120/120 (NB: BLK01 and BLK02 must be stacked in a ratio of two layers of BLK01 to one layer of BLK02, INSUL-08 measured separately)</t>
  </si>
  <si>
    <t>M/41</t>
  </si>
  <si>
    <t>WT-02a - 390x190x90mm thick BLK-01 - Solid honed full height and 390x90x90mm thick BLK-02 - Solid honed half height in stretcher bond pattern (NB: BLK01 and BLK02 must be stacked in a ratio of two layers of BLK01 to one layer of BLK02)</t>
  </si>
  <si>
    <t>M/42</t>
  </si>
  <si>
    <t>Extra Over to lay bricks to splay (73.5 degrees)</t>
  </si>
  <si>
    <t>M/43</t>
  </si>
  <si>
    <t>Extra Over to lay bricks to splay (115 degrees)</t>
  </si>
  <si>
    <t>M/44</t>
  </si>
  <si>
    <t>Extra Over to lay bricks to splay (145 degrees)</t>
  </si>
  <si>
    <t>M/45</t>
  </si>
  <si>
    <t>Accessories to External Brickworks</t>
  </si>
  <si>
    <t>M/46</t>
  </si>
  <si>
    <t>Cleaning of BL1 and BL2 brickwalls</t>
  </si>
  <si>
    <t>M/47</t>
  </si>
  <si>
    <t>Allowance for joints to BL1 and BL2 brickwalls</t>
  </si>
  <si>
    <t>M/48</t>
  </si>
  <si>
    <t>Lintels for BL1 and BL2 openings</t>
  </si>
  <si>
    <t>M/49</t>
  </si>
  <si>
    <t>Level 1 (A1202-A)</t>
  </si>
  <si>
    <t>Brickwall with total height from 3.0m - 4.0m</t>
  </si>
  <si>
    <t>M/50</t>
  </si>
  <si>
    <t>WT-02c - 390x190x90mm thick BLK-01 - Solid honed full height and 390x90x90mm thick BLK-02 - Solid honed half height in stretcher bond pattern with 40mm thick INSUL-08 rigid board insulation, FRL 120/120/120 (NB: BLK01 and BLK02 must be stacked in a ratio of two layers of BLK01 to one layer of BLK02, INSUL-08 measured separately)</t>
  </si>
  <si>
    <t>M/51</t>
  </si>
  <si>
    <t>M/52</t>
  </si>
  <si>
    <t>Level 3 (A1206-A)</t>
  </si>
  <si>
    <t>Brickwall with total height from 4.0m - 5.0m</t>
  </si>
  <si>
    <t>M/53</t>
  </si>
  <si>
    <t>M/54</t>
  </si>
  <si>
    <t>Level 2 (A1204-A)</t>
  </si>
  <si>
    <t>WT-02b - 390x190x90mm thick BLK-01 - Solid honed full height and 390x90x90mm thick BLK-02 - Solid honed half height in stretcher bond pattern with 40mm thick INSUL-08 rigid board insulation (NB: BLK01 and BLK02 must be stacked in a ratio of two layers of BLK01 to one layer of BLK02, INSUL-08 measured separately)</t>
  </si>
  <si>
    <t>M/55</t>
  </si>
  <si>
    <t>M/56</t>
  </si>
  <si>
    <t>Capping stone on top of Walls (NB: Refer to DWG. No. A4005-A for Wall Section Details)</t>
  </si>
  <si>
    <t>Brickwall with total height from 5.0m - 6.0m</t>
  </si>
  <si>
    <t>M/57</t>
  </si>
  <si>
    <t>Extra Over to lay bricks to splay (110 degrees)</t>
  </si>
  <si>
    <t>M/58</t>
  </si>
  <si>
    <t>Extra Over to lay bricks to splay (120 degrees)</t>
  </si>
  <si>
    <t>M/59</t>
  </si>
  <si>
    <t>Extra Over to lay bricks to splay (135 degrees)</t>
  </si>
  <si>
    <t>M/60</t>
  </si>
  <si>
    <t>M/61</t>
  </si>
  <si>
    <t>Extra Over to lay bricks to splay (150 degrees)</t>
  </si>
  <si>
    <t>M/62</t>
  </si>
  <si>
    <t>Additional labour and set out for curved wall</t>
  </si>
  <si>
    <t>Extra Over to lay bricks to curve (2931mm radius)</t>
  </si>
  <si>
    <t>M/63</t>
  </si>
  <si>
    <t>M/64</t>
  </si>
  <si>
    <t>M/65</t>
  </si>
  <si>
    <t>M/66</t>
  </si>
  <si>
    <t>TOTAL FAÇADE - MASONRY/BLOCKWORK</t>
  </si>
  <si>
    <t>N</t>
  </si>
  <si>
    <t>FAÇADE - GLAZING</t>
  </si>
  <si>
    <t>N/1</t>
  </si>
  <si>
    <t>N/2</t>
  </si>
  <si>
    <t>N/3</t>
  </si>
  <si>
    <t>Refer to following architectural drawing series: A0130 for "GA Plans", A100 for "North and South GA Plan", A2000 for "Elevations", A3000 for "Sections", A6000 for "External Glazing Suite"</t>
  </si>
  <si>
    <t>N/4</t>
  </si>
  <si>
    <t>N/5</t>
  </si>
  <si>
    <t>All shop fabrication work</t>
  </si>
  <si>
    <t>N/6</t>
  </si>
  <si>
    <t>N/7</t>
  </si>
  <si>
    <t>Frames, mullions, transoms, glazing bars, beads and trims</t>
  </si>
  <si>
    <t>N/8</t>
  </si>
  <si>
    <t>Cover plates within and between window units</t>
  </si>
  <si>
    <t>N/9</t>
  </si>
  <si>
    <t>Window and door hardware</t>
  </si>
  <si>
    <t>N/10</t>
  </si>
  <si>
    <t>Chain winders if required</t>
  </si>
  <si>
    <t>N/11</t>
  </si>
  <si>
    <t>Caulking and pointing</t>
  </si>
  <si>
    <t>N/12</t>
  </si>
  <si>
    <t>Flashings and weather bars</t>
  </si>
  <si>
    <t>N/13</t>
  </si>
  <si>
    <t>Glass and glazing</t>
  </si>
  <si>
    <t>N/14</t>
  </si>
  <si>
    <t>Sub-sills and sub-heads</t>
  </si>
  <si>
    <t>N/15</t>
  </si>
  <si>
    <t>Packers</t>
  </si>
  <si>
    <t>N/16</t>
  </si>
  <si>
    <t>Touching up surface treatment where damaged</t>
  </si>
  <si>
    <t>N/17</t>
  </si>
  <si>
    <t>N/18</t>
  </si>
  <si>
    <t>Allow for shop drawings as required</t>
  </si>
  <si>
    <t>N/19</t>
  </si>
  <si>
    <t>Allow for providing samples of materials or finishes as required</t>
  </si>
  <si>
    <t>N/20</t>
  </si>
  <si>
    <t>N/21</t>
  </si>
  <si>
    <t>N/22</t>
  </si>
  <si>
    <t>Allow for providing shop drawings</t>
  </si>
  <si>
    <t>N/23</t>
  </si>
  <si>
    <t>Allow for protecting finished surfaces</t>
  </si>
  <si>
    <t>N/24</t>
  </si>
  <si>
    <t>Allow for covering and protecting surfaces from weather and building operations</t>
  </si>
  <si>
    <t>N/25</t>
  </si>
  <si>
    <t>N/26</t>
  </si>
  <si>
    <t>Allow for warranties</t>
  </si>
  <si>
    <t>External Windows</t>
  </si>
  <si>
    <t>Fixed Glazed Window</t>
  </si>
  <si>
    <t>N/27</t>
  </si>
  <si>
    <t>T7 - 2700x1600mm wide fixed glazed window with aluminium frame in powdercoated finish (Area of 1 window panel = 4.32m2)</t>
  </si>
  <si>
    <t>Glazing Unit</t>
  </si>
  <si>
    <t>N/28</t>
  </si>
  <si>
    <t>T1 - 2700x5300mm wide glazing unit with aluminium frame in powdercoated finish including 2700x2650 mm wide double sliding glazed door, fixed window (Area of 1 glazing unit = 14.31m2)</t>
  </si>
  <si>
    <t>N/29</t>
  </si>
  <si>
    <t>T2 - 2700x7000mm wide glazing unit with aluminium frame in powdercoated finish including 2700x2950 mm wide double sliding glazed door, 2700x1000 mm single swing glazed door, fixed window (Area of 1 glazing unit = 18.9m2)</t>
  </si>
  <si>
    <t>N/30</t>
  </si>
  <si>
    <t>T10 - 2700x6750mm wide glazing unit with aluminium frame in powdercoated finish including 2700x2100 mm wide double swing glazed door, fixed window (Area of 1 glazing unit = 18.23m2)</t>
  </si>
  <si>
    <t>N/31</t>
  </si>
  <si>
    <t>T11 - 2700x2000mm wide glazing unit with aluminium frame in powdercoated finish including 2700x1000 mm wide single swing glazed door, fixed window (Area of 1 glazing unit = 5.4m2)</t>
  </si>
  <si>
    <t>N/32</t>
  </si>
  <si>
    <t>T23C - 2500x900mm wide fixed glazed window with aluminium frame in powdercoated finish including 400x900mm wide colourback glass (Area of 1 window panel = 2.25m2)</t>
  </si>
  <si>
    <t>N/33</t>
  </si>
  <si>
    <t>T39 - 12106x7618mm wide fixed glazed window with aluminium frame in powdercoated finish (Area of 1 window panel = 92.22m2)</t>
  </si>
  <si>
    <t>N/34</t>
  </si>
  <si>
    <t>T43 - 2540x26066mm wide fixed glazed window with aluminium frame in powdercoated finish including 2540x1303mm wide colourback glass (Area of 1 window panel = 66.21m2)</t>
  </si>
  <si>
    <t>N/35</t>
  </si>
  <si>
    <t>T45 - 2140x5000mm wide fixed glazed window with aluminium frame in powdercoated finish including two 2140x840mm wide awning window (Area of 1 window panel = 10.7m2)</t>
  </si>
  <si>
    <t>N/36</t>
  </si>
  <si>
    <t>T46 - 2150x3500mm wide fixed glazed window with aluminium frame in powdercoated finish (Area of 1 window panel = 7.53m2)</t>
  </si>
  <si>
    <t>N/37</t>
  </si>
  <si>
    <t>T48 - 1950x5800mm wide fixed glazed window with aluminium frame in powdercoated finish including two 1950x970mm wide awning window (Area of 1 window panel = 11.31m2)</t>
  </si>
  <si>
    <t>N/38</t>
  </si>
  <si>
    <t>T49 - 2600x500mm wide fixed glazed window with aluminium frame in powdercoated finish (Area of 1 window panel = 1.3m2)</t>
  </si>
  <si>
    <t>N/39</t>
  </si>
  <si>
    <t>T23 - 2500x900mm wide glazing unit with aluminium frame in powdercoated finish, fixed window including 400x900mm wide weatherproof aluminium louvre (Area of 1 glazing unit = 2.25m2)</t>
  </si>
  <si>
    <t>N/40</t>
  </si>
  <si>
    <t>T23A - 2500x900mm wide glazing unit with aluminium frame in powdercoated finish including fixed window, operable window (Area of 1 glazing unit = 2.25m2)</t>
  </si>
  <si>
    <t>N/41</t>
  </si>
  <si>
    <t>T23B - 2500x900mm wide glazing unit with aluminium frame in powdercoated finish, fixed window, operable window including 400x900mm wide weatherproof aluminium louvre (Area of 1 glazing unit = 2.25m2)</t>
  </si>
  <si>
    <t>N/42</t>
  </si>
  <si>
    <t>T24 - 2250x1000mm wide glazing unit with aluminium frame in powdercoated finish including fixed window, operable window including 500x1000mm wide colourback glass (Area of 1 glazing unit = 2.25m2)</t>
  </si>
  <si>
    <t>N/43</t>
  </si>
  <si>
    <t>T25 - 2500x2750mm wide glazing unit with aluminium frame in powdercoated finish including , awning window, fixed window including 400x2750mm wide colourback glass (Area of 1 glazing unit = 6.88m2)</t>
  </si>
  <si>
    <t>N/44</t>
  </si>
  <si>
    <t>T25B - 2500x2750mm wide glazing unit with aluminium frame in powdercoated finish, awning window, fixed window including 400x1834mm wide colourback glass and 400x917mm wide weatherproof aluminium louvre (Area of 1 glazing unit = 6.88m2)</t>
  </si>
  <si>
    <t>N/45</t>
  </si>
  <si>
    <t>T25C - 2500x2750mm wide glazing unit with aluminium frame in powdercoated finish, awning window, fixed window including 400x1834mm wide colourback glass and 400x917mm wide weatherproof aluminium louvre (Area of 1 glazing unit = 6.88m2)</t>
  </si>
  <si>
    <t>N/46</t>
  </si>
  <si>
    <t>T26B - 2500x1850mm wide glazing unit with aluminium frame in powdercoated finish, fixed window including 400x925mm wide colourback glass and 400x925mm wide weatherproof aluminium louvre (Area of 1 glazing unit = 4.63m2)</t>
  </si>
  <si>
    <t>N/47</t>
  </si>
  <si>
    <t>T26C - 2500x1850mm wide glazing unit with aluminium frame in powdercoated finish, fixed window including 400x925mm wide colourback glass and 400x925mm wide weatherproof aluminium louvre (Area of 1 glazing unit = 4.63m2)</t>
  </si>
  <si>
    <t>N/48</t>
  </si>
  <si>
    <t>T26E - 2500x1850mm wide glazing unit with aluminium frame in powdercoated finish including fixed window, operable window including 400x1850mm wide colourback glass (Area of 1 glazing unit = 4.63m2)</t>
  </si>
  <si>
    <t>N/49</t>
  </si>
  <si>
    <t>T26F - 2500x1850mm wide glazing unit with aluminium frame in powdercoated finish, fixed window, operable window including 400x925mm wide colourback glass and 400x925mm wide weatherproof aluminium louvre (Area of 1 glazing unit = 4.63m2)</t>
  </si>
  <si>
    <t>N/50</t>
  </si>
  <si>
    <t>T29 - 2300x900mm wide glazing unit with aluminium frame in powdercoated finish including fixed window, operable window (Area of 1 glazing unit = 2.07m2)</t>
  </si>
  <si>
    <t>N/51</t>
  </si>
  <si>
    <t>N/52</t>
  </si>
  <si>
    <t>T26 - 2500x1850mm wide fixed glazed window with aluminium frame in powdercoated finish including 400x1850mm wide colourback glass (Area of 1 window panel = 4.63m2)</t>
  </si>
  <si>
    <t>N/53</t>
  </si>
  <si>
    <t>T45 - 1800x5000mm wide fixed glazed window with aluminium frame in powdercoated finish two 1800x840mm wide awning window (Area of 1 window panel = 9m2)</t>
  </si>
  <si>
    <t>N/54</t>
  </si>
  <si>
    <t>T46 - 1800x3500mm wide fixed glazed window with aluminium frame in powdercoated finish (Area of 1 window panel = 6.3m2)</t>
  </si>
  <si>
    <t>N/55</t>
  </si>
  <si>
    <t>T48 - 1800x5800mm wide fixed glazed window with aluminium frame in powdercoated finish including two 1800x970mm wide awning window (Area of 1 window panel = 10.44m2)</t>
  </si>
  <si>
    <t>N/56</t>
  </si>
  <si>
    <t>N/57</t>
  </si>
  <si>
    <t>N/58</t>
  </si>
  <si>
    <t>N/59</t>
  </si>
  <si>
    <t>N/60</t>
  </si>
  <si>
    <t>N/61</t>
  </si>
  <si>
    <t>N/62</t>
  </si>
  <si>
    <t>N/63</t>
  </si>
  <si>
    <t>N/64</t>
  </si>
  <si>
    <t>T26A - 2500x1850mm wide glazing unit with aluminium frame in powdercoated finish including , awning window, fixed window including 400x1850mm wide colourback glass (Area of 1 glazing unit = 4.63m2)</t>
  </si>
  <si>
    <t>N/65</t>
  </si>
  <si>
    <t>T26D - 2500x1850mm wide glazing unit with aluminium frame in powdercoated finish, awning window, fixed window including 400x925mm wide colourback glass and 400x925mm wide weatherproof aluminium louvre (Area of 1 glazing unit = 4.63m2)</t>
  </si>
  <si>
    <t>N/66</t>
  </si>
  <si>
    <t>N/67</t>
  </si>
  <si>
    <t>T27 - 2500x6650mm wide glazing unit with aluminium frame in powdercoated finish including  (Area of 1 glazing unit = 16.63m2)</t>
  </si>
  <si>
    <t>N/68</t>
  </si>
  <si>
    <t>T28 - 2500x8100mm wide glazing unit with aluminium frame in powdercoated finish including 2500x1800 mm wide double swing glazed door, fixed window (Area of 1 glazing unit = 20.25m2)</t>
  </si>
  <si>
    <t>N/69</t>
  </si>
  <si>
    <t>T37 - 2100x900mm wide glazing unit with aluminium frame in powdercoated finish including fixed window, operable window including 400x900mm wide colourback glass (Area of 1 glazing unit = 1.89m2)</t>
  </si>
  <si>
    <t>N/70</t>
  </si>
  <si>
    <t>T38A - 2100x2750mm wide glazing unit with aluminium frame in powdercoated finish including , awning window, fixed window including 400x2750mm wide colourback glass (Area of 1 glazing unit = 5.78m2)</t>
  </si>
  <si>
    <t>N/71</t>
  </si>
  <si>
    <t>T38B - 2100x2750mm wide glazing unit with aluminium frame in powdercoated finish including 400x1834mm wide colourback glass and 400x917mm wide weatherproof aluminium louvre (Area of 1 glazing unit = 5.78m2)</t>
  </si>
  <si>
    <t>N/72</t>
  </si>
  <si>
    <t>T32 - 3550x500mm wide glazing unit with aluminium frame in powdercoated finish including 350mm high louvre (Area of 1 glazing unit = 1.78m2)</t>
  </si>
  <si>
    <t>N/73</t>
  </si>
  <si>
    <t>T32B - 3550x500mm wide glazing unit with aluminium frame in powdercoated finish including 350mm high colourback glass (Area of 1 glazing unit = 1.78m2)</t>
  </si>
  <si>
    <t>N/74</t>
  </si>
  <si>
    <t>N/75</t>
  </si>
  <si>
    <t>T32A - 3550x500mm wide glazing unit with aluminium frame in powdercoated finish including 1200mm high fixed window and 350mm high louvre (Area of 1 glazing unit = 1.78m2)</t>
  </si>
  <si>
    <t>N/76</t>
  </si>
  <si>
    <t>T32C - 3550x500mm wide glazing unit with aluminium frame in powdercoated finish including 1200mm high fixed window including 350mm high colourback glass (Area of 1 glazing unit = 1.78m2)</t>
  </si>
  <si>
    <t>N/77</t>
  </si>
  <si>
    <t>T33 - 3000x7500mm wide glazing unit with aluminium frame in powdercoated finish including 3000x5000 mm wide multiple sliding glazed door, fixed window (Area of 1 glazing unit = 22.5m2)</t>
  </si>
  <si>
    <t>N/78</t>
  </si>
  <si>
    <t>T35 - 3000x6600mm wide glazing unit with aluminium frame in powdercoated finish including 3000x1000 mm wide single swing glazed door, 3000x3950 mm folding glazed door, awning window, fixed window (Area of 1 glazing unit = 19.8m2)</t>
  </si>
  <si>
    <t>External Glazed Doors</t>
  </si>
  <si>
    <t>Swing Glazed Doors</t>
  </si>
  <si>
    <t>N/79</t>
  </si>
  <si>
    <t>2700x1000mm wide single leaf swing glazed door with aluminium frame in powdercoated finish (Area of 1 door panel = 2.7m2)</t>
  </si>
  <si>
    <t>N/80</t>
  </si>
  <si>
    <t>2700x3700mm wide multiple leaf folding glazed door with aluminium frame in powdercoated finish (Area of 1 door panel = 9.99m2)</t>
  </si>
  <si>
    <t>N/81</t>
  </si>
  <si>
    <t>2700x2800mm wide multiple leaf folding glazed door with aluminium frame in powdercoated finish (Area of 1 door panel = 7.56m2)</t>
  </si>
  <si>
    <t>N/82</t>
  </si>
  <si>
    <t>2700x5250mm wide multiple leaf folding glazed door with aluminium frame in powdercoated finish (Area of 1 door panel = 14.18m2)</t>
  </si>
  <si>
    <t>Roller Glazed Doors</t>
  </si>
  <si>
    <t>N/83</t>
  </si>
  <si>
    <t>T30 - 1700x5000mm wide roller shutter monarch hydraulic two-leaf door including frame, drum, hardware, fixings and support required (Area of 1 glazing unit = 8.5m2)</t>
  </si>
  <si>
    <t>Swing Fire Rated Glazed Doors</t>
  </si>
  <si>
    <t>N/84</t>
  </si>
  <si>
    <t>3000x1900mm wide double leaf swing fire rated glazed door with aluminium frame in powdercoated finish (Area of 1 door panel = 5.7m2)</t>
  </si>
  <si>
    <t>Films to Door</t>
  </si>
  <si>
    <t>N/85</t>
  </si>
  <si>
    <t>FILM-01 - 100mm high frosted film strip</t>
  </si>
  <si>
    <t>N/86</t>
  </si>
  <si>
    <t>Supply and Installation of Aluminium Frame</t>
  </si>
  <si>
    <t>Supply and Installation of aluminium frame to External Doors</t>
  </si>
  <si>
    <t>N/87</t>
  </si>
  <si>
    <t>Supply and Installation of anodized aluminium frame to external single leaf swing solid core door</t>
  </si>
  <si>
    <t>N/88</t>
  </si>
  <si>
    <t>Supply and Installation of anodized aluminium frame to external double leaf swing solid core door</t>
  </si>
  <si>
    <t>N/89</t>
  </si>
  <si>
    <t>N/90</t>
  </si>
  <si>
    <t>T3 - 1200mm diameter fixed glazed window with aluminium frame in powdercoated finish (Area of 1 window panel = 1.13m2)</t>
  </si>
  <si>
    <t>N/91</t>
  </si>
  <si>
    <t>T6 - 1600mm diameter fixed glazed window with aluminium frame in powdercoated finish (Area of 1 window panel = 2.01m2)</t>
  </si>
  <si>
    <t>N/92</t>
  </si>
  <si>
    <t>T8 - 2000x1000mm wide fixed glazed window with aluminium frame in powdercoated finish (Area of 1 window panel = 2.m2)</t>
  </si>
  <si>
    <t>N/93</t>
  </si>
  <si>
    <t>T13 - 2200x7080mm wide fixed glazed window with aluminium frame in powdercoated finish (Area of 1 window panel = 15.58m2)</t>
  </si>
  <si>
    <t>N/94</t>
  </si>
  <si>
    <t>T15 - 2400x2400mm wide fixed glazed window with aluminium frame in powdercoated finish (Area of 1 window panel = 5.76m2)</t>
  </si>
  <si>
    <t>N/95</t>
  </si>
  <si>
    <t>T18 - 1400x2600mm wide fixed glazed window with aluminium frame in powdercoated finish (Area of 1 window panel = 3.64m2)</t>
  </si>
  <si>
    <t>N/96</t>
  </si>
  <si>
    <t>T20 - 2400x7360mm wide fixed glazed window with aluminium frame in powdercoated finish (Area of 1 window panel = 17.66m2)</t>
  </si>
  <si>
    <t>N/97</t>
  </si>
  <si>
    <t>T21 - 2000x2600mm wide fixed glazed window with aluminium frame in powdercoated finish (Area of 1 window panel = 5.2m2)</t>
  </si>
  <si>
    <t>N/98</t>
  </si>
  <si>
    <t>T31 - 4200x1500mm wide fixed glazed window with aluminium frame in powdercoated finish (Area of 1 window panel = 6.3m2)</t>
  </si>
  <si>
    <t>N/99</t>
  </si>
  <si>
    <t>T42 - 1800x2600mm wide fixed glazed window with aluminium frame in powdercoated finish (Area of 1 window panel = 4.68m2)</t>
  </si>
  <si>
    <t>N/100</t>
  </si>
  <si>
    <t>T12 - 4200x3300mm wide glazing unit with aluminium frame in powdercoated finish including 2700x2100 mm wide double swing glazed door, fixed window (Area of 1 glazing unit = 13.86m2)</t>
  </si>
  <si>
    <t>N/101</t>
  </si>
  <si>
    <t>T14 - 1600x5200mm wide glazing unit with aluminium frame in powdercoated finish including , awning window, fixed window (Area of 1 glazing unit = 8.32m2)</t>
  </si>
  <si>
    <t>N/102</t>
  </si>
  <si>
    <t>T16 - 2400x4200mm wide glazing unit with aluminium frame in powdercoated finish including 2400x2100 mm wide double swing glazed door, fixed window (Area of 1 glazing unit = 10.08m2)</t>
  </si>
  <si>
    <t>N/103</t>
  </si>
  <si>
    <t>T17 - 800x4700mm wide glazing unit with aluminium frame in powdercoated finish including , awning window, fixed window (Area of 1 glazing unit = 3.76m2)</t>
  </si>
  <si>
    <t>N/104</t>
  </si>
  <si>
    <t>T19 - 2700x4300mm wide glazing unit with aluminium frame in powdercoated finish including 2700x1000 mm wide single swing glazed door, fixed window (Area of 1 glazing unit = 11.61m2)</t>
  </si>
  <si>
    <t>N/105</t>
  </si>
  <si>
    <t>T22 - 2700x2640mm wide glazing unit with aluminium frame in powdercoated finish including 2700x2000 mm wide double swing glazed door, fixed window (Area of 1 glazing unit = 7.13m2)</t>
  </si>
  <si>
    <t>N/106</t>
  </si>
  <si>
    <t>N/107</t>
  </si>
  <si>
    <t>N/108</t>
  </si>
  <si>
    <t>T40 - 9260x3582mm wide fixed glazed window with aluminium frame in powdercoated finish (Area of 1 window panel = 33.17m2)</t>
  </si>
  <si>
    <t>N/109</t>
  </si>
  <si>
    <t>T41 - 7450x3680mm wide fixed glazed window with aluminium frame in powdercoated finish (Area of 1 window panel = 27.42m2)</t>
  </si>
  <si>
    <t>N/110</t>
  </si>
  <si>
    <t>T47 - 3040x3350mm wide fixed glazed window with aluminium frame in powdercoated finish (Area of 1 window panel = 10.18m2)</t>
  </si>
  <si>
    <t>N/111</t>
  </si>
  <si>
    <t>N/112</t>
  </si>
  <si>
    <t>N/113</t>
  </si>
  <si>
    <t>T25A - 2500x2750mm wide glazing unit with aluminium frame in powdercoated finish, awning window, fixed window, operable window including 400x1834mm wide colourback glass and 400x917mm wide weatherproof aluminium louvre (Area of 1 glazing unit = 6.88m2)</t>
  </si>
  <si>
    <t>N/114</t>
  </si>
  <si>
    <t>N/115</t>
  </si>
  <si>
    <t>N/116</t>
  </si>
  <si>
    <t>T25D - 2500x2750mm wide glazing unit with aluminium frame in powdercoated finish, awning window, fixed window including 400x1834mm wide colourback glass and 400x917mm wide weatherproof aluminium louvre (Area of 1 glazing unit = 6.88m2)</t>
  </si>
  <si>
    <t>N/117</t>
  </si>
  <si>
    <t>N/118</t>
  </si>
  <si>
    <t>N/119</t>
  </si>
  <si>
    <t>N/120</t>
  </si>
  <si>
    <t>N/121</t>
  </si>
  <si>
    <t>N/122</t>
  </si>
  <si>
    <t>T44 - 3800x6240mm wide glazing unit with aluminium frame in powdercoated finish including 2400x1950mm wide double swing door including 1400x6240mm wide colourback glass (Area of 1 glazing unit = 23.72m2)</t>
  </si>
  <si>
    <t>N/123</t>
  </si>
  <si>
    <t>N/124</t>
  </si>
  <si>
    <t>T47A - 1800x3350mm wide fixed glazed window with aluminium frame in powdercoated finish including 2 1800x840mm wide awning window (Area of 1 window panel = 10.18m2)</t>
  </si>
  <si>
    <t>N/125</t>
  </si>
  <si>
    <t>N/126</t>
  </si>
  <si>
    <t>N/127</t>
  </si>
  <si>
    <t>N/128</t>
  </si>
  <si>
    <t>N/129</t>
  </si>
  <si>
    <t>N/130</t>
  </si>
  <si>
    <t>N/131</t>
  </si>
  <si>
    <t>N/132</t>
  </si>
  <si>
    <t>N/133</t>
  </si>
  <si>
    <t>N/134</t>
  </si>
  <si>
    <t>N/135</t>
  </si>
  <si>
    <t>N/136</t>
  </si>
  <si>
    <t>N/137</t>
  </si>
  <si>
    <t>N/138</t>
  </si>
  <si>
    <t>TOTAL FAÇADE - GLAZING</t>
  </si>
  <si>
    <t>O</t>
  </si>
  <si>
    <t>FAÇADE - CLADDING</t>
  </si>
  <si>
    <t>O/1</t>
  </si>
  <si>
    <t>Tenderers are referred to the Specification for the full particulars of workmanship and materials and the quantities herein provided shall be read in conjunction with the drawings</t>
  </si>
  <si>
    <t>O/2</t>
  </si>
  <si>
    <t>O/3</t>
  </si>
  <si>
    <t>O/4</t>
  </si>
  <si>
    <t>Refer to FAÇADE System Schedule for William Clarke College Revision A dated 05 April 2024 by Fairlite Consulting Pty Ltd</t>
  </si>
  <si>
    <t>O/5</t>
  </si>
  <si>
    <t>Refer to following architectural drawing series: A0130 for "GA Plans", A2000 for "Elevations", A3000 for "Sections", A4000 for "Wall Section Details"</t>
  </si>
  <si>
    <t>O/6</t>
  </si>
  <si>
    <t>O/7</t>
  </si>
  <si>
    <t>Fixing in position with all necessary templates, blocking, nails, screws, plugs etc</t>
  </si>
  <si>
    <t>O/8</t>
  </si>
  <si>
    <t>Cutting and making good around pipes and the like</t>
  </si>
  <si>
    <t>O/9</t>
  </si>
  <si>
    <t>O/10</t>
  </si>
  <si>
    <t>O/11</t>
  </si>
  <si>
    <t>Allow for co-operating with, attending on and making good after all other trades as necessary</t>
  </si>
  <si>
    <t>O/12</t>
  </si>
  <si>
    <t>O/13</t>
  </si>
  <si>
    <t>Allow for cleaning on completion</t>
  </si>
  <si>
    <t>O/14</t>
  </si>
  <si>
    <t>O/15</t>
  </si>
  <si>
    <t>Allow for data submissions</t>
  </si>
  <si>
    <t>O/16</t>
  </si>
  <si>
    <t>O/17</t>
  </si>
  <si>
    <t>Cladding to External Wall</t>
  </si>
  <si>
    <t>AL01 - vertical feature vitradual solid rainscreen aluminium panel cassette fixed to 35mm tophat no sealant to joints including secondary structural framing; Colour: Gold Metallic; Code: VD4150; Supplier: Fairview Genesis</t>
  </si>
  <si>
    <t>O/18</t>
  </si>
  <si>
    <t>Level 2 (A0131-A)</t>
  </si>
  <si>
    <t>O/19</t>
  </si>
  <si>
    <t>Level 3 (A0132-A)</t>
  </si>
  <si>
    <t>O/20</t>
  </si>
  <si>
    <t>Level 4 (A0133-A)</t>
  </si>
  <si>
    <t>O/21</t>
  </si>
  <si>
    <t>raking cutting to AL01 (A0131-A, A0132-A)</t>
  </si>
  <si>
    <t>AL01 - horizontal feature vitradual solid rainscreen aluminium panel cassette fixed to 35mm tophat no sealant to joints including secondary structural framing; Colour: Gold Metallic; Code: VD4150; Supplier: Fairview Genesis</t>
  </si>
  <si>
    <t>O/22</t>
  </si>
  <si>
    <t>O/23</t>
  </si>
  <si>
    <t>O/24</t>
  </si>
  <si>
    <t>AL02 - vertical feature vitradual solid rainscreen aluminium panel cassette fixed to 35mm tophat no sealant to joints including secondary structural framing; Colour: Surfmist; Supplier: Fairview Genesis</t>
  </si>
  <si>
    <t>O/25</t>
  </si>
  <si>
    <t>O/26</t>
  </si>
  <si>
    <t>O/27</t>
  </si>
  <si>
    <t>O/28</t>
  </si>
  <si>
    <t>raking cutting to AL02 (A0131-A, A0132-A)</t>
  </si>
  <si>
    <t>AL02 - horizontal feature vitradual solid rainscreen aluminium panel cassette fixed to 35mm tophat  no sealant to joints including secondary structural framing; Colour: Surfmist; Supplier: Fairview Genesis</t>
  </si>
  <si>
    <t>O/29</t>
  </si>
  <si>
    <t>O/30</t>
  </si>
  <si>
    <t>O/31</t>
  </si>
  <si>
    <t>FC01 - fibre cement cladding fixed to 35mm tophat with 10mm expressed joints black gasket; Range: Raw; Colour: Mustard; Code: GR1002; Supplier: Fairview</t>
  </si>
  <si>
    <t>O/32</t>
  </si>
  <si>
    <t>O/33</t>
  </si>
  <si>
    <t>O/34</t>
  </si>
  <si>
    <t>FC02 - fibre cement cladding fixed to 35mm tophat with 10mm expressed joints black gasket; Supplier: Fairview Genesis (NB: No further details provided. Refer to finishes schedule)</t>
  </si>
  <si>
    <t>O/35</t>
  </si>
  <si>
    <t>FC03 - fibre cement cladding CSR cemintel expresswall fixed to 35mm tophat with 10mm expressed joints black gasket (NB: No further details provided. Refer to finishes schedule)</t>
  </si>
  <si>
    <t>O/36</t>
  </si>
  <si>
    <t>Level 1 (A0130-A)</t>
  </si>
  <si>
    <t>O/37</t>
  </si>
  <si>
    <t>O/38</t>
  </si>
  <si>
    <t>O/39</t>
  </si>
  <si>
    <t>FC04 - fibre cement cladding CSR cemintel expresswall fixed to 35mm tophat with 10mm expressed joints black gasket (NB: No further details provided. Refer to finishes schedule)</t>
  </si>
  <si>
    <t>O/40</t>
  </si>
  <si>
    <t>O/41</t>
  </si>
  <si>
    <t>O/42</t>
  </si>
  <si>
    <t>MCL01 - metal cladding fixed to 45mm tophat cassette fixed with recessed sealant to joints; Colour: Surfmist; Supplier: Lysaght Dominion</t>
  </si>
  <si>
    <t>O/43</t>
  </si>
  <si>
    <t>O/44</t>
  </si>
  <si>
    <t>O/45</t>
  </si>
  <si>
    <t>Cladding to External Columns</t>
  </si>
  <si>
    <t>GRC01 - GRC panels fixed to 64mm stud in natural grey colour; Supplier: Satu Bumi</t>
  </si>
  <si>
    <t>O/46</t>
  </si>
  <si>
    <t>Flashing on top of aluminium wall</t>
  </si>
  <si>
    <t>O/47</t>
  </si>
  <si>
    <t>Flashing between blockwall and fibre cement cladding</t>
  </si>
  <si>
    <t>O/48</t>
  </si>
  <si>
    <t>O/49</t>
  </si>
  <si>
    <t>O/50</t>
  </si>
  <si>
    <t>O/51</t>
  </si>
  <si>
    <t>Extra over to curve walls in AL-01</t>
  </si>
  <si>
    <t>O/52</t>
  </si>
  <si>
    <t>O/53</t>
  </si>
  <si>
    <t>O/54</t>
  </si>
  <si>
    <t>O/55</t>
  </si>
  <si>
    <t>O/56</t>
  </si>
  <si>
    <t>O/57</t>
  </si>
  <si>
    <t>O/58</t>
  </si>
  <si>
    <t>O/59</t>
  </si>
  <si>
    <t>O/60</t>
  </si>
  <si>
    <t>O/61</t>
  </si>
  <si>
    <t>O/62</t>
  </si>
  <si>
    <t>O/63</t>
  </si>
  <si>
    <t>O/64</t>
  </si>
  <si>
    <t>O/65</t>
  </si>
  <si>
    <t>AL02 - horizontal feature vitradual solid rainscreen aluminium panel cassette fixed to 35mm tophat no sealant to joints including secondary structural framing; Colour: Surfmist; Supplier: Fairview Genesis</t>
  </si>
  <si>
    <t>O/66</t>
  </si>
  <si>
    <t>O/67</t>
  </si>
  <si>
    <t>O/68</t>
  </si>
  <si>
    <t>O/69</t>
  </si>
  <si>
    <t>O/70</t>
  </si>
  <si>
    <t>O/71</t>
  </si>
  <si>
    <t>O/72</t>
  </si>
  <si>
    <t>O/73</t>
  </si>
  <si>
    <t>O/74</t>
  </si>
  <si>
    <t>O/75</t>
  </si>
  <si>
    <t>O/76</t>
  </si>
  <si>
    <t>O/77</t>
  </si>
  <si>
    <t>O/78</t>
  </si>
  <si>
    <t>O/79</t>
  </si>
  <si>
    <t>O/80</t>
  </si>
  <si>
    <t>Extra over to curve walls in AL01</t>
  </si>
  <si>
    <t>O/81</t>
  </si>
  <si>
    <t>O/82</t>
  </si>
  <si>
    <t>O/83</t>
  </si>
  <si>
    <t>TOTAL FAÇADE - CLADDING</t>
  </si>
  <si>
    <t>P</t>
  </si>
  <si>
    <t>FAÇADE - LOUVRES &amp; SCREENS</t>
  </si>
  <si>
    <t>P/1</t>
  </si>
  <si>
    <t>P/2</t>
  </si>
  <si>
    <t>P/3</t>
  </si>
  <si>
    <t>P/4</t>
  </si>
  <si>
    <t>P/5</t>
  </si>
  <si>
    <t>P/6</t>
  </si>
  <si>
    <t>P/7</t>
  </si>
  <si>
    <t>P/8</t>
  </si>
  <si>
    <t>P/9</t>
  </si>
  <si>
    <t>P/10</t>
  </si>
  <si>
    <t>P/11</t>
  </si>
  <si>
    <t>P/12</t>
  </si>
  <si>
    <t>P/13</t>
  </si>
  <si>
    <t>P/14</t>
  </si>
  <si>
    <t>P/15</t>
  </si>
  <si>
    <t>P/16</t>
  </si>
  <si>
    <t>P/17</t>
  </si>
  <si>
    <t>Screen to External Wall</t>
  </si>
  <si>
    <t>ES01 - 900x3000mm high perforated metal screen fixed to vertical members in colour to match AL01; Code: R04851; supplier: Locker Group</t>
  </si>
  <si>
    <t>P/18</t>
  </si>
  <si>
    <t>P/19</t>
  </si>
  <si>
    <t>P/20</t>
  </si>
  <si>
    <t>ES02 - mechanical louvre screen in polyester powdercoat equivalent to interpon D2525 finish (NB: No further details provided. Refer to FAÇADE Specification)</t>
  </si>
  <si>
    <t>P/21</t>
  </si>
  <si>
    <t>Vermin Mesh to External Windows</t>
  </si>
  <si>
    <t>P/22</t>
  </si>
  <si>
    <t>Level 2 (A1003-A to A1004-A)</t>
  </si>
  <si>
    <t>P/23</t>
  </si>
  <si>
    <t>Level 3 (A1005-A to A1006-A)</t>
  </si>
  <si>
    <t>P/24</t>
  </si>
  <si>
    <t>Level 4 (A1007-A to A1008-A)</t>
  </si>
  <si>
    <t>Screen to Internal Glazing</t>
  </si>
  <si>
    <t>ES - Screen to internal glazing (NB: No details provided)</t>
  </si>
  <si>
    <t>P/25</t>
  </si>
  <si>
    <t>P/26</t>
  </si>
  <si>
    <t>P/27</t>
  </si>
  <si>
    <t>P/28</t>
  </si>
  <si>
    <t>P/29</t>
  </si>
  <si>
    <t>P/30</t>
  </si>
  <si>
    <t>P/31</t>
  </si>
  <si>
    <t>P/32</t>
  </si>
  <si>
    <t>Level 1 (A1001-A to A1002-A)</t>
  </si>
  <si>
    <t>P/33</t>
  </si>
  <si>
    <t>P/34</t>
  </si>
  <si>
    <t>P/35</t>
  </si>
  <si>
    <t>P/36</t>
  </si>
  <si>
    <t>P/37</t>
  </si>
  <si>
    <t>P/38</t>
  </si>
  <si>
    <t>P/39</t>
  </si>
  <si>
    <t>TOTAL FAÇADE - LOUVRES &amp; SCREENS</t>
  </si>
  <si>
    <t>Q</t>
  </si>
  <si>
    <t>INSULATION</t>
  </si>
  <si>
    <t>Q/1</t>
  </si>
  <si>
    <t>Refer to following sections of William Clarke College "Architectural Specification" Revision A dated 05 April 2024 by PMDL Architecture + Design: 0471 - Thermal Insulation Membranes, 0472 - Acoustic Insulation and 0531 - Suspended Ceilings Combined</t>
  </si>
  <si>
    <t>Q/2</t>
  </si>
  <si>
    <t>Q/3</t>
  </si>
  <si>
    <t>Refer to following architectural drawing series: A0010 for "Wall Types Schedule", A011 for "Partition Types Schedule, A0130 for "GA Plans", A100 for "North and South GA Plan", A1400 for "Reflected Ceiling Plans", A2000 for "Elevations", A3000 for "Sections"</t>
  </si>
  <si>
    <t>Q/4</t>
  </si>
  <si>
    <t>Refer to William Clarke College "NCC 2022 Section J4 DTS Report" dated 05 April 2024 by HDR</t>
  </si>
  <si>
    <t>Q/5</t>
  </si>
  <si>
    <t>Insulation to Ceiling</t>
  </si>
  <si>
    <t>INSUL under fixed plasterboard ceilings (NB: No details provided)</t>
  </si>
  <si>
    <t>Q/6</t>
  </si>
  <si>
    <t>Level 1 (A1401-A to A1402-A)</t>
  </si>
  <si>
    <t>Q/7</t>
  </si>
  <si>
    <t>Level 2 (A1403-A to A1404-A)</t>
  </si>
  <si>
    <t>Q/8</t>
  </si>
  <si>
    <t>Level 4 (A1407-A to A1407-A)</t>
  </si>
  <si>
    <t>Q/9</t>
  </si>
  <si>
    <t>Curved Cutting to Insulation</t>
  </si>
  <si>
    <t>Q/10</t>
  </si>
  <si>
    <t>Raking Cutting to Insulation</t>
  </si>
  <si>
    <t>INSUL-03 - 50mm thick Koolthern K10 G2 white soffit board insulation under concrete roof with total thermal value of R3.2 minimum; Supplier: Kingspan</t>
  </si>
  <si>
    <t>Q/11</t>
  </si>
  <si>
    <t>Q/12</t>
  </si>
  <si>
    <t>Level 3 (A1405-A to A1406-A)</t>
  </si>
  <si>
    <t>Q/13</t>
  </si>
  <si>
    <t>Q/14</t>
  </si>
  <si>
    <t>Q/15</t>
  </si>
  <si>
    <t>INSUL-04 - 40mm thick Koolthern K10 G2 soffit board insulation under suspended concrete floor slab with FC lining with total thermal value of R2 minimum; Supplier: Kingspan</t>
  </si>
  <si>
    <t>Q/16</t>
  </si>
  <si>
    <t>Q/17</t>
  </si>
  <si>
    <t>Q/18</t>
  </si>
  <si>
    <t>Q/19</t>
  </si>
  <si>
    <t>INSUL-05 - 40mm thick Koolthern K10 G2 soffit board insulation to suspended concrete floor slab with total thermal value of R2 minimum; Supplier: Kingspan (NB: Could not be found on plans. Refer to general materials schedule)</t>
  </si>
  <si>
    <t>Q/20</t>
  </si>
  <si>
    <t>item</t>
  </si>
  <si>
    <t>Q/21</t>
  </si>
  <si>
    <t>Q/22</t>
  </si>
  <si>
    <t>INSUL-07 - 50mm thick Bradford Ultratel HVAC board acoustic insulation with total thermal value of R1.5 minimum; Supplier: To be confirmed</t>
  </si>
  <si>
    <t>Q/23</t>
  </si>
  <si>
    <t>Insulation to Roof</t>
  </si>
  <si>
    <t>INSUL-06 - 60mm thick Bradford anticon bulk thermal insulation to metal roof; Thermal Rating: R1.3</t>
  </si>
  <si>
    <t>Q/24</t>
  </si>
  <si>
    <t>Insulation to External Brickwork Wall</t>
  </si>
  <si>
    <t>INSUL-08 - 40mm thick IROCK rigid board insulation to WT-02e brickwork; Thermal value R1.3 min (NB: R-Value of 1.3min from Section J assumed to govern)</t>
  </si>
  <si>
    <t>Q/25</t>
  </si>
  <si>
    <t>INSUL-08 - 40mm thick IROCK rigid board insulation to WT-02d brickwork; Thermal value R1.3 min (NB: R-Value of 1.3min from Section J assumed to govern)</t>
  </si>
  <si>
    <t>Q/26</t>
  </si>
  <si>
    <t>INSUL-08 - 40mm thick IROCK rigid board insulation to WT-02 brickwork; Thermal value R1.3 min (NB: R-Value of 1.3min from Section J assumed to govern)</t>
  </si>
  <si>
    <t>Q/27</t>
  </si>
  <si>
    <t>Insulation to External Wall</t>
  </si>
  <si>
    <t>Insulation to Non-Fire Rated Walls</t>
  </si>
  <si>
    <t>INSUL-08 - 40mm thick IROCK rigid board insulation to WT-01f; Thermal value R1.3 min (NB: R-Value of 1.3min from Section J assumed to govern)</t>
  </si>
  <si>
    <t>Q/28</t>
  </si>
  <si>
    <t>Level 2 (A1203-A)</t>
  </si>
  <si>
    <t>INSUL-01 - 140mm thick Bradford Gold Wall HP bulk thermal insulation to WT-02a block veneer; Thermal value R4 min</t>
  </si>
  <si>
    <t>Q/29</t>
  </si>
  <si>
    <t>INSUL-01 - 140mm thick Bradford Gold Wall HP bulk thermal insulation to WT-03 stud wall; Thermal value R4 min</t>
  </si>
  <si>
    <t>Q/30</t>
  </si>
  <si>
    <t>INSUL-01 - 140mm thick Bradford Gold Wall HP bulk thermal insulation to WT-03c stud wall; Thermal value R4 min</t>
  </si>
  <si>
    <t>Q/31</t>
  </si>
  <si>
    <t>Q/32</t>
  </si>
  <si>
    <t>Q/33</t>
  </si>
  <si>
    <t>Level 3 (A1205-A)</t>
  </si>
  <si>
    <t>INSUL-01 - 140mm thick Bradford Gold Wall HP bulk thermal insulation to WT-03h stud wall; Thermal value R4 min</t>
  </si>
  <si>
    <t>Q/34</t>
  </si>
  <si>
    <t>Q/35</t>
  </si>
  <si>
    <t>INSUL-01 - 140mm thick Bradford Gold Wall HP bulk thermal insulation to WT-04b stud wall; Thermal value R4 min</t>
  </si>
  <si>
    <t>Q/36</t>
  </si>
  <si>
    <t>Level 4 (A1207-A)</t>
  </si>
  <si>
    <t>INSUL-01 - 140mm thick Bradford Gold Wall HP bulk thermal insulation to WT-04e stud wall; Thermal value R4 min</t>
  </si>
  <si>
    <t>Q/37</t>
  </si>
  <si>
    <t>Q/38</t>
  </si>
  <si>
    <t>Insulation to Fire Rated Walls</t>
  </si>
  <si>
    <t>INSUL-01 - 140mm thick Bradford Gold Wall HP bulk thermal insulation to WT-03b stud wall; Thermal value R4 min</t>
  </si>
  <si>
    <t>Q/39</t>
  </si>
  <si>
    <t>Insulation to Internal Wall</t>
  </si>
  <si>
    <t>INSUL-02 - 75mm thick Bradford Acoustigard11 (Glasswool) acoustic insulation to PTN-01c stud wall; Thermal value R1.7 min</t>
  </si>
  <si>
    <t>Q/40</t>
  </si>
  <si>
    <t>Q/41</t>
  </si>
  <si>
    <t>INSUL-02 - 75mm thick Bradford Acoustigard11 (Glasswool) acoustic insulation to PTN-03c stud wall; Thermal value R1.7 min</t>
  </si>
  <si>
    <t>Q/42</t>
  </si>
  <si>
    <t>Q/43</t>
  </si>
  <si>
    <t>INSUL-09 - 75mm thick Bradford Acoustigard11 (Glasswool) acoustic insulation to WT-01c concrete veneer; Thermal value R1.7 min</t>
  </si>
  <si>
    <t>Q/44</t>
  </si>
  <si>
    <t>Insulation to Acoustically Rated Walls</t>
  </si>
  <si>
    <t>INSUL-02 - 75mm thick Bradford Acoustigard11 (Glasswool) acoustic insulation to PTN-02 stud wall; Thermal value R1.7 min</t>
  </si>
  <si>
    <t>Q/45</t>
  </si>
  <si>
    <t>Q/46</t>
  </si>
  <si>
    <t>INSUL-02 - 75mm thick Bradford Acoustigard11 (Glasswool) acoustic insulation to PTN-02a stud wall; Thermal value R1.7 min</t>
  </si>
  <si>
    <t>Q/47</t>
  </si>
  <si>
    <t>Q/48</t>
  </si>
  <si>
    <t>INSUL-02 - 75mm thick Bradford Acoustigard11 (Glasswool) acoustic insulation to PTN-03f stud wall; Thermal value R1.7 min</t>
  </si>
  <si>
    <t>Q/49</t>
  </si>
  <si>
    <t>INSUL-02 - 75mm thick Bradford Acoustigard11 (Glasswool) acoustic insulation to PTN-06 stud wall; Thermal value R1.7 min</t>
  </si>
  <si>
    <t>Q/50</t>
  </si>
  <si>
    <t>Q/51</t>
  </si>
  <si>
    <t>Q/52</t>
  </si>
  <si>
    <t>Internal Linings Insulation</t>
  </si>
  <si>
    <t>INSUL-11 - Internal Lining Insulation at Stair 2 and 4 walls, thermal value of R1.3 (min)</t>
  </si>
  <si>
    <t>Q/53</t>
  </si>
  <si>
    <t>Q/54</t>
  </si>
  <si>
    <t>Q/55</t>
  </si>
  <si>
    <t>Q/56</t>
  </si>
  <si>
    <t>LNG-06 (NB: Tagging found on architectural plans but no details provided on Partition Type Schedule, assumed to be the same as INSUL-11, refer to DWG Nos. A4203-A and A4207-A)</t>
  </si>
  <si>
    <t>Q/57</t>
  </si>
  <si>
    <t>Q/58</t>
  </si>
  <si>
    <t>Level 1 (A1402-A)</t>
  </si>
  <si>
    <t>Q/59</t>
  </si>
  <si>
    <t>Level 2 (A1404-A)</t>
  </si>
  <si>
    <t>Q/60</t>
  </si>
  <si>
    <t>Level 4 (A1408-A)</t>
  </si>
  <si>
    <t>Q/61</t>
  </si>
  <si>
    <t>Q/62</t>
  </si>
  <si>
    <t>Q/63</t>
  </si>
  <si>
    <t>Q/64</t>
  </si>
  <si>
    <t>Level 3 (A1406-A)</t>
  </si>
  <si>
    <t>Q/65</t>
  </si>
  <si>
    <t>Q/66</t>
  </si>
  <si>
    <t>Q/67</t>
  </si>
  <si>
    <t>Q/68</t>
  </si>
  <si>
    <t>Q/69</t>
  </si>
  <si>
    <t>Q/70</t>
  </si>
  <si>
    <t>Q/71</t>
  </si>
  <si>
    <t>Q/72</t>
  </si>
  <si>
    <t>Q/73</t>
  </si>
  <si>
    <t>Q/74</t>
  </si>
  <si>
    <t>Q/75</t>
  </si>
  <si>
    <t>INSUL-08 - 40mm thick IROCK rigid board insulation to WT-02c brickwork; Thermal value R1.3 min (NB: R-Value of 1.3min from Section J assumed to govern)</t>
  </si>
  <si>
    <t>Q/76</t>
  </si>
  <si>
    <t>Q/77</t>
  </si>
  <si>
    <t>INSUL-08 - 40mm thick IROCK rigid board insulation to WT-02b brickwork; Thermal value R1.3 min (NB: R-Value of 1.3min from Section J assumed to govern)</t>
  </si>
  <si>
    <t>Q/78</t>
  </si>
  <si>
    <t>Q/79</t>
  </si>
  <si>
    <t>Q/80</t>
  </si>
  <si>
    <t>Q/81</t>
  </si>
  <si>
    <t>Q/82</t>
  </si>
  <si>
    <t>Q/83</t>
  </si>
  <si>
    <t>Q/84</t>
  </si>
  <si>
    <t>INSUL-01 - 140mm thick Bradford Gold Wall HP bulk thermal insulation to WT-03g stud wall; Thermal value R4 min</t>
  </si>
  <si>
    <t>Q/85</t>
  </si>
  <si>
    <t>Q/86</t>
  </si>
  <si>
    <t>Q/87</t>
  </si>
  <si>
    <t>Q/88</t>
  </si>
  <si>
    <t>Q/89</t>
  </si>
  <si>
    <t>Level 4 (A1208-A)</t>
  </si>
  <si>
    <t>Q/90</t>
  </si>
  <si>
    <t>Q/91</t>
  </si>
  <si>
    <t>Q/92</t>
  </si>
  <si>
    <t>Q/93</t>
  </si>
  <si>
    <t>Q/94</t>
  </si>
  <si>
    <t>INSUL-02 - 75mm thick Bradford Acoustigard11 (Glasswool) acoustic insulation to PTN-02b stud wall; Thermal value R1.7 min</t>
  </si>
  <si>
    <t>Q/95</t>
  </si>
  <si>
    <t>INSUL-02 - 75mm thick Bradford Acoustigard11 (Glasswool) acoustic insulation to PTN-02c stud wall; Thermal value R1.7 min (NB: PTN-02c not found on wall type schedule, assumed insulation same as PTN-02)</t>
  </si>
  <si>
    <t>Q/96</t>
  </si>
  <si>
    <t>Q/97</t>
  </si>
  <si>
    <t>INSUL-02 - 75mm thick Bradford Acoustigard11 (Glasswool) acoustic insulation to PTN-03e stud wall; Thermal value R1.7 min</t>
  </si>
  <si>
    <t>Q/98</t>
  </si>
  <si>
    <t>Q/99</t>
  </si>
  <si>
    <t>Q/100</t>
  </si>
  <si>
    <t>Q/101</t>
  </si>
  <si>
    <t>Q/102</t>
  </si>
  <si>
    <t>Q/103</t>
  </si>
  <si>
    <t>Q/104</t>
  </si>
  <si>
    <t>Q/105</t>
  </si>
  <si>
    <t>Q/106</t>
  </si>
  <si>
    <t>Q/107</t>
  </si>
  <si>
    <t>Q/108</t>
  </si>
  <si>
    <t>TOTAL INSULATION</t>
  </si>
  <si>
    <t>R</t>
  </si>
  <si>
    <t>BUILDING ACCESS SAFETY SYSTEMS</t>
  </si>
  <si>
    <t>S</t>
  </si>
  <si>
    <t>PARTITIONS &amp; LININGS</t>
  </si>
  <si>
    <t>S/1</t>
  </si>
  <si>
    <t>S/2</t>
  </si>
  <si>
    <t>S/3</t>
  </si>
  <si>
    <t>S/4</t>
  </si>
  <si>
    <t>Refer to following sections of William Clarke College  "Architectural Specification" dated 5 April 2024 by PMDL Architecture + Design: 0181 - Adhesives, sealants and fasteners, 0511 - Lining, 0520 - Partitions - Combined</t>
  </si>
  <si>
    <t>S/5</t>
  </si>
  <si>
    <t>S/6</t>
  </si>
  <si>
    <t>The contractor to ensure the Environmentally Sustainable Design (ESD) strategies are incorporated, and an equivalent 5 Star Green Star is achieved in line with HI Design Guidance Note (DGN) No.058 - ESD Evaluation Tool</t>
  </si>
  <si>
    <t>S/7</t>
  </si>
  <si>
    <t>Wall framing</t>
  </si>
  <si>
    <t>S/8</t>
  </si>
  <si>
    <t>S/9</t>
  </si>
  <si>
    <t>S/10</t>
  </si>
  <si>
    <t>S/11</t>
  </si>
  <si>
    <t>S/12</t>
  </si>
  <si>
    <t>Bolts and nuts and any type of washer that may be required</t>
  </si>
  <si>
    <t>Linings</t>
  </si>
  <si>
    <t>S/13</t>
  </si>
  <si>
    <t>Notching and fitting around projections, pipes, light fittings, hatches and the like and including cleats, packers, wedges and similar items</t>
  </si>
  <si>
    <t>S/14</t>
  </si>
  <si>
    <t>Nails and screws</t>
  </si>
  <si>
    <t>S/15</t>
  </si>
  <si>
    <t>Internal and external angles</t>
  </si>
  <si>
    <t>S/16</t>
  </si>
  <si>
    <t>Edges set and finished flush with solid plastering in the same plane</t>
  </si>
  <si>
    <t>S/17</t>
  </si>
  <si>
    <t>Casing beads</t>
  </si>
  <si>
    <t>S/18</t>
  </si>
  <si>
    <t>S/19</t>
  </si>
  <si>
    <t>Allow for shop drawings if required</t>
  </si>
  <si>
    <t>S/20</t>
  </si>
  <si>
    <t>Allow for samples</t>
  </si>
  <si>
    <t>S/21</t>
  </si>
  <si>
    <t>S/22</t>
  </si>
  <si>
    <t>S/23</t>
  </si>
  <si>
    <t>S/24</t>
  </si>
  <si>
    <t>Allow for attending on and making good after all other trades, cutting out and making good defective work and for cleaning on completion</t>
  </si>
  <si>
    <t>S/25</t>
  </si>
  <si>
    <t>S/26</t>
  </si>
  <si>
    <t>S/27</t>
  </si>
  <si>
    <t>S/28</t>
  </si>
  <si>
    <t>Allow for maintenance manual</t>
  </si>
  <si>
    <t>S/29</t>
  </si>
  <si>
    <t>S/30</t>
  </si>
  <si>
    <t>Assumed PLB-04 - Moisture-resistant plasterboard for all wet area walls</t>
  </si>
  <si>
    <t>S/31</t>
  </si>
  <si>
    <t>External Wall</t>
  </si>
  <si>
    <t>Non-Fire Rated Walls</t>
  </si>
  <si>
    <t>WT-02a (Ext/Dry) - 13mm thick PLB-01 - CSR Gyprock Standard Plasterboard on 150mm thick stud walls with WPM-04 - James Hardie Hardiewrap Weather Barrier - Wall Sarking and 140mm thick INSUL-01 bulk thermal insulation to 90mm thick brickwall (NB: Brickwall and INSUL-01 measured separately)</t>
  </si>
  <si>
    <t>S/32</t>
  </si>
  <si>
    <t>WT-02a (Ext/Wet) - 13mm thick PLB-04 - CSR Gyprock Aquachek Moisture-resistant Plasterboard on 150mm thick stud walls with WPM-04 - James Hardie Hardiewrap Weather Barrier - Wall Sarking and 140mm thick INSUL-01 bulk thermal insulation to 90mm thick brickwall (NB: Brickwall and INSUL-01 measured separately)</t>
  </si>
  <si>
    <t>S/33</t>
  </si>
  <si>
    <t>WT-03 (Ext/Dry) - 13mm thick PLB-01 - CSR Gyprock Standard Plasterboard on 150mm thick stud walls with WPM-04 - James Hardie Hardiewrap Weather Barrier - Wall Sarking and 140mm thick INSUL-01 bulk thermal insulation,  fixed to 35mm thick tophats and FC-01 Cladding (NB: INSUL-01, FC-01 Cladding and tophats measured separately)</t>
  </si>
  <si>
    <t>S/34</t>
  </si>
  <si>
    <t>WT-03 (Ext/Wet) - 13mm thick PLB-04 - CSR Gyprock Aquachek Moisture-resistant Plasterboard on 150mm thick stud walls with WPM-04 - James Hardie Hardiewrap Weather Barrier - Wall Sarking and 140mm thick INSUL-01 bulk thermal insulation fixed to 35mm thick tophats and FC-01 Cladding (NB: INSUL-01, FC-01 Cladding and tophats measured separately)</t>
  </si>
  <si>
    <t>S/35</t>
  </si>
  <si>
    <t>WT-03c (Ext/Dry) - 13mm thick PLB-01 - CSR Gyprock Standard Plasterboard on 150mm thick stud walls with WPM-04 - James Hardie Hardiewrap Weather Barrier - Wall Sarking and 140mm thick INSUL-01 bulk thermal insulation  fixed to 130mm thick tophats and FC-03 Cladding (NB: INSUL-01, FC-03 Cladding and tophats measured separately)</t>
  </si>
  <si>
    <t>S/36</t>
  </si>
  <si>
    <t>S/37</t>
  </si>
  <si>
    <t>S/38</t>
  </si>
  <si>
    <t>WT-03h (Ext/Dry) - 13mm thick PLB-01 - CSR Gyprock Standard Plasterboard on 150mm thick stud walls with WPM-04 - James Hardie Hardiewrap Weather Barrier - Wall Sarking and 140mm thick INSUL-01 bulk thermal insulation fixed to 35mm thick tophats and FC-04 Cladding (NB: INSUL-01, FC-04 Cladding and tophats measured separately)</t>
  </si>
  <si>
    <t>S/39</t>
  </si>
  <si>
    <t>S/40</t>
  </si>
  <si>
    <t>WT-03h (Ext/Void) - FC-04 Cladding and 35mm thick tophats on one side of 150mm thick stud walls with WPM-04 - James Hardie Hardiewrap Weather Barrier - Wall Sarking and 140mm thick INSUL-01 bulk thermal insulation (NB: INSUL-01, FC-04 Cladding and tophats measured separately)</t>
  </si>
  <si>
    <t>S/41</t>
  </si>
  <si>
    <t>S/42</t>
  </si>
  <si>
    <t>WT-03h (Ext/Wet) - 13mm thick PLB-04 - CSR Gyprock Aquachek Moisture-resistant Plasterboard on 150mm thick stud walls with WPM-04 - James Hardie Hardiewrap Weather Barrier - Wall Sarking and 140mm thick INSUL-01 bulk thermal insulation fixed to 35mm thick tophats and FC-04 Cladding (NB: INSUL-01, FC-04 Cladding and tophats measured separately)</t>
  </si>
  <si>
    <t>S/43</t>
  </si>
  <si>
    <t>S/44</t>
  </si>
  <si>
    <t>WT-04 (Ext/Void) - AL-01/02 Cladding on 35mm thick tophats and 64mm thick stud walls; (NB: AL-01/02 Cladding and tophats measured separately)</t>
  </si>
  <si>
    <t>S/45</t>
  </si>
  <si>
    <t>S/46</t>
  </si>
  <si>
    <t>WT-04b (Ext/Dry) - 13mm thick PLB-01 - CSR Gyprock Standard Plasterboard on 150mm thick stud walls with WPM-04 - James Hardie Hardiewrap Weather Barrier - Wall Sarking and 140mm thick INSUL-01 bulk thermal insulation fixed to 35mm thick tophats and MCL-01 Cladding (NB: INSUL-01, MCL-01 Cladding and tophats measured separately)</t>
  </si>
  <si>
    <t>S/47</t>
  </si>
  <si>
    <t>WT-04b (Ext/Void) - MCL-01 Cladding and 35mm thick tophats on 150mm thick stud walls with WPM-04 - James Hardie Hardiewrap Weather Barrier - Wall Sarking and 140mm thick INSUL-01 bulk thermal insulation (NB: INSUL-01, MCL-01 Cladding and tophats measured separately)</t>
  </si>
  <si>
    <t>S/48</t>
  </si>
  <si>
    <t>S/49</t>
  </si>
  <si>
    <t>Extra over for forming of curved surfaces (1480mm radius)</t>
  </si>
  <si>
    <t>WT-04b (Ext/Wet) - 13mm thick PLB-04 - CSR Gyprock Aquachek Moisture-resistant Plasterboard on 150mm thick stud walls with WPM-04 - James Hardie Hardiewrap Weather Barrier - Wall Sarking and 140mm thick INSUL-01 bulk thermal insulation fixed to 35mm thick tophats and MCL-01 Cladding (NB: INSUL-01, MCL-01 Cladding and tophats measured separately)</t>
  </si>
  <si>
    <t>S/50</t>
  </si>
  <si>
    <t>WT-04c (Ext/Dry) - MCL-01 Cladding and 35mm thick tophats on one side of 150mm thick stud walls with WPM-04 - James Hardie Hardiewrap Weather Barrier - Wall Sarking (NB: MC-01 Cladding and tophats measured separately)</t>
  </si>
  <si>
    <t>S/51</t>
  </si>
  <si>
    <t>S/52</t>
  </si>
  <si>
    <t>S/53</t>
  </si>
  <si>
    <t>Extra over for forming of curved surfaces (1980mm radius)</t>
  </si>
  <si>
    <t>WT-04d (Ext/Dry) - 9mm thick lining on 92mm thick stud walls with fixed to 35mm thick tophats and MCL-01 Cladding (NB: MCL-01 Cladding and tophats measured separately)</t>
  </si>
  <si>
    <t>S/54</t>
  </si>
  <si>
    <t>WT-04d (Ext/Void) - MCL-01 Cladding and 35mm thick tophats on 92mm thick stud walls with  (NB: MCL-01 Cladding and tophats measured separately)</t>
  </si>
  <si>
    <t>S/55</t>
  </si>
  <si>
    <t>S/56</t>
  </si>
  <si>
    <t>WT-04e (Ext/Dry) - 13mm thick PLB-01 - CSR Gyprock Standard Plasterboard on 150mm thick stud walls with WPM-04 - James Hardie Hardiewrap Weather Barrier - Wall Sarking and 140mm thick INSUL-01 bulk thermal insulation fixed to 35mm thick tophats and AL-01/02 Cladding (NB: INSUL-01, AL-01/02 Cladding and tophats measured separately)</t>
  </si>
  <si>
    <t>S/57</t>
  </si>
  <si>
    <t>S/58</t>
  </si>
  <si>
    <t>WT-04f (Ext/Void) - MCL-01 Cladding on 35mm thick tophats and 64mm thick stud walls; (NB: MCL-01 Cladding and tophats measured separately)</t>
  </si>
  <si>
    <t>S/59</t>
  </si>
  <si>
    <t>S/60</t>
  </si>
  <si>
    <t>WT-04h (Ext/Void) - AL-02 Cladding on 35mm thick tophats and 64mm thick stud walls; (NB: AL-02 Cladding and tophats measured separately)</t>
  </si>
  <si>
    <t>S/61</t>
  </si>
  <si>
    <t>S/62</t>
  </si>
  <si>
    <t>S/63</t>
  </si>
  <si>
    <t>WT-06c (Ext/Void) - GRC-01 - GRC Panel Cladding on 64mm stud walls; Allow provision for 30mm profile shadow angle gap (NB: Refer to A4161-A for Column Details, GRC-01 measured separately)</t>
  </si>
  <si>
    <t>S/64</t>
  </si>
  <si>
    <t>Lining to External Walls</t>
  </si>
  <si>
    <t>WT-02e - 13mm thick PLB-04 - CSR Gyprock Aquachek Moisture-resistant Plasterboard lining on reinforced blockwall (NB: Reinforced blockwall measured separately)</t>
  </si>
  <si>
    <t>S/65</t>
  </si>
  <si>
    <t>WT-02e - 13mm thick PLB-01 - CSR Gyprock Standard Plasterboard lining on reinforced blockwall (NB: Reinforced blockwall measured separately)</t>
  </si>
  <si>
    <t>S/66</t>
  </si>
  <si>
    <t>WT-02d - 13mm thick PLB-04 - CSR Gyprock Aquachek Moisture-resistant Plasterboard lining on reinforced blockwall (NB: Reinforced blockwall measured separately)</t>
  </si>
  <si>
    <t>S/67</t>
  </si>
  <si>
    <t>WT-02d - 13mm thick PLB-01 - CSR Gyprock Standard Plasterboard lining on reinforced blockwall (NB: Reinforced blockwall measured separately)</t>
  </si>
  <si>
    <t>S/68</t>
  </si>
  <si>
    <t>Fire Rated Walls</t>
  </si>
  <si>
    <t>WT-03b (Ext/Dry) - 16mm thick PLB-03 - CSR Gyprock Fyrchek on 150mm thick stud walls with WPM-04 - James Hardie Hardiewrap Weather Barrier - Wall Sarking and 140mm thick INSUL-01 bulk thermal insulation fixed to 35mm thick tophats and FC-01 Cladding, FRL 60/60/60 (NB: INSUL-01, FC-01 Cladding and tophats measured separately)</t>
  </si>
  <si>
    <t>S/69</t>
  </si>
  <si>
    <t>WT-03b (Ext/Wet) - 16mm thick PLB-03 - CSR Gyprock Fyrchek on 150mm thick stud walls with WPM-04 - James Hardie Hardiewrap Weather Barrier - Wall Sarking and 140mm thick INSUL-01 bulk thermal insulation fixed to 35mm thick tophats and FC-01 Cladding, FRL 60/60/60 (NB: INSUL-01, FC-01 Cladding and tophats measured separately)</t>
  </si>
  <si>
    <t>S/70</t>
  </si>
  <si>
    <t>Internal Wall</t>
  </si>
  <si>
    <t>PTN-01 (Dry/Dry) - 13mm thick  PLB-01 - CSR Gyprock Standard Plasterboard on both sides of 92mm thick stud wall, Rw 35</t>
  </si>
  <si>
    <t>S/71</t>
  </si>
  <si>
    <t>S/72</t>
  </si>
  <si>
    <t>S/73</t>
  </si>
  <si>
    <t>S/74</t>
  </si>
  <si>
    <t>S/75</t>
  </si>
  <si>
    <t>Extra over for forming of curved surfaces (1150mm radius)</t>
  </si>
  <si>
    <t>S/76</t>
  </si>
  <si>
    <t>Extra over for forming of curved surfaces (541mm radius)</t>
  </si>
  <si>
    <t>PTN-01 (Dry/Wet) - 13mm thick  PLB-01 - CSR Gyprock Standard Plasterboard on one side and 13mm thick PLB-04 - CSR Gyprock Aquachek Moisture-resistant Plasterboard on the other side of 92mm thick stud wall, Rw 35</t>
  </si>
  <si>
    <t>S/77</t>
  </si>
  <si>
    <t>PTN-01a (Dry/Void) - 13mm thick  PLB-01 - CSR Gyprock Standard Plasterboard on one side of 92mm thick stud wall</t>
  </si>
  <si>
    <t>S/78</t>
  </si>
  <si>
    <t>S/79</t>
  </si>
  <si>
    <t>S/80</t>
  </si>
  <si>
    <t>S/81</t>
  </si>
  <si>
    <t>Extra over for forming of curved surfaces (1500mm radius)</t>
  </si>
  <si>
    <t>S/82</t>
  </si>
  <si>
    <t>PTN-01c (Dry/Dry) - 13mm thick  PLB-01 - CSR Gyprock Standard Plasterboard on both sides of 92mm thick stud wall with 75mm thick INSUL-02 insulation, Rw 40 (NB: INSUL-02 measured separately)</t>
  </si>
  <si>
    <t>S/83</t>
  </si>
  <si>
    <t>S/84</t>
  </si>
  <si>
    <t>PTN-03 (Wet/Wet) - 13mm thick PLB-04 - CSR Gyprock Aquachek Moisture-resistant Plasterboard on both sides of 92mm thick stud wall, Rw 35</t>
  </si>
  <si>
    <t>S/85</t>
  </si>
  <si>
    <t>PTN-03 (Wet/Wet) - 13mm thick PLB-04 - CSR Gyprock Aquachek Moisture-resistant Plasterboard on both sides of 92mm thick stud wall, Rw 35 (NB: Measured wall area is up to underside of ceiling only for individual toilet cubicles)</t>
  </si>
  <si>
    <t>S/86</t>
  </si>
  <si>
    <t>S/87</t>
  </si>
  <si>
    <t>S/88</t>
  </si>
  <si>
    <t>PTN-03a (Dry/Wet) - 13mm thick  PLB-01 - CSR Gyprock Standard Plasterboard on one side and 13mm thick PLB-04 - CSR Gyprock Aquachek Moisture-resistant Plasterboard on the other side of 92mm thick stud wall, Rw 45</t>
  </si>
  <si>
    <t>S/89</t>
  </si>
  <si>
    <t>S/90</t>
  </si>
  <si>
    <t>S/91</t>
  </si>
  <si>
    <t>S/92</t>
  </si>
  <si>
    <t>PTN-03a (Dry/Wet) - 13mm thick  PLB-01 - CSR Gyprock Standard Plasterboard on one side and 13mm thick PLB-04 - CSR Gyprock Aquachek Moisture-resistant Plasterboard on the other side of 92mm thick stud wall, Rw 45 (NB: Measured wall area is up to underside of ceiling only for individual toilet cubicles)</t>
  </si>
  <si>
    <t>S/93</t>
  </si>
  <si>
    <t>S/94</t>
  </si>
  <si>
    <t>PTN-03b (Wet/Void) - 13mm thick PLB-04 - CSR Gyprock Aquachek Moisture-resistant Plasterboard on one side of 92mm thick stud wall</t>
  </si>
  <si>
    <t>S/95</t>
  </si>
  <si>
    <t>S/96</t>
  </si>
  <si>
    <t>S/97</t>
  </si>
  <si>
    <t>S/98</t>
  </si>
  <si>
    <t>PTN-03c (Dry/Wet) - 13mm thick  PLB-01 - CSR Gyprock Standard Plasterboard on one side and 13mm thick PLB-04 - CSR Gyprock Aquachek Moisture-resistant Plasterboard on the other side of 92mm thick stud wall with 75mm thick INSUL-02 insulation, Rw 40 (NB: INSUL-02 measured separately)</t>
  </si>
  <si>
    <t>S/99</t>
  </si>
  <si>
    <t>S/100</t>
  </si>
  <si>
    <t>WT-01c (Ext/Dry) - 13mm thick PLB-01 - CSR Gyprock Standard Plasterboard on 92mm thick stud walls with WPM-04 - James Hardie Hardiewrap Weather Barrier - Wall Sarking and 75mm thick INSUL-09 bulk thermal insulation to insitu concrete wall (NB: Insitu concrete wall and INSUL-09 measured separately)</t>
  </si>
  <si>
    <t>S/101</t>
  </si>
  <si>
    <t>Extra Over for Impact Resistant Plasterboard</t>
  </si>
  <si>
    <t>13mm thick PLB-02 - CSR Gyprock Impactchek Plasterboard to upgrade Standard Plasterboard</t>
  </si>
  <si>
    <t>S/102</t>
  </si>
  <si>
    <t>S/103</t>
  </si>
  <si>
    <t>S/104</t>
  </si>
  <si>
    <t>S/105</t>
  </si>
  <si>
    <t>16mm thick PLB-06 (NB: PLB-06 Not found on material schedule, refer to DWG. No. A0011-A for Partition Types Schedule)</t>
  </si>
  <si>
    <t>S/106</t>
  </si>
  <si>
    <t>Acoustically Rated Walls</t>
  </si>
  <si>
    <t>PTN-02 (Dry/Dry) - 13mm thick PLB-05 - CSR Gyprock Enhance sound resistant Plasterboard on both sides of 92mm thick Rondo Quiet stud wall with 75mm thick INSUL-02 insulation, Rw 45 (NB: INSUL-02 measured separately)</t>
  </si>
  <si>
    <t>S/107</t>
  </si>
  <si>
    <t>S/108</t>
  </si>
  <si>
    <t>PTN-02a (Dry/Dry) - two layers of 13mm thick PLB-05 - CSR Gyprock Enhance sound resistant Plasterboard on one side and a single layer of 13mm thick PLB-05 - CSR Gyprock Enhance sound resistant Plasterboard on the other side of 92mm thick Rondo Quiet stud wall with 75mm thick INSUL-02 insulation, Rw 50 (NB: INSUL-02 measured separately)</t>
  </si>
  <si>
    <t>S/109</t>
  </si>
  <si>
    <t>S/110</t>
  </si>
  <si>
    <t>S/111</t>
  </si>
  <si>
    <t>Extra over for forming of curved surfaces (1837mm radius)</t>
  </si>
  <si>
    <t>PTN-03f (Dry/Wet) - two layers of 13mm thick PLB-05 - CSR Gyprock Enhance sound resistant Plasterboard on one side of 76mm thick stud wall insulated with 75mm thick INSUL-02, and two layers of 13mm thick PLB-04 - CSR Gyprock Aquachek Moisture-resistant Plasterboard on the other side of 76mm thick stud wal, Rw 55 (NB: INSUL-02 measured separately)</t>
  </si>
  <si>
    <t>S/112</t>
  </si>
  <si>
    <t>PTN-06 (Dry/Void) - two layers of 16mm thick PLB-03 - CSR Gyprock Fyrchek Plasterboard on one side of 76mm thick stud wall insulated with 75mm thick INSUL-02, and wrapped with 25mm thick Shaft Liner, Rw 52/44, FRL -/120/120 (NB: INSUL-02 measured separately)</t>
  </si>
  <si>
    <t>S/113</t>
  </si>
  <si>
    <t>S/114</t>
  </si>
  <si>
    <t>S/115</t>
  </si>
  <si>
    <t>PTN-06 (Void/Void) - two layers of 16mm thick PLB-03 - CSR Gyprock Fyrchek Plasterboard on one side of 76mm thick stud wall insulated with 75mm thick INSUL-02 and wrapped with 25mm thick Shaft Liner, Rw 52/44, FRL -/120/120 (NB: INSUL-02 measured separately)</t>
  </si>
  <si>
    <t>S/116</t>
  </si>
  <si>
    <t>S/117</t>
  </si>
  <si>
    <t>S/118</t>
  </si>
  <si>
    <t>PTN-06 (Wet/Void) - two layers of 16mm thick PLB-06 on one side of 76mm thick stud wall insulated with 75mm thick INSUL-02 and wrapped with 25mm thick Shaft Liner, Rw 52/44, FRL -/120/120 (NB: PLB-06 Not found on material schedule, refer to DWG. No. A0011-A for Partition Types Schedule, INSUL-02 measured separately)</t>
  </si>
  <si>
    <t>S/119</t>
  </si>
  <si>
    <t>Lining to Internal Walls</t>
  </si>
  <si>
    <t>PTN-04a - 13mm thick PLB-04 - CSR Gyprock Aquachek Moisture-resistant Plasterboard on 28mm furring channel</t>
  </si>
  <si>
    <t>S/120</t>
  </si>
  <si>
    <t>LNG-02 - 13mm thick PLB-01 - CSR Gyprock Standard Plasterboard lining on 28mm thick furring channels</t>
  </si>
  <si>
    <t>S/121</t>
  </si>
  <si>
    <t>S/122</t>
  </si>
  <si>
    <t>S/123</t>
  </si>
  <si>
    <t>S/124</t>
  </si>
  <si>
    <t>LNG-03 - 13mm thick PLB-04 - CSR Gyprock Aquachek Moisture-resistant Plasterboard lining on 28mm thick furring channels, FRL 60/60/60</t>
  </si>
  <si>
    <t>S/125</t>
  </si>
  <si>
    <t>S/126</t>
  </si>
  <si>
    <t>S/127</t>
  </si>
  <si>
    <t>Installation of Metal Frame to External Doors</t>
  </si>
  <si>
    <t>S/128</t>
  </si>
  <si>
    <t>Installation of metal frame to external single leaf swing fire rated solid core door</t>
  </si>
  <si>
    <t>S/129</t>
  </si>
  <si>
    <t>Installation of Metal Frame to Internal Doors</t>
  </si>
  <si>
    <t>S/130</t>
  </si>
  <si>
    <t>Installation of metal frame to internal single leaf swing fire rated solid core door</t>
  </si>
  <si>
    <t>S/131</t>
  </si>
  <si>
    <t>S/132</t>
  </si>
  <si>
    <t>S/133</t>
  </si>
  <si>
    <t>S/134</t>
  </si>
  <si>
    <t>S/135</t>
  </si>
  <si>
    <t>S/136</t>
  </si>
  <si>
    <t>Over flashing to Parapet Walls (NB: Refer to DWG. No. A4005-A for Wall Section Details)</t>
  </si>
  <si>
    <t>S/137</t>
  </si>
  <si>
    <t>S/138</t>
  </si>
  <si>
    <t>WT-03 (Ext/Void) - FC-01 Cladding and 35mm thick tophats on one side of 150mm thick stud walls with WPM-04 - James Hardie Hardiewrap Weather Barrier - Wall Sarking and 140mm thick INSUL-01 bulk thermal insulation (NB: INSUL-01, FC-01 Cladding and tophats measured separately)</t>
  </si>
  <si>
    <t>S/139</t>
  </si>
  <si>
    <t>S/140</t>
  </si>
  <si>
    <t>S/141</t>
  </si>
  <si>
    <t>WT-03g (Ext/Void) - FC-04 Cladding and 35mm thick tophats on one side of 150mm thick stud walls with WPM-04 - James Hardie Hardiewrap Weather Barrier - Wall Sarking and 140mm thick INSUL-01 bulk thermal insulation (NB: INSUL-01, FC-04 Cladding and tophats measured separately)</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</si>
  <si>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</si>
  <si>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</si>
  <si>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</si>
  <si>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</si>
  <si>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</si>
  <si>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</si>
  <si>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</si>
  <si>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</si>
  <si>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</si>
  <si>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</si>
  <si>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</si>
  <si>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</si>
  <si>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</si>
  <si>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</si>
  <si>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</si>
  <si>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</si>
  <si>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</si>
  <si>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</si>
  <si>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</si>
  <si>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</si>
  <si>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</si>
  <si>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</si>
  <si>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WT-03b (Ext/Void) - FC-01 Cladding and 35mm thick tophats on 150mm thick stud walls with WPM-04 - James Hardie Hardiewrap Weather Barrier - Wall Sarking and 140mm thick INSUL-01 bulk thermal insulation, FRL 60/60/60 (NB: INSUL-01, FC-01 Cladding and tophats measured separately)</t>
  </si>
  <si>
    <t>S/164</t>
  </si>
  <si>
    <t>S/165</t>
  </si>
  <si>
    <t>S/166</t>
  </si>
  <si>
    <t>S/167</t>
  </si>
  <si>
    <t>S/168</t>
  </si>
  <si>
    <t>S/169</t>
  </si>
  <si>
    <t>S/170</t>
  </si>
  <si>
    <t>Curved cutting to openings at Primary Library 1.15</t>
  </si>
  <si>
    <t>S/171</t>
  </si>
  <si>
    <t>Extra over for forming of curved surfaces (3148mm radius)</t>
  </si>
  <si>
    <t>S/172</t>
  </si>
  <si>
    <t>Extra over for forming of curved surfaces (4603mm radius)</t>
  </si>
  <si>
    <t>S/173</t>
  </si>
  <si>
    <t>Extra over for forming of curved surfaces (2777mm radius)</t>
  </si>
  <si>
    <t>S/174</t>
  </si>
  <si>
    <t>Extra over for forming of curved surfaces (2911mm radius)</t>
  </si>
  <si>
    <t>S/175</t>
  </si>
  <si>
    <t>Extra over for forming of curved surfaces (1432mm radius)</t>
  </si>
  <si>
    <t>S/176</t>
  </si>
  <si>
    <t>S/177</t>
  </si>
  <si>
    <t>Extra over for forming of curved surfaces (782mm radius)</t>
  </si>
  <si>
    <t>S/178</t>
  </si>
  <si>
    <t>S/179</t>
  </si>
  <si>
    <t>S/180</t>
  </si>
  <si>
    <t>S/181</t>
  </si>
  <si>
    <t>S/182</t>
  </si>
  <si>
    <t>Extra over for forming of curved surfaces (371mm radius)</t>
  </si>
  <si>
    <t>S/183</t>
  </si>
  <si>
    <t>S/184</t>
  </si>
  <si>
    <t>S/185</t>
  </si>
  <si>
    <t>Extra over for forming of curved surfaces (741mm radius)</t>
  </si>
  <si>
    <t>S/186</t>
  </si>
  <si>
    <t>S/187</t>
  </si>
  <si>
    <t>PTN-03a (Dry/Void) - 13mm thick  PLB-01 - CSR Gyprock Standard Plasterboard on one side of 92mm thick stud wall, Rw 45</t>
  </si>
  <si>
    <t>S/188</t>
  </si>
  <si>
    <t>S/189</t>
  </si>
  <si>
    <t>S/190</t>
  </si>
  <si>
    <t>S/191</t>
  </si>
  <si>
    <t>S/192</t>
  </si>
  <si>
    <t>S/193</t>
  </si>
  <si>
    <t>S/194</t>
  </si>
  <si>
    <t>S/195</t>
  </si>
  <si>
    <t>S/196</t>
  </si>
  <si>
    <t>S/197</t>
  </si>
  <si>
    <t>S/198</t>
  </si>
  <si>
    <t>S/199</t>
  </si>
  <si>
    <t>S/200</t>
  </si>
  <si>
    <t>S/201</t>
  </si>
  <si>
    <t>S/202</t>
  </si>
  <si>
    <t>S/203</t>
  </si>
  <si>
    <t>S/204</t>
  </si>
  <si>
    <t>S/205</t>
  </si>
  <si>
    <t>S/206</t>
  </si>
  <si>
    <t>Extra over for forming of curved surfaces (1508mm radius)</t>
  </si>
  <si>
    <t>S/207</t>
  </si>
  <si>
    <t>S/208</t>
  </si>
  <si>
    <t>S/209</t>
  </si>
  <si>
    <t>Extra over for forming of curved surfaces (1850mm radius)</t>
  </si>
  <si>
    <t>S/210</t>
  </si>
  <si>
    <t>Extra over for forming of curved surfaces (1824mm radius)</t>
  </si>
  <si>
    <t>S/211</t>
  </si>
  <si>
    <t>S/212</t>
  </si>
  <si>
    <t>Extra over for forming of curved surfaces (2391mm radius)</t>
  </si>
  <si>
    <t>S/213</t>
  </si>
  <si>
    <t>Extra over for forming of curved surfaces (1916mm radius)</t>
  </si>
  <si>
    <t>S/214</t>
  </si>
  <si>
    <t>Extra over for forming of curved surfaces (1923mm radius)</t>
  </si>
  <si>
    <t>PTN-02b (Dry/Dry) - two layers of 13mm thick PLB-05 - CSR Gyprock Enhance sound resistant Plasterboard on both sides of 92mm thick Rondo Quiet stud wall with 75mm thick INSUL-02 insulation, Rw 55 (NB: INSUL-02 measured separately)</t>
  </si>
  <si>
    <t>S/215</t>
  </si>
  <si>
    <t>PTN-02c (Dry/Void) - 13mm thick PLB-05 - CSR Gyprock Enhance sound resistant Plasterboard on one side of 92mm thick Rondo Quiet stud wall with 75mm thick INSUL-02 insulation, Rw 45 (NB: Not found on wall type schedule, assumed description same as PTN-02, INSUL-02 measured separately)</t>
  </si>
  <si>
    <t>S/216</t>
  </si>
  <si>
    <t>PTN-02c (Dry/Wet) - 13mm thick PLB-05 - CSR Gyprock Enhance sound resistant Plasterboard on both sides of 92mm thick Rondo Quiet stud wall with 75mm thick INSUL-02 insulation, Rw 45 (NB: Not found on wall type schedule, assumed description same as PTN-02, INSUL-02 measured separately)</t>
  </si>
  <si>
    <t>S/217</t>
  </si>
  <si>
    <t>PTN-03e (Dry/Void) - two layers of 13mm thick PLB-05 - CSR Gyprock Enhance sound resistant Plasterboard on one side of 76mm thick stud wall insulated with 75mm thick INSUL-02, and 13mm thick PLB-04 - CSR Gyprock Aquachek Moisture-resistant Plasterboard on the other side of 76mm thick stud wall, Rw 50 (NB: INSUL-02 measured separately)</t>
  </si>
  <si>
    <t>S/218</t>
  </si>
  <si>
    <t>PTN-03e (Dry/Wet) - two layers of 13mm thick PLB-05 - CSR Gyprock Enhance sound resistant Plasterboard on one side of 76mm thick stud wall insulated with 75mm thick INSUL-02, and 13mm thick PLB-04 - CSR Gyprock Aquachek Moisture-resistant Plasterboard on the other side of 76mm thick stud wall, Rw 50 (NB: INSUL-02 measured separately)</t>
  </si>
  <si>
    <t>S/219</t>
  </si>
  <si>
    <t>S/220</t>
  </si>
  <si>
    <t>S/221</t>
  </si>
  <si>
    <t>S/222</t>
  </si>
  <si>
    <t>S/223</t>
  </si>
  <si>
    <t>S/224</t>
  </si>
  <si>
    <t>S/225</t>
  </si>
  <si>
    <t>S/226</t>
  </si>
  <si>
    <t>S/227</t>
  </si>
  <si>
    <t>S/228</t>
  </si>
  <si>
    <t>S/229</t>
  </si>
  <si>
    <t>S/230</t>
  </si>
  <si>
    <t>Extra over for forming of curved surfaces (594mm radius)</t>
  </si>
  <si>
    <t>S/231</t>
  </si>
  <si>
    <t>S/232</t>
  </si>
  <si>
    <t>S/233</t>
  </si>
  <si>
    <t>S/234</t>
  </si>
  <si>
    <t>S/235</t>
  </si>
  <si>
    <t>S/236</t>
  </si>
  <si>
    <t>TOTAL PARTITIONS &amp; LININGS</t>
  </si>
  <si>
    <t>T</t>
  </si>
  <si>
    <t>SUSPENDED CEILINGS</t>
  </si>
  <si>
    <t>T/1</t>
  </si>
  <si>
    <t>T/2</t>
  </si>
  <si>
    <t>T/3</t>
  </si>
  <si>
    <t>T/4</t>
  </si>
  <si>
    <t>Refer to following sections of William Clarke College "FAÇADE Specification - Part 1" Revision A dated 05 April 2024 by Fairlite Consulting: 2.3.20 - FT-71 - FC Soffit Cladding</t>
  </si>
  <si>
    <t>T/5</t>
  </si>
  <si>
    <t>T/6</t>
  </si>
  <si>
    <t>Refer to following architectural drawing series: A0130 for "GA Plans", A100 for "North and South GA Plan", A1400 for "Reflected Ceiling Plans", A2000 for "Elevations", A3000 for "Sections"</t>
  </si>
  <si>
    <t>T/7</t>
  </si>
  <si>
    <t>T/8</t>
  </si>
  <si>
    <t>Cutting and making good around sprinkler heads, pipes and the like</t>
  </si>
  <si>
    <t>T/9</t>
  </si>
  <si>
    <t>Movement and control joints</t>
  </si>
  <si>
    <t>T/10</t>
  </si>
  <si>
    <t>Purpose made stop beads, casing beads and corner beads</t>
  </si>
  <si>
    <t>T/11</t>
  </si>
  <si>
    <t>T/12</t>
  </si>
  <si>
    <t>T/13</t>
  </si>
  <si>
    <t>T/14</t>
  </si>
  <si>
    <t>Allow for submitting samples</t>
  </si>
  <si>
    <t>T/15</t>
  </si>
  <si>
    <t>T/16</t>
  </si>
  <si>
    <t>T/17</t>
  </si>
  <si>
    <t>T/18</t>
  </si>
  <si>
    <t>T/19</t>
  </si>
  <si>
    <t>T/20</t>
  </si>
  <si>
    <t>Allow for giving notice of inspections</t>
  </si>
  <si>
    <t>T/21</t>
  </si>
  <si>
    <t>Allow for providing spares</t>
  </si>
  <si>
    <t>T/22</t>
  </si>
  <si>
    <t>Assumed plasterboard and metal sheet bulkheads to skylight</t>
  </si>
  <si>
    <t>Ceiling Type</t>
  </si>
  <si>
    <t>Suspended ceiling system up to 3.5m high</t>
  </si>
  <si>
    <t>AB-02 - 12mm thick felt screen, screw fix set Ecoustic Baffle Apex in ecoustic vertical cable suspension with colour pattern of PNBD-07, 08, 09 and 10 in two different profile; Supplier: Instyle (NB: Refer to drawing no. A5041-A for details)</t>
  </si>
  <si>
    <t>T/23</t>
  </si>
  <si>
    <t>T/24</t>
  </si>
  <si>
    <t>AB-04/BF-04 - 12mm thick Array custom profile acoustic baffles in cut panels suspended from concrete slab with colour pattern of PNBD-13 and 14; Supplier: Wovenimage (NB: Refer to drawing no. A5010-A for details)</t>
  </si>
  <si>
    <t>T/25</t>
  </si>
  <si>
    <t>AL-01 - horizontal feature vitradual solid rainscreen aluminium panel cassette fixed to 35mm tophat with flashings and no sealant to joints; Colour: Gold Metallic; Code: VD4150; Supplier: Fairview Genesis</t>
  </si>
  <si>
    <t>T/26</t>
  </si>
  <si>
    <t>CG/PLB-01 - 10mm thick plasterboard taped and set all joints in concealed grid fixings ceiling suspension system; Supplier: CSR Gyprock</t>
  </si>
  <si>
    <t>T/27</t>
  </si>
  <si>
    <t>T/28</t>
  </si>
  <si>
    <t>T/29</t>
  </si>
  <si>
    <t>T/30</t>
  </si>
  <si>
    <t>T/31</t>
  </si>
  <si>
    <t>Curved Cutting to CG/PLB-01</t>
  </si>
  <si>
    <t>CG/PLB-03 - 16mm thick Aquacheck Fyrchek fire resistant plasterboard taped and set all joints in concealed grid fixings ceiling suspension system; Supplier: CSR Gyprock</t>
  </si>
  <si>
    <t>T/32</t>
  </si>
  <si>
    <t>T/33</t>
  </si>
  <si>
    <t>Curved Cutting to CG/PLB-03</t>
  </si>
  <si>
    <t>CG/PLB-04 - 10mm thick Aquacheck moisture resistant plasterboard taped and set all joints in concealed grid fixings ceiling suspension system; Supplier: CSR Gyprock</t>
  </si>
  <si>
    <t>T/34</t>
  </si>
  <si>
    <t>T/35</t>
  </si>
  <si>
    <t>T/36</t>
  </si>
  <si>
    <t>T/37</t>
  </si>
  <si>
    <t>T/38</t>
  </si>
  <si>
    <t>Curved Cutting to Wet Areas</t>
  </si>
  <si>
    <t>T/39</t>
  </si>
  <si>
    <t>Raking Cutting to CG/PLB-04</t>
  </si>
  <si>
    <t>CG/PLB-05 - 10mm thick Aquacheck Soundchek acoustic plasterboard taped and set all joints in concealed grid fixings ceiling suspension system; Supplier: CSR Gyprock</t>
  </si>
  <si>
    <t>T/40</t>
  </si>
  <si>
    <t>T/41</t>
  </si>
  <si>
    <t>T/42</t>
  </si>
  <si>
    <t>T/43</t>
  </si>
  <si>
    <t>Curved Cutting to CG/PLB-05</t>
  </si>
  <si>
    <t>T/44</t>
  </si>
  <si>
    <t>Raking Cutting to CG/PLB-05</t>
  </si>
  <si>
    <t>CG/PLB-06 - 10mm thick Aquacheck Soundchek acoustic plasterboard taped and set all joints in concealed grid fixings ceiling suspension system; Supplier: CSR Gyprock</t>
  </si>
  <si>
    <t>T/45</t>
  </si>
  <si>
    <t>CT/A-01 - 1200x300x15mm thick square lay-in Optra biosoluble glass wool in exposed grid white finish with an NRC value of 0.9 in ceiling suspension system; Supplier: Armstrong</t>
  </si>
  <si>
    <t>T/46</t>
  </si>
  <si>
    <t>T/47</t>
  </si>
  <si>
    <t>Curved Cutting to CT/A-01</t>
  </si>
  <si>
    <t>CT/A-02 - 1200x600x15mm thick square lay-in Optra biosoluble glass wool in exposed grid white finish with an NRC value of 0.9 in ceiling suspension system; Supplier: Armstrong</t>
  </si>
  <si>
    <t>T/48</t>
  </si>
  <si>
    <t>T/49</t>
  </si>
  <si>
    <t>CT/A-03 - 1200x600x25mm thick Cewood face fixed in RAL1015 natural finish with an NRC value of 0.8 in concealed grid ceiling suspension system; Supplier: Decor Systems</t>
  </si>
  <si>
    <t>T/50</t>
  </si>
  <si>
    <t>T/51</t>
  </si>
  <si>
    <t>Raking Cutting to CT/A-02</t>
  </si>
  <si>
    <t>FC-02a - 10mm thick fibre cement expressed joints with black gasket system in hewn range and Linen GH-1013 colour; Supplier: Fairview Genesis</t>
  </si>
  <si>
    <t>T/52</t>
  </si>
  <si>
    <t>T/53</t>
  </si>
  <si>
    <t>T/54</t>
  </si>
  <si>
    <t>T/55</t>
  </si>
  <si>
    <t>Curved Cutting to FC-02a</t>
  </si>
  <si>
    <t>FC-02b - 10mm thick fibre cement expressed joints with black gasket system in grove range and Linen GG-1013 colour; Supplier: Fairview Genesis</t>
  </si>
  <si>
    <t>T/56</t>
  </si>
  <si>
    <t>MCG-01 - 1200x600mm wide SAS310 suspended metal ceiling system with lay-in tiles and exposed grid in white colour; Supplier: SAS International</t>
  </si>
  <si>
    <t>T/57</t>
  </si>
  <si>
    <t>T/58</t>
  </si>
  <si>
    <t>T/59</t>
  </si>
  <si>
    <t>Curved Cutting to MCG-01</t>
  </si>
  <si>
    <t>MCG-02 - 1200x300mm wide SAS310 suspended metal ceiling system with lay-in tiles and exposed grid in white colour; Supplier: SAS International</t>
  </si>
  <si>
    <t>T/60</t>
  </si>
  <si>
    <t>MCL-01 - Cassette fixed metal ceiling with recessed sealant to joints in surfmist colour including accessories and trim necessary to complete the installation including matching capping and flashings; Supplier: Lysaght Dominion</t>
  </si>
  <si>
    <t>T/61</t>
  </si>
  <si>
    <t>T/62</t>
  </si>
  <si>
    <t>Curved Cutting to MCL-01</t>
  </si>
  <si>
    <t>SBF-01 - 200x10mm thick ceiling mounted clear safety glass smoke baffle in conceal fixed (Refer to drawing no. A4151-A for details)</t>
  </si>
  <si>
    <t>T/63</t>
  </si>
  <si>
    <t>Suspended ceiling system 3.5m to 4.5m high</t>
  </si>
  <si>
    <t>T/64</t>
  </si>
  <si>
    <t>T/65</t>
  </si>
  <si>
    <t>Curved Cutting to AL-01</t>
  </si>
  <si>
    <t>T/66</t>
  </si>
  <si>
    <t>T/67</t>
  </si>
  <si>
    <t>Raking Cutting to Wet Areas</t>
  </si>
  <si>
    <t>ES-03 - Horizontal sun shading device fixed to slab edge</t>
  </si>
  <si>
    <t>T/68</t>
  </si>
  <si>
    <t>T/69</t>
  </si>
  <si>
    <t>T/70</t>
  </si>
  <si>
    <t>T/71</t>
  </si>
  <si>
    <t>Raking Cutting to FC-02a</t>
  </si>
  <si>
    <t>T/72</t>
  </si>
  <si>
    <t>T/73</t>
  </si>
  <si>
    <t>Curved Cutting to FC-02b</t>
  </si>
  <si>
    <t>T/74</t>
  </si>
  <si>
    <t>Raking Cutting to FC-02b</t>
  </si>
  <si>
    <t>Suspended ceiling system 4.5m to 5.5m high</t>
  </si>
  <si>
    <t>T/75</t>
  </si>
  <si>
    <t>T/76</t>
  </si>
  <si>
    <t>Raking Cutting to AL-01</t>
  </si>
  <si>
    <t>Bulkheads and Ceiling Accessories</t>
  </si>
  <si>
    <t>Bulkheads installation up to 3.5m high (Including bulkhead to skylights and stair opening)</t>
  </si>
  <si>
    <t>CG/PLB-01 Plasterboard bulkheads less than or equal to 250mm high</t>
  </si>
  <si>
    <t>T/77</t>
  </si>
  <si>
    <t>CG/PLB-03 Plasterboard bulkheads less than or equal to 250mm high</t>
  </si>
  <si>
    <t>T/78</t>
  </si>
  <si>
    <t>CG/PLB-05 Plasterboard bulkheads less than or equal to 250mm high</t>
  </si>
  <si>
    <t>T/79</t>
  </si>
  <si>
    <t>CG/PLB-01 Plasterboard bulkheads greater than 250mm high</t>
  </si>
  <si>
    <t>T/80</t>
  </si>
  <si>
    <t>CG/PLB-04 Plasterboard bulkheads greater than 250mm high</t>
  </si>
  <si>
    <t>T/81</t>
  </si>
  <si>
    <t>CG/PLB-05 Plasterboard bulkheads greater than 250mm high</t>
  </si>
  <si>
    <t>T/82</t>
  </si>
  <si>
    <t>T/83</t>
  </si>
  <si>
    <t>CG/PLB-06 Plasterboard bulkheads greater than 250mm high</t>
  </si>
  <si>
    <t>T/84</t>
  </si>
  <si>
    <t>FC-02a Fibre cement board bulkheads greater than 250mm high</t>
  </si>
  <si>
    <t>T/85</t>
  </si>
  <si>
    <t>Skylight Plasterboard bulkheads greater than 250mm high</t>
  </si>
  <si>
    <t>T/86</t>
  </si>
  <si>
    <t>PLY/PT-05 - Plywood wall panel to senior library entry portal (Refer to drawing no. A5010-A to A5011-A for details)</t>
  </si>
  <si>
    <t>T/87</t>
  </si>
  <si>
    <t>Bulkheads installation 3.5m to 4.5m high (Including bulkhead to skylights and stair opening)</t>
  </si>
  <si>
    <t>Skylight metal sheet bulkheads greater than 250mm high</t>
  </si>
  <si>
    <t>T/88</t>
  </si>
  <si>
    <t>Cornice, Lighting Cove, Pelmets and Shadowline</t>
  </si>
  <si>
    <t>Linear Lightening to Café (NB: No details provided)</t>
  </si>
  <si>
    <t>T/89</t>
  </si>
  <si>
    <t>PEL-01 - Ceiling pelmets (NB: Refer to drawing no. A4150-A for details)</t>
  </si>
  <si>
    <t>T/90</t>
  </si>
  <si>
    <t>T/91</t>
  </si>
  <si>
    <t>T/92</t>
  </si>
  <si>
    <t>50mm shadow gap to fibre cement ceilings</t>
  </si>
  <si>
    <t>T/93</t>
  </si>
  <si>
    <t>T/94</t>
  </si>
  <si>
    <t>T/95</t>
  </si>
  <si>
    <t>Shadow Angle</t>
  </si>
  <si>
    <t>T/96</t>
  </si>
  <si>
    <t>T/97</t>
  </si>
  <si>
    <t>T/98</t>
  </si>
  <si>
    <t>T/99</t>
  </si>
  <si>
    <t>Shadowline between plasterboard and ceiling tiles</t>
  </si>
  <si>
    <t>T/100</t>
  </si>
  <si>
    <t>T/101</t>
  </si>
  <si>
    <t>T/102</t>
  </si>
  <si>
    <t>Access Panels</t>
  </si>
  <si>
    <t>AP-01 - 600 x 600mm wide Access Panels sofline set bead flush to ceiling with snap lock access system painted to match ceiling colour</t>
  </si>
  <si>
    <t>T/103</t>
  </si>
  <si>
    <t>Level 1 (HDR-M100-T1)</t>
  </si>
  <si>
    <t>T/104</t>
  </si>
  <si>
    <t>Level 2 (HDR-M102-T1)</t>
  </si>
  <si>
    <t>T/105</t>
  </si>
  <si>
    <t>Level 3 (HDR-M104-T1)</t>
  </si>
  <si>
    <t>T/106</t>
  </si>
  <si>
    <t>Level 4 (HDR-M106-T1)</t>
  </si>
  <si>
    <t>Others</t>
  </si>
  <si>
    <t>Bulkhead Trim (NB: Refer to drawing no. A4150-A for details)</t>
  </si>
  <si>
    <t>T/107</t>
  </si>
  <si>
    <t>T/108</t>
  </si>
  <si>
    <t>Edge Trim to fibre cement soffits (NB: Refer to drawing no. A4161-A for details)</t>
  </si>
  <si>
    <t>T/109</t>
  </si>
  <si>
    <t>AB-01 - 12mm thick solid colour, screw fix set Ecoustic Baffle Ebb in ecoustic vertical cable suspension with colour pattern of PNBD-03, 04, 05 and 06; Supplier: Instyle (NB: Refer to drawing no. A5041-A for details)</t>
  </si>
  <si>
    <t>T/110</t>
  </si>
  <si>
    <t>T/111</t>
  </si>
  <si>
    <t>AB-03a - 157mm high x 2745mm diameter Acoustic cloud ceiling in malachite colour with NRC rating of 0.9; Supplier: Baresque</t>
  </si>
  <si>
    <t>T/112</t>
  </si>
  <si>
    <t>AB-03b - 204mm high x 1829mm diameter Acoustic cloud ceiling in midnight colour with NRC rating of 0.9; Supplier: Zintra Clouds</t>
  </si>
  <si>
    <t>T/113</t>
  </si>
  <si>
    <t>AB-03c - 157mm high x 1220mm diameter Acoustic cloud ceiling in periwinkle colour with NRC rating of 0.9; Supplier: Zintra Clouds</t>
  </si>
  <si>
    <t>T/114</t>
  </si>
  <si>
    <t>T/115</t>
  </si>
  <si>
    <t>T/116</t>
  </si>
  <si>
    <t>T/117</t>
  </si>
  <si>
    <t>T/118</t>
  </si>
  <si>
    <t>T/119</t>
  </si>
  <si>
    <t>T/120</t>
  </si>
  <si>
    <t>Raking Cutting to CG/PLB-01</t>
  </si>
  <si>
    <t>T/121</t>
  </si>
  <si>
    <t>T/122</t>
  </si>
  <si>
    <t>T/123</t>
  </si>
  <si>
    <t>T/124</t>
  </si>
  <si>
    <t>T/125</t>
  </si>
  <si>
    <t>T/126</t>
  </si>
  <si>
    <t>T/127</t>
  </si>
  <si>
    <t>T/128</t>
  </si>
  <si>
    <t>T/129</t>
  </si>
  <si>
    <t>CT/A-02 - 1200x600x15mm thick square lay-in Optra biosoluble glass wool in exposed grid white finish with an NRC value of 0.9 in ceiling suspension system ; Supplier: Armstrong</t>
  </si>
  <si>
    <t>T/130</t>
  </si>
  <si>
    <t>T/131</t>
  </si>
  <si>
    <t>T/132</t>
  </si>
  <si>
    <t>T/133</t>
  </si>
  <si>
    <t>T/134</t>
  </si>
  <si>
    <t>T/135</t>
  </si>
  <si>
    <t>T/136</t>
  </si>
  <si>
    <t>T/137</t>
  </si>
  <si>
    <t>T/138</t>
  </si>
  <si>
    <t>Curved Cutting to Primary Common Area</t>
  </si>
  <si>
    <t>SBF-01 - 1100x10mm thick ceiling mounted clear safety glass smoke baffle in conceal fixed (Refer to drawing no. A4151-A for details)</t>
  </si>
  <si>
    <t>T/139</t>
  </si>
  <si>
    <t>T/140</t>
  </si>
  <si>
    <t>T/141</t>
  </si>
  <si>
    <t>T/142</t>
  </si>
  <si>
    <t>T/143</t>
  </si>
  <si>
    <t>T/144</t>
  </si>
  <si>
    <t>T/145</t>
  </si>
  <si>
    <t>FC-01 - Fibre cement cladding fixed to 35mm tophat with 10mm expressed joints black gasket; Range: Raw; Colour: Mustard; Code: GR1002; Supplier: Fairview Genesis</t>
  </si>
  <si>
    <t>T/146</t>
  </si>
  <si>
    <t>T/147</t>
  </si>
  <si>
    <t>Raking Cutting to FC-01</t>
  </si>
  <si>
    <t>T/148</t>
  </si>
  <si>
    <t>T/149</t>
  </si>
  <si>
    <t>T/150</t>
  </si>
  <si>
    <t>T/151</t>
  </si>
  <si>
    <t>T/152</t>
  </si>
  <si>
    <t>T/153</t>
  </si>
  <si>
    <t>T/154</t>
  </si>
  <si>
    <t>LNG-02 bulkhead greater than 250mm high (Refer to drawing no. A4151-A for details)</t>
  </si>
  <si>
    <t>T/155</t>
  </si>
  <si>
    <t>T/156</t>
  </si>
  <si>
    <t>T/157</t>
  </si>
  <si>
    <t>T/158</t>
  </si>
  <si>
    <t>T/159</t>
  </si>
  <si>
    <t>T/160</t>
  </si>
  <si>
    <t>T/161</t>
  </si>
  <si>
    <t>T/162</t>
  </si>
  <si>
    <t>T/163</t>
  </si>
  <si>
    <t>T/164</t>
  </si>
  <si>
    <t>T/165</t>
  </si>
  <si>
    <t>T/166</t>
  </si>
  <si>
    <t>T/167</t>
  </si>
  <si>
    <t>T/168</t>
  </si>
  <si>
    <t>Level 1 (HDR-M101-T1)</t>
  </si>
  <si>
    <t>T/169</t>
  </si>
  <si>
    <t>Level 2 (HDR-M103-T1)</t>
  </si>
  <si>
    <t>T/170</t>
  </si>
  <si>
    <t>Level 3 (HDR-M105-T1)</t>
  </si>
  <si>
    <t>TOTAL SUSPENDED CEILINGS</t>
  </si>
  <si>
    <t>U</t>
  </si>
  <si>
    <t>RENDERING &amp; PLASTERING</t>
  </si>
  <si>
    <t>U/1</t>
  </si>
  <si>
    <t>U/2</t>
  </si>
  <si>
    <t>U/3</t>
  </si>
  <si>
    <t>U/4</t>
  </si>
  <si>
    <t>U/5</t>
  </si>
  <si>
    <t>Cutting including raking and circular cutting and waste</t>
  </si>
  <si>
    <t>U/6</t>
  </si>
  <si>
    <t>Making good around pipes and the like</t>
  </si>
  <si>
    <t>U/7</t>
  </si>
  <si>
    <t>U/8</t>
  </si>
  <si>
    <t>U/9</t>
  </si>
  <si>
    <t>U/10</t>
  </si>
  <si>
    <t>U/11</t>
  </si>
  <si>
    <t>U/12</t>
  </si>
  <si>
    <t>U/13</t>
  </si>
  <si>
    <t>U/14</t>
  </si>
  <si>
    <t>U/15</t>
  </si>
  <si>
    <t>Rendering to Internal Walls</t>
  </si>
  <si>
    <t>CR02 - Cement render concrete finish by Rockcote</t>
  </si>
  <si>
    <t>U/16</t>
  </si>
  <si>
    <t>Level 1 (A1001-A)</t>
  </si>
  <si>
    <t>U/17</t>
  </si>
  <si>
    <t>Level 2 (A1003-A)</t>
  </si>
  <si>
    <t>U/18</t>
  </si>
  <si>
    <t>U/19</t>
  </si>
  <si>
    <t>Rendering to External Walls</t>
  </si>
  <si>
    <t>CR01 - cement render in santini finish; Supplier: Rockcote</t>
  </si>
  <si>
    <t>U/20</t>
  </si>
  <si>
    <t>U/21</t>
  </si>
  <si>
    <t>Level 1 (A1002-A)</t>
  </si>
  <si>
    <t>U/22</t>
  </si>
  <si>
    <t>Level 2 (A1004-A)</t>
  </si>
  <si>
    <t>U/23</t>
  </si>
  <si>
    <t>U/24</t>
  </si>
  <si>
    <t>Level 4 (A1008-A)</t>
  </si>
  <si>
    <t>TOTAL RENDERING &amp; PLASTERING</t>
  </si>
  <si>
    <t>V</t>
  </si>
  <si>
    <t>DOORS, FRAMES &amp; HARDWARE (INCL. INTERNAL GLAZING)</t>
  </si>
  <si>
    <t>V/1</t>
  </si>
  <si>
    <t>V/2</t>
  </si>
  <si>
    <t>V/3</t>
  </si>
  <si>
    <t>Refer to following architectural drawing series: A0130 for "GA Plans", A100 for "North and South GA Plan", A2000 for "Elevations", A3000 for "Sections", A4300 for "Wet Area Details", A6000 for "External Glazing Suite", "Internal Glazing Suite" and "Solid Door Schedule"</t>
  </si>
  <si>
    <t>V/4</t>
  </si>
  <si>
    <t>V/5</t>
  </si>
  <si>
    <t>Labours in framing, checking, mitring, housing, halving, mortice and tenoning, gluing, spiking, screwing and drilling for bolts</t>
  </si>
  <si>
    <t>V/6</t>
  </si>
  <si>
    <t>Shop priming before fixing and priming all faces of undressed timber to be built in as required</t>
  </si>
  <si>
    <t>V/7</t>
  </si>
  <si>
    <t>V/8</t>
  </si>
  <si>
    <t>Cut-outs, spreader bars, stiffener plates, packers, mortar guards, strike plates, ties and anchors, rubber buffers, hinges etc.</t>
  </si>
  <si>
    <t>V/9</t>
  </si>
  <si>
    <t>Filling frames solid with mortar and/or pressure grouting</t>
  </si>
  <si>
    <t>V/10</t>
  </si>
  <si>
    <t>V/11</t>
  </si>
  <si>
    <t>Allow for shop drawings as required</t>
  </si>
  <si>
    <t>V/12</t>
  </si>
  <si>
    <t>Allow for submitting samples</t>
  </si>
  <si>
    <t>V/13</t>
  </si>
  <si>
    <t>V/14</t>
  </si>
  <si>
    <t>Allow for attending upon and making good after all other trades, cutting out and making good defective work and for cleaning off and leaving work perfect on completion</t>
  </si>
  <si>
    <t>V/15</t>
  </si>
  <si>
    <t>V/16</t>
  </si>
  <si>
    <t>V/17</t>
  </si>
  <si>
    <t>Allow for providing independent testing authority report that fire doors have passed relevant tests</t>
  </si>
  <si>
    <t>V/18</t>
  </si>
  <si>
    <t>Allow for priming the top and bottom edges of the door before installation</t>
  </si>
  <si>
    <t>V/19</t>
  </si>
  <si>
    <t>V/20</t>
  </si>
  <si>
    <t>Aluminium frame to anodized frame finish</t>
  </si>
  <si>
    <t>V/21</t>
  </si>
  <si>
    <t>250mm high kickplate measured on plan refer to A4300 architectural drawing series</t>
  </si>
  <si>
    <t>V/22</t>
  </si>
  <si>
    <t>Metal frame in powdercoated finish to fire rated solid core door</t>
  </si>
  <si>
    <t>V/23</t>
  </si>
  <si>
    <t>Installation of metal door frame measured elsewhere</t>
  </si>
  <si>
    <t>External Doors</t>
  </si>
  <si>
    <t>Fire rated doors</t>
  </si>
  <si>
    <t>V/24</t>
  </si>
  <si>
    <t>2400x1000x35mm thick single leaf swing fire rated solid core door with metal frame in powdercoated finish; FRL: 120</t>
  </si>
  <si>
    <t>Solid core doors</t>
  </si>
  <si>
    <t>V/25</t>
  </si>
  <si>
    <t>2100x1100x35mm thick single leaf swing solid core door (NB: Supply and install of aluminium frame measured elsewhere)</t>
  </si>
  <si>
    <t>V/26</t>
  </si>
  <si>
    <t>2100x1800x35mm thick double leaf swing solid core door (NB: Supply and install of aluminium frame measured elsewhere)</t>
  </si>
  <si>
    <t>V/27</t>
  </si>
  <si>
    <t>V/28</t>
  </si>
  <si>
    <t>2400x2100x35mm thick double leaf swing solid core door (NB: Supply and install of aluminium frame measured elsewhere)</t>
  </si>
  <si>
    <t>Internal Doors</t>
  </si>
  <si>
    <t>V/29</t>
  </si>
  <si>
    <t>2100x1900x35mm thick double leaf swing fire rated solid core door with metal frame in powdercoated finish; FRL: 120</t>
  </si>
  <si>
    <t>V/30</t>
  </si>
  <si>
    <t>2100x920x35mm thick single leaf swing fire rated solid core door with metal frame in powdercoated finish; FRL: 120</t>
  </si>
  <si>
    <t>V/31</t>
  </si>
  <si>
    <t>V/32</t>
  </si>
  <si>
    <t>V/33</t>
  </si>
  <si>
    <t>2100x860x35mm thick single leaf swing solid core door (NB: Supply and install of aluminium frame measured elsewhere)</t>
  </si>
  <si>
    <t>V/34</t>
  </si>
  <si>
    <t>2100x920x35mm thick single leaf swing solid core door (NB: Supply and install of aluminium frame measured elsewhere)</t>
  </si>
  <si>
    <t>V/35</t>
  </si>
  <si>
    <t>2100x1900x35mm thick double leaf swing solid core door (NB: Supply and install of aluminium frame measured elsewhere)</t>
  </si>
  <si>
    <t>V/36</t>
  </si>
  <si>
    <t>900x900x35mm thick single leaf swing solid core door (NB: Supply and install of aluminium frame measured elsewhere)</t>
  </si>
  <si>
    <t>V/37</t>
  </si>
  <si>
    <t>Swing glazed doors</t>
  </si>
  <si>
    <t>V/38</t>
  </si>
  <si>
    <t>2400x1000mm wide single leaf swing glazed door with aluminium frame in powdercoated finish; Acoustic Rating: Rw 30 (Area of 1 door panel = 2.4m2)</t>
  </si>
  <si>
    <t>V/39</t>
  </si>
  <si>
    <t>2400x4800mm wide single leaf swing glazed door and folding glazed door with aluminium frame in powdercoated finish; Acoustic Rating: Rw 35 (Area of 1 door panel = 11.52m2)</t>
  </si>
  <si>
    <t>Sliding Glazed Doors</t>
  </si>
  <si>
    <t>V/40</t>
  </si>
  <si>
    <t>2400x3900mm wide multiple leaf sliding glazed door with aluminium frame in powdercoated finish; Acoustic Rating: Rw 35; SHGC Value: ≤ 0.41; U-Value: ≤ 4.5 (Area of 1 door panel = 9.36m2)</t>
  </si>
  <si>
    <t>V/41</t>
  </si>
  <si>
    <t>2700x3000mm wide multiple leaf sliding glazed door with aluminium frame in powdercoated finish (Area of 1 door panel = 8.1m2)</t>
  </si>
  <si>
    <t>Operable Walls</t>
  </si>
  <si>
    <t>V/42</t>
  </si>
  <si>
    <t>2400x9000mm wide RD-01 Dorma VariSmart operable wall room divider in PNBD-01 Instyle Ecoustic SC 12mm panel pinboard 'Almond' colour; Acoustic Rating: Rw 45</t>
  </si>
  <si>
    <t>V/43</t>
  </si>
  <si>
    <t>2100x1000x35mm thick single leaf swing solid core door (NB: Supply and install of aluminium frame measured elsewhere)</t>
  </si>
  <si>
    <t>V/44</t>
  </si>
  <si>
    <t>V/45</t>
  </si>
  <si>
    <t>V/46</t>
  </si>
  <si>
    <t>2400x1000x35mm thick single leaf swing solid core door (NB: Supply and install of aluminium frame measured elsewhere)</t>
  </si>
  <si>
    <t>V/47</t>
  </si>
  <si>
    <t>V/48</t>
  </si>
  <si>
    <t>V/49</t>
  </si>
  <si>
    <t>2400x1900mm wide double leaf swing glazed door with aluminium frame in powdercoated finish; Acoustic Rating: Rw 35 (Area of 1 door panel = 4.56m2)</t>
  </si>
  <si>
    <t>V/50</t>
  </si>
  <si>
    <t>2400x10000mm wide single leaf swing glazed door and folding glazed door with aluminium frame in powdercoated finish (Area of 1 door panel = 24.m2)</t>
  </si>
  <si>
    <t>V/51</t>
  </si>
  <si>
    <t>2600x2545mm wide double leaf sliding glazed door with aluminium frame in powdercoated finish; Acoustic Rating: Rw 35; SHGC Value: ≤ 0.41; U-Value: ≤ 4.5 (Area of 1 door panel = 6.62m2)</t>
  </si>
  <si>
    <t>V/52</t>
  </si>
  <si>
    <t>2400x1200mm wide single leaf sliding glazed door with aluminium frame in powdercoated finish; Acoustic Rating: Rw 40; SHGC Value: ≤ 0.41; U-Value: ≤ 4.5 (Area of 1 door panel = 2.88m2)</t>
  </si>
  <si>
    <t>V/53</t>
  </si>
  <si>
    <t>V/54</t>
  </si>
  <si>
    <t>V/55</t>
  </si>
  <si>
    <t>V/56</t>
  </si>
  <si>
    <t>V/57</t>
  </si>
  <si>
    <t>2400x920x35mm thick single leaf swing solid core door (NB: Supply and install of aluminium frame measured elsewhere)</t>
  </si>
  <si>
    <t>V/58</t>
  </si>
  <si>
    <t>V/59</t>
  </si>
  <si>
    <t>2400x1900mm wide double leaf swing fire rated glazed door with aluminium frame in powdercoated finish; Acoustic Rating: Rw 35 (Area of 1 door panel = 4.56m2)</t>
  </si>
  <si>
    <t>Operable walls</t>
  </si>
  <si>
    <t>V/60</t>
  </si>
  <si>
    <t>3000x8500mm wide RD-01 Dorma VariSmart operable wall room divider in PNBD-12 Woven Image 12mm panel pinboard '384' colour; Acoustic Rating: Rw 45</t>
  </si>
  <si>
    <t>V/61</t>
  </si>
  <si>
    <t>3000x16200mm wide RD-01 Dorma VariSmart operable wall room divider in PNBD-12 Woven Image 12mm panel pinboard '384' colour; Acoustic rating: Rw 45</t>
  </si>
  <si>
    <t>V/62</t>
  </si>
  <si>
    <t>3000x1100x35mm thick single leaf swing solid core door (NB: Supply and install of aluminium frame measured elsewhere)</t>
  </si>
  <si>
    <t>V/63</t>
  </si>
  <si>
    <t>V/64</t>
  </si>
  <si>
    <t>Door Hardware</t>
  </si>
  <si>
    <t>Door Hardware to External Doors (Supply and Install)</t>
  </si>
  <si>
    <t>V/65</t>
  </si>
  <si>
    <t>Door hardware to external single leaf swing fire rated solid core door</t>
  </si>
  <si>
    <t>V/66</t>
  </si>
  <si>
    <t>Door hardware to external single leaf swing solid core door</t>
  </si>
  <si>
    <t>V/67</t>
  </si>
  <si>
    <t>Door hardware to external double leaf swing solid core door</t>
  </si>
  <si>
    <t>V/68</t>
  </si>
  <si>
    <t>V/69</t>
  </si>
  <si>
    <t>Door Hardware to Internal Doors (Supply and Install)</t>
  </si>
  <si>
    <t>V/70</t>
  </si>
  <si>
    <t>Door hardware to internal double leaf swing fire rated solid core door</t>
  </si>
  <si>
    <t>V/71</t>
  </si>
  <si>
    <t>Door hardware to internal single leaf swing fire rated solid core door</t>
  </si>
  <si>
    <t>V/72</t>
  </si>
  <si>
    <t>Door hardware to internal single leaf swing solid core door</t>
  </si>
  <si>
    <t>V/73</t>
  </si>
  <si>
    <t>Door hardware to internal double leaf swing solid core door</t>
  </si>
  <si>
    <t>V/74</t>
  </si>
  <si>
    <t>V/75</t>
  </si>
  <si>
    <t>V/76</t>
  </si>
  <si>
    <t>V/77</t>
  </si>
  <si>
    <t>V/78</t>
  </si>
  <si>
    <t>V/79</t>
  </si>
  <si>
    <t>V/80</t>
  </si>
  <si>
    <t>V/81</t>
  </si>
  <si>
    <t>Door Protection</t>
  </si>
  <si>
    <t>V/82</t>
  </si>
  <si>
    <t>250mm high kickplate to single leaf swing solid core door</t>
  </si>
  <si>
    <t>V/83</t>
  </si>
  <si>
    <t>V/84</t>
  </si>
  <si>
    <t>V/85</t>
  </si>
  <si>
    <t>250mm high kickplate to double leaf swing solid core door</t>
  </si>
  <si>
    <t>V/86</t>
  </si>
  <si>
    <t>V/87</t>
  </si>
  <si>
    <t>FILM-01 - 1200mm high frosted film strip</t>
  </si>
  <si>
    <t>V/88</t>
  </si>
  <si>
    <t>FILM-02 - 75mm high frosted decorative film to senior area glazing</t>
  </si>
  <si>
    <t>V/89</t>
  </si>
  <si>
    <t>FILM-01 - 75mm high frosted film strip</t>
  </si>
  <si>
    <t>V/90</t>
  </si>
  <si>
    <t>V/91</t>
  </si>
  <si>
    <t>FILM-01 - 2400mm high frosted film strip</t>
  </si>
  <si>
    <t>V/92</t>
  </si>
  <si>
    <t>75mm high film strip (NB: No details provided)</t>
  </si>
  <si>
    <t>Supply and Installation of aluminium frame to Internal Doors</t>
  </si>
  <si>
    <t>V/93</t>
  </si>
  <si>
    <t>Supply and Installation of anodized aluminium frame to internal single leaf swing solid core door</t>
  </si>
  <si>
    <t>V/94</t>
  </si>
  <si>
    <t>Supply and Installation of anodized aluminium frame to internal double leaf swing solid core door</t>
  </si>
  <si>
    <t>V/95</t>
  </si>
  <si>
    <t>V/96</t>
  </si>
  <si>
    <t>V/97</t>
  </si>
  <si>
    <t>V/98</t>
  </si>
  <si>
    <t>V/99</t>
  </si>
  <si>
    <t>V/100</t>
  </si>
  <si>
    <t>Internal Windows</t>
  </si>
  <si>
    <t>V/101</t>
  </si>
  <si>
    <t>T54 - 1600x2200mm wide fixed glazed window with aluminium frame in powdercoated finish (Area of 1 window panel = 3.52m2)</t>
  </si>
  <si>
    <t>V/102</t>
  </si>
  <si>
    <t>T57 - 2400x2200mm wide glazing unit with aluminium frame in powdercoated finish including 2400x920 mm wide single swing door, fixed window; Acoustic Rating: 35 dB (Area of 1 glazing unit = 5.28m2)</t>
  </si>
  <si>
    <t>V/103</t>
  </si>
  <si>
    <t>T62 - 2400x5050mm wide glazing unit with aluminium frame in powdercoated finish including 2400x920 mm wide single swing door, fixed window; Acoustic Rating: 35 dB (Area of 1 glazing unit = 12.12m2)</t>
  </si>
  <si>
    <t>V/104</t>
  </si>
  <si>
    <t>T64 - 2400x4000mm wide fixed glazed window with aluminium frame in powdercoated finish; Acoustic Rating: 35 dB (Area of 1 window panel = 9.6m2)</t>
  </si>
  <si>
    <t>V/105</t>
  </si>
  <si>
    <t>T51 - 2400x1700mm wide glazing unit with aluminium frame in powdercoated finish including 2400x920 mm wide single swing door, fixed window; Acoustic Rating: 35 dB (Area of 1 glazing unit = 4.08m2)</t>
  </si>
  <si>
    <t>V/106</t>
  </si>
  <si>
    <t>T59 - 2400x3000mm wide fixed glazed window with aluminium frame in powdercoated finish (Area of 1 window panel = 7.2m2)</t>
  </si>
  <si>
    <t>V/107</t>
  </si>
  <si>
    <t>T60 - 1900x6300mm wide fixed glazed window with aluminium frame in powdercoated finish (Area of 1 window panel = 11.97m2)</t>
  </si>
  <si>
    <t>V/108</t>
  </si>
  <si>
    <t>T63 - 2400x3060mm wide glazing unit with aluminium frame in powdercoated finish including 2400x920 mm wide single swing door, fixed window; Acoustic Rating: 35 dB (Area of 1 glazing unit = 7.34m2)</t>
  </si>
  <si>
    <t>V/109</t>
  </si>
  <si>
    <t>V/110</t>
  </si>
  <si>
    <t>V/111</t>
  </si>
  <si>
    <t>V/112</t>
  </si>
  <si>
    <t>V/113</t>
  </si>
  <si>
    <t>T69 - 2400x1100mm wide fixed glazed window with aluminium frame in powdercoated finish; Acoustic Rating: 35 dB (Area of 1 window panel = 2.64m2)</t>
  </si>
  <si>
    <t>V/114</t>
  </si>
  <si>
    <t>V/115</t>
  </si>
  <si>
    <t>V/116</t>
  </si>
  <si>
    <t>T72 - 2400x1400mm wide glazing unit with aluminium frame in powdercoated finish including 2400x920 mm wide single swing door, fixed window; Acoustic Rating: 35 dB (Area of 1 glazing unit = 3.36m2)</t>
  </si>
  <si>
    <t>Fire rated glazing</t>
  </si>
  <si>
    <t>V/117</t>
  </si>
  <si>
    <t>T79 - 2400x3300mm wide glazing unit with aluminium frame in powdercoated finish including 2400x1800 mm wide double swing door, fixed window; Acoustic Rating: 35 dB (Area of 1 glazing unit = 7.92m2)</t>
  </si>
  <si>
    <t>Films to Window</t>
  </si>
  <si>
    <t>V/118</t>
  </si>
  <si>
    <t>V/119</t>
  </si>
  <si>
    <t>FILM-02 - Frosted decorative window film to senior area glazing</t>
  </si>
  <si>
    <t>V/120</t>
  </si>
  <si>
    <t>V/121</t>
  </si>
  <si>
    <t>V/122</t>
  </si>
  <si>
    <t>V/123</t>
  </si>
  <si>
    <t>2700x1000x35mm thick single leaf swing fire rated solid core door with metal frame in powdercoated finish; FRL: 120</t>
  </si>
  <si>
    <t>V/124</t>
  </si>
  <si>
    <t>V/125</t>
  </si>
  <si>
    <t>V/126</t>
  </si>
  <si>
    <t>2400x1000mm wide single leaf swing glazed door with aluminium frame in powdercoated finish; Acoustic Rating: Rw 35 (Area of 1 door panel = 2.4m2)</t>
  </si>
  <si>
    <t>V/127</t>
  </si>
  <si>
    <t>V/128</t>
  </si>
  <si>
    <t>V/129</t>
  </si>
  <si>
    <t>V/130</t>
  </si>
  <si>
    <t>2400x860x35mm thick single leaf swing solid core door (NB: Supply and install of aluminium frame measured elsewhere)</t>
  </si>
  <si>
    <t>V/131</t>
  </si>
  <si>
    <t>V/132</t>
  </si>
  <si>
    <t>V/133</t>
  </si>
  <si>
    <t>V/134</t>
  </si>
  <si>
    <t>V/135</t>
  </si>
  <si>
    <t>V/136</t>
  </si>
  <si>
    <t>V/137</t>
  </si>
  <si>
    <t>2400x7100mm wide RD-01 Dorma VariSmart operable wall room divider in PNDB-04 Instyle Ecoustic SC 12mm panel pinboard 'Denim' colour; Acoustic Rating: Rw 50</t>
  </si>
  <si>
    <t>V/138</t>
  </si>
  <si>
    <t>2400x8600mm wide RD-01 Dorma VariSmart operable wall room divider in PNDB-04 Instyle Ecoustic SC 12mm panel pinboard 'Denim' colour; Acoustic Rating: Rw 50</t>
  </si>
  <si>
    <t>V/139</t>
  </si>
  <si>
    <t>V/140</t>
  </si>
  <si>
    <t>V/141</t>
  </si>
  <si>
    <t>V/142</t>
  </si>
  <si>
    <t>V/143</t>
  </si>
  <si>
    <t>V/144</t>
  </si>
  <si>
    <t>V/145</t>
  </si>
  <si>
    <t>V/146</t>
  </si>
  <si>
    <t>V/147</t>
  </si>
  <si>
    <t>V/148</t>
  </si>
  <si>
    <t>V/149</t>
  </si>
  <si>
    <t>V/150</t>
  </si>
  <si>
    <t>2400x1900mm wide double leaf swing glazed door with aluminium frame in powdercoated finish (Area of 1 door panel = 4.56m2)</t>
  </si>
  <si>
    <t>V/151</t>
  </si>
  <si>
    <t>V/152</t>
  </si>
  <si>
    <t>V/153</t>
  </si>
  <si>
    <t>V/154</t>
  </si>
  <si>
    <t>V/155</t>
  </si>
  <si>
    <t>2100x800x35mm thick single leaf swing solid core door (NB: Supply and install of aluminium frame measured elsewhere)</t>
  </si>
  <si>
    <t>V/156</t>
  </si>
  <si>
    <t>V/157</t>
  </si>
  <si>
    <t>V/158</t>
  </si>
  <si>
    <t>V/159</t>
  </si>
  <si>
    <t>V/160</t>
  </si>
  <si>
    <t>V/161</t>
  </si>
  <si>
    <t>V/162</t>
  </si>
  <si>
    <t>V/163</t>
  </si>
  <si>
    <t>V/164</t>
  </si>
  <si>
    <t>V/165</t>
  </si>
  <si>
    <t>V/166</t>
  </si>
  <si>
    <t>V/167</t>
  </si>
  <si>
    <t>V/168</t>
  </si>
  <si>
    <t>V/169</t>
  </si>
  <si>
    <t>V/170</t>
  </si>
  <si>
    <t>V/171</t>
  </si>
  <si>
    <t>V/172</t>
  </si>
  <si>
    <t>V/173</t>
  </si>
  <si>
    <t>V/174</t>
  </si>
  <si>
    <t>V/175</t>
  </si>
  <si>
    <t>FILM-03 - 75mm high frosted film to primary area glazing</t>
  </si>
  <si>
    <t>V/176</t>
  </si>
  <si>
    <t>V/177</t>
  </si>
  <si>
    <t>V/178</t>
  </si>
  <si>
    <t>V/179</t>
  </si>
  <si>
    <t>V/180</t>
  </si>
  <si>
    <t>V/181</t>
  </si>
  <si>
    <t>V/182</t>
  </si>
  <si>
    <t>V/183</t>
  </si>
  <si>
    <t>V/184</t>
  </si>
  <si>
    <t>V/185</t>
  </si>
  <si>
    <t>V/186</t>
  </si>
  <si>
    <t>V/187</t>
  </si>
  <si>
    <t>V/188</t>
  </si>
  <si>
    <t>T55 - 2400x3000mm wide glazing unit with aluminium frame in powdercoated finish including 2400x1800 mm wide double swing door, fixed window (Area of 1 glazing unit = 7.2m2)</t>
  </si>
  <si>
    <t>V/189</t>
  </si>
  <si>
    <t>T56 - 2400x3170mm wide glazing unit with aluminium frame in powdercoated finish including 2400x1000 mm wide single swing door, fixed window; Acoustic Rating: 35 dB (Area of 1 glazing unit = 7.61m2)</t>
  </si>
  <si>
    <t>V/190</t>
  </si>
  <si>
    <t>V/191</t>
  </si>
  <si>
    <t>V/192</t>
  </si>
  <si>
    <t>T53 - 900x2400mm wide fixed glazed window with aluminium frame in powdercoated finish (Area of 1 window panel = 2.16m2)</t>
  </si>
  <si>
    <t>V/193</t>
  </si>
  <si>
    <t>T78 - 1200mm diameter fixed glazed window with aluminium frame in powdercoated finish (Area of 1 window panel = 1.13m2)</t>
  </si>
  <si>
    <t>V/194</t>
  </si>
  <si>
    <t>V/195</t>
  </si>
  <si>
    <t>V/196</t>
  </si>
  <si>
    <t>T67 - 1600x3850mm wide fixed glazed window with aluminium frame in powdercoated finish; Acoustic Rating: 35 dB (Area of 1 window panel = 6.16m2)</t>
  </si>
  <si>
    <t>V/197</t>
  </si>
  <si>
    <t>V/198</t>
  </si>
  <si>
    <t>T66 - 1600x3000mm wide fixed glazed window with aluminium frame in powdercoated finish; Acoustic Rating: 35 dB (Area of 1 window panel = 4.8m2)</t>
  </si>
  <si>
    <t>V/199</t>
  </si>
  <si>
    <t>T68 - 2400x2760mm wide glazing unit with aluminium frame in powdercoated finish including 2400x1800 mm wide double swing door (Area of 1 glazing unit = 6.62m2)</t>
  </si>
  <si>
    <t>V/200</t>
  </si>
  <si>
    <t>V/201</t>
  </si>
  <si>
    <t>T73 - 1600x3450mm wide fixed glazed window with aluminium frame in powdercoated finish; Acoustic Rating: 35 dB (Area of 1 window panel = 5.52m2)</t>
  </si>
  <si>
    <t>V/202</t>
  </si>
  <si>
    <t>V/203</t>
  </si>
  <si>
    <t>V/204</t>
  </si>
  <si>
    <t>V/205</t>
  </si>
  <si>
    <t>V/206</t>
  </si>
  <si>
    <t>V/207</t>
  </si>
  <si>
    <t>V/208</t>
  </si>
  <si>
    <t>V/209</t>
  </si>
  <si>
    <t>V/210</t>
  </si>
  <si>
    <t>V/211</t>
  </si>
  <si>
    <t>V/212</t>
  </si>
  <si>
    <t>V/213</t>
  </si>
  <si>
    <t>V/214</t>
  </si>
  <si>
    <t>FILM-03 - Frosted decorative window film to primary area glazing</t>
  </si>
  <si>
    <t>V/215</t>
  </si>
  <si>
    <t>V/216</t>
  </si>
  <si>
    <t>V/217</t>
  </si>
  <si>
    <t>V/218</t>
  </si>
  <si>
    <t>TOTAL DOORS, FRAMES &amp; HARDWARE (INCL. INTERNAL GLAZING)</t>
  </si>
  <si>
    <t>W</t>
  </si>
  <si>
    <t>JOINERY &amp; CARPENTRY</t>
  </si>
  <si>
    <t>W/1</t>
  </si>
  <si>
    <t>W/2</t>
  </si>
  <si>
    <t>W/3</t>
  </si>
  <si>
    <t>W/4</t>
  </si>
  <si>
    <t>Refer to following sections of William Clarke College  "Architectural Specification" dated 5 April 2024 by PMDL Architecture + Design: 0181 - Adhesives, sealants and fasteners, 0551 - Joinery, 0611 - Rendering, 0631 - Ceramic Tiling, 0641 - Applied wall finishes, 0671 - Painting</t>
  </si>
  <si>
    <t>W/5</t>
  </si>
  <si>
    <t>Refer to following architectural drawing series: A1000 for "GA Plans", A1200 for "Wall Setout Plan", A1400 for "Reflected Ceilings Plans", A2000 for "Elevations", A3000 for "Sections", A4000 for "Internal Elevations", A5000 for "Joinery Plans"</t>
  </si>
  <si>
    <t>W/6</t>
  </si>
  <si>
    <t>W/7</t>
  </si>
  <si>
    <t>W/8</t>
  </si>
  <si>
    <t>W/9</t>
  </si>
  <si>
    <t>Drawer and door hardware</t>
  </si>
  <si>
    <t>W/10</t>
  </si>
  <si>
    <t>Mitred angles and stopped and fitted ends</t>
  </si>
  <si>
    <t>W/11</t>
  </si>
  <si>
    <t>All shop fabrication work including cutting milling, machining, drilling, grinding and incidental labours</t>
  </si>
  <si>
    <t>W/12</t>
  </si>
  <si>
    <t>Delivery, unloading, erecting and fixing</t>
  </si>
  <si>
    <t>W/13</t>
  </si>
  <si>
    <t>W/14</t>
  </si>
  <si>
    <t>W/15</t>
  </si>
  <si>
    <t>W/16</t>
  </si>
  <si>
    <t>W/17</t>
  </si>
  <si>
    <t>Allow for Contractor's submissions</t>
  </si>
  <si>
    <t>W/18</t>
  </si>
  <si>
    <t>Allow for attending on and making good after all other trades, cutting out and making good defective work</t>
  </si>
  <si>
    <t>W/19</t>
  </si>
  <si>
    <t>W/20</t>
  </si>
  <si>
    <t>W/21</t>
  </si>
  <si>
    <t>Consider EO for curve cutting</t>
  </si>
  <si>
    <t>Joinery</t>
  </si>
  <si>
    <t>W/22</t>
  </si>
  <si>
    <t>J01 - 4440x800x1000mm high S/S bench and shelf to UFD's details</t>
  </si>
  <si>
    <t>W/23</t>
  </si>
  <si>
    <t>J01 - 6000x700x900mm high S/S bench and shelf to UFD's details</t>
  </si>
  <si>
    <t>W/24</t>
  </si>
  <si>
    <t>J02a - 3080x630x900mm high L-shaped underbench cupboard with 18mm thick benchtop in LAM07 finish, two (2) open shelves, two (2) 1-door finger pull shelf cabinets in LAM01 finish with adjustable shelves in MEL01 finish, 100mm high skirting in SKT01 finish</t>
  </si>
  <si>
    <t>W/25</t>
  </si>
  <si>
    <t>J02b - 1695x580x900mm high underbench cupboard with 18mm thick benchtop in LAM07 finish, two (2) open shelves, one (1) 1-door finger pull shelf cabinet in LAM01 finish with adjustable shelf in MEL01 finish, 100mm high skirting in SKT01 finish</t>
  </si>
  <si>
    <t>W/26</t>
  </si>
  <si>
    <t>J02b - 1695x600x900mm high L-shaped underbench cupboard with 18mm thick benchtop in LAM07 finish, two (2) open shelves, one (1) 1-door finger pull shelf cabinet in LAM01 finish with adjustable shelf in MEL01 finish, 100mm high skirting in SKT01 finish</t>
  </si>
  <si>
    <t>W/27</t>
  </si>
  <si>
    <t>J02b - 800x600mm wide foldable table in LAM01 finish</t>
  </si>
  <si>
    <t>W/28</t>
  </si>
  <si>
    <t>J03 - 6970x600x900mm high S/S bench and shelf to UFD's details</t>
  </si>
  <si>
    <t>W/29</t>
  </si>
  <si>
    <t>J27 - 1960x520x2500mm high trapezoidal shaped cupboard with two (2) 1-door cabinet, three (3) fixed panel in PT01 , two (2) joinery handles in HDL01 finish</t>
  </si>
  <si>
    <t>W/30</t>
  </si>
  <si>
    <t>J10 - 9435x600x18mm thick benchtop with SHS support brackets in LAM01 finish</t>
  </si>
  <si>
    <t>W/31</t>
  </si>
  <si>
    <t>J11 - 1170x400x900mm high underbench cupboard with 18mm thick benchtop in LAM01 finish, one (1) 2-door finger pull shelf cabinet in LAM02 finish with adjustable shelves in MEL01 finish, 100mm high skirting in LAM02 finish</t>
  </si>
  <si>
    <t>W/32</t>
  </si>
  <si>
    <t>J11 - 1150x350x1640mm high joinery unit  with four (4) angled bookshelf in LAM02 finish, 100mm high skirting in LAM02 finish</t>
  </si>
  <si>
    <t>W/33</t>
  </si>
  <si>
    <t>J12a - 4885x800x720mm high irregular shaped underbench cupboard with 18mm thick benchtop, one (1) 1-door shelf finger pull cabinet and one (1) 2-door finger pull shelf cabinet in LAM01 finish with adjustable shelves in MEL01 finish, 100mm high skirting; Finish: LAM01</t>
  </si>
  <si>
    <t>W/34</t>
  </si>
  <si>
    <t>J12b - 1000x400x1050mm high underbench cupboard with 18mm thick benchtop in LAM01 finish, one (1) open shelf, one (1)  2-door finger pull shelf cabinet in LAM01 finish with adjustable shelf in MEL01 finish, 100mm high skirting in LAM01 finish</t>
  </si>
  <si>
    <t>W/35</t>
  </si>
  <si>
    <t>J12b - 1990x415x720mm high underbench cupboard with 18mm thick benchtop in LAM01 finish, two (2) 2-door finger pull shelf cabinets in LAM01 finish with adjustable shelves in MEL01 finish, 100mm high skirting in LAM01 finish</t>
  </si>
  <si>
    <t>W/36</t>
  </si>
  <si>
    <t>J12b - 4290x800x18mm thick irregular shaped benchtop in LAM01 finish</t>
  </si>
  <si>
    <t>W/37</t>
  </si>
  <si>
    <t>J13 - 3280x650x550mm high  with six (6) back to back open shelves in LAM01 finish, 100mm high skirting in LAM01 finish</t>
  </si>
  <si>
    <t>W/38</t>
  </si>
  <si>
    <t>J13 - 3285x650x2900mm high  with eight (8) back to back open shelves in LAM01 finish, 100mm high skirting in LAM01 finish</t>
  </si>
  <si>
    <t>W/39</t>
  </si>
  <si>
    <t>J14 - 8634x330x2900mm high  with forty-five (45) open shelves in LAM01 finish, 100mm high skirting in LAM01 finish in LAM01 finish</t>
  </si>
  <si>
    <t>W/40</t>
  </si>
  <si>
    <t>J15 - 1895x315x2900mm high  with sixteen (16) open shelves in LAM01 finish, 100mm high skirting in LAM01 finish</t>
  </si>
  <si>
    <t>W/41</t>
  </si>
  <si>
    <t>J16 - 1685x600x900mm high underbench cupboard with 18mm thick benchtop in LAM07  finish, one (1) 2-door finger pull cabinet, one (1) open shelf for microwave oven, one (1) finger pull drawer, 100mm high skirting in LAM01 finish</t>
  </si>
  <si>
    <t>W/42</t>
  </si>
  <si>
    <t>J16 - 1735x600x900mm high overhead cupboard with two (2) 2-door finger pull shelf cabinets in LAM01 finish with adjustable shelves in MEL01 finish</t>
  </si>
  <si>
    <t>W/43</t>
  </si>
  <si>
    <t>J16 - 1735x600x900mm high fridge overhead cupboard with one (1) 2-door push to open cabinet in LAM01 finish</t>
  </si>
  <si>
    <t>W/44</t>
  </si>
  <si>
    <t>J17 - 11208x750x400mm high irregular shaped tiered seating; Finish: CPT06 with plywood and rounded aluminium angle (refer to dwg. A5016-A for finish termination)</t>
  </si>
  <si>
    <t>W/45</t>
  </si>
  <si>
    <t>J17 - 12213x750x400mm high irregular shaped tiered seating; Finish: CPT07 with plywood and rounded aluminium angle (refer to dwg. A5016-A for finish termination)</t>
  </si>
  <si>
    <t>W/46</t>
  </si>
  <si>
    <t>J17 - 13051x750x400mm high irregular shaped tiered seating; Finish: CPT09 with plywood and rounded aluminium angle (refer to dwg. A5016-A for finish termination)</t>
  </si>
  <si>
    <t>W/47</t>
  </si>
  <si>
    <t>2500x400x18mm thick benchtop in LAM07 finish</t>
  </si>
  <si>
    <t>W/48</t>
  </si>
  <si>
    <t>J20 - 8630x1200x900mm high underbench cupboard with 18mm thick benchtop in LAM07 finish, one (1) 2-door finger pull shelf cabinet with adjustable shelves in MEL01 finish, one (1) 1-door finger pull adjustable shelf cabinet, four (4) open shelves for microwave oven, one (1) open shelf for freezer, twenty (20) finger pull drawers, 100mm high skirting in LAM06 finish</t>
  </si>
  <si>
    <t>W/49</t>
  </si>
  <si>
    <t>J21a - 600x675x2500mm high tall cupboard with two (2) open shelves for microwave oven, one (1) 2-door finger pull shelf cabinet in LAM06 finish with adjustable shelf in MEL01 finish, one (1) finger pull drawer in LAM06 finish</t>
  </si>
  <si>
    <t>W/50</t>
  </si>
  <si>
    <t>J21a - 960x680x650mm high fridge overhead cupboard with one (1) 2-door push to open shelf cabinet in LAM06 finish with adjustable shelf in MEL01 finish</t>
  </si>
  <si>
    <t>W/51</t>
  </si>
  <si>
    <t>J21a - 3418x676x900mm high underbench cupboard with 20mm thick benchtop in ST01 finish, two (2) 1-door finger pull cabinets, one (1) 2-door finger pull cabinet, one (1) finger pull shelf cabinet in LAM06 finish with adjustable shelf in MEL01 finish, 100mm high skirting in LAM06 finish</t>
  </si>
  <si>
    <t>W/52</t>
  </si>
  <si>
    <t>J21a - 3418x300x1000mm high overhead cupboard with three (3) 2-door finger pull shelf cabinets in LAM06 finish with adjustable shelves in MEL01 finish</t>
  </si>
  <si>
    <t>W/53</t>
  </si>
  <si>
    <t>J21b - 1500x600x1100mm high underbench cupboard with 18mm thick benchtop in LAM05 finish, three (3) 1-door cabinets in LAM06 finish, 100mm high skirting in LAM06 finish</t>
  </si>
  <si>
    <t>W/54</t>
  </si>
  <si>
    <t>J22 - 543x750x1000mm high underbench cupboard with 18mm thick benchtop in LAM05 finish, one (1) 1-door finger pull shelf cabinet in LAM06 finish with adjustable shelf in MEL01 finish, 100mm high skirting in LAM06 finish</t>
  </si>
  <si>
    <t>W/55</t>
  </si>
  <si>
    <t>J22 - 1284x424x1000mm high underbench cupboard with 18mm thick benchtop in LAM05 finish, one (1) 2-door finger pull shelf cabinet in LAM06 finish with adjustable shelf in MEL01 finish, 100mm high skirting in LAM06 finish</t>
  </si>
  <si>
    <t>W/56</t>
  </si>
  <si>
    <t>J22 - 1545x750x1000mm high  with 18mm thick benchtop in LAM05 finishSHS support brackets</t>
  </si>
  <si>
    <t>W/57</t>
  </si>
  <si>
    <t>J23a - 5500x400x2600mm high tall cupboard with twenty (20) open shelves, five (5) 2-door push to open shelf cabinets in LAM05 finish with adjustable shelves in MEL01 finish, 100mm high skirting, 100mm high coving in LAM05 finish</t>
  </si>
  <si>
    <t>W/58</t>
  </si>
  <si>
    <t>J23b - 2660x400x2600mm high tall cupboard with eight (8) open shelves, two (2) 2-door push to open shelf cabinets in LAM05 finish with adjustable shelves in MEL01 finish , 100mm high skirting, 100mm high coving in LAM05 finish</t>
  </si>
  <si>
    <t>W/59</t>
  </si>
  <si>
    <t>J24 - 6464x800x340mm high timber seating with 100mm thick banquette in 'rush' colour</t>
  </si>
  <si>
    <t>W/60</t>
  </si>
  <si>
    <t>W/61</t>
  </si>
  <si>
    <t>J25 - 775x600x550mm high fridge overhead cupboard with two (2) 2-door push open cabinet  in LAM06 finish</t>
  </si>
  <si>
    <t>W/62</t>
  </si>
  <si>
    <t>J25 - 2300x600x900mm high underbench cupboard with 18mm thick benchtop in LAM07 finish, one (1) 2-door finger pull cabinet, one (1) open shelf for microwave oven, four (4) finger pull drawers, 100mm high skirting in LAM06 finish</t>
  </si>
  <si>
    <t>W/63</t>
  </si>
  <si>
    <t>J25 - 2300x600x900mm high overhead cupboard with two (2) 2-door finger pull shelf cabinets in LAM06 finish with adjustable shelves in MEL01 finish</t>
  </si>
  <si>
    <t>Timber Battens</t>
  </si>
  <si>
    <t>TMB02 (NB: No details provided in materials schedule; refer to drawing A4205-A)</t>
  </si>
  <si>
    <t>W/64</t>
  </si>
  <si>
    <t>W/65</t>
  </si>
  <si>
    <t>W/66</t>
  </si>
  <si>
    <t>Applied Wall Finishes to Internal Walls</t>
  </si>
  <si>
    <t>PNBD01 - Instyle Ecoustic SC 12mm pinboard in 'Almond' colour</t>
  </si>
  <si>
    <t>W/67</t>
  </si>
  <si>
    <t>W/68</t>
  </si>
  <si>
    <t>PNBD05 - Instyle Ecoustic SC 12mm pinboard in 'Olive' colour</t>
  </si>
  <si>
    <t>W/69</t>
  </si>
  <si>
    <t>PNBD14 - 12mm woven image pinboard in '167' colour</t>
  </si>
  <si>
    <t>W/70</t>
  </si>
  <si>
    <t>PNBD15 - 9mm woven image pinboard in '721' colour</t>
  </si>
  <si>
    <t>W/71</t>
  </si>
  <si>
    <t>W/72</t>
  </si>
  <si>
    <t>J04 - 3384x750x900mm high underbench cupboard with 18mm thick benchtop in LAM03 finish, one (1) 2-door finger pull cabinet, one (1) 2-door finger pull shelf cabinet and one (1) 1-door finger pull shelf cabinet in curved LAM01 and LAM03 finish with adjustable shelves in MEL01 finish, 100mm high skirting in VFS05 finish (refer to dwg. A5005-A for finish termination)</t>
  </si>
  <si>
    <t>W/73</t>
  </si>
  <si>
    <t>J04 - 3384x750x2120mm high tall cupboard with two (2) 2-door shelf cabinets, one (1) 1-door shelf cabinet in curved LAM01 and LAM03 finish with adjustable shelves in MEL01 finish, five (5) joinery handles in HDL01 finish, 100mm high skirting in VFS05 finish (refer to dwg. A5005-A for finish termination)</t>
  </si>
  <si>
    <t>W/74</t>
  </si>
  <si>
    <t>J05 - 7300x800x700mm high curved underbench cupboard with 18mm thick benchtop in LAM01 finish, six (6) finger pull drawers in LAM01 finish, two (2) return trolley, 200mm high skirting in LAM03 finish</t>
  </si>
  <si>
    <t>W/75</t>
  </si>
  <si>
    <t>J06a - 1045x600x900mm high underbench cupboard with 18mm thick benchtop, one (1) 2-door finger pull shelf cabinet in LAM01 finish with adjustable shelves in MEL-01 finish, 100mm high skirting in LAM01 finish</t>
  </si>
  <si>
    <t>W/76</t>
  </si>
  <si>
    <t>J06b - 4084x600x900mm high underbench cupboard with 18mm thick benchtop, four (4) 2-door finger pull shelf cabinets with adjustable shelves in MEL01 finish, 100mm high skirting in LAM01 finish</t>
  </si>
  <si>
    <t>W/77</t>
  </si>
  <si>
    <t>J07 - 5680x600x18mm thick curved benchtop with SHS support brackets in LAM01 finish</t>
  </si>
  <si>
    <t>W/78</t>
  </si>
  <si>
    <t>J08 - 775x675x550mm high fridge overhead cupboard with one (1) 2-door push open cabinet in LAM01 finish</t>
  </si>
  <si>
    <t>W/79</t>
  </si>
  <si>
    <t>J08 - 2886x300x900mm high overhead cupboard with two (2) 2-door finger pull shelf cabinets and one (1) 1-door finger pull shelf cabinet in LAM01 finish with adjustable shelves in MEL01 finish</t>
  </si>
  <si>
    <t>W/80</t>
  </si>
  <si>
    <t>J08 - 2886x600x900mm high underbench cupboard with 18mm thick benchtop in LAM07 finish, one (1) 2-door finger pull cabinet, one (1) 1-door finger pull cabinet, one (1) open shelf for microwave oven, four (4) finger pull drawers , 100mm high skirting in LAM01 finish</t>
  </si>
  <si>
    <t>W/81</t>
  </si>
  <si>
    <t>J09 - 8430x750x450mm high curved tiered seating; Finish: CPT12 with plywood and rounded aluminium angle (refer to dwg. A5008-A for finish termination)</t>
  </si>
  <si>
    <t>W/82</t>
  </si>
  <si>
    <t>J26 - 1800x540x2700mm high tall cupboard with one (1) 2-door cabinet, one (1) 1-door cabinet, three (3) fixed panel in PT01 finish, three (3) joinery handles in HDL01 finish</t>
  </si>
  <si>
    <t>W/83</t>
  </si>
  <si>
    <t>J28 - 1582x465x2790mm high tall cupboard with three (3) 1-door cabinet, three (3) fixed panel in PT01 finish, three (3) joinery handles in HDL01 finish</t>
  </si>
  <si>
    <t>W/84</t>
  </si>
  <si>
    <t>J29 - 990x520x3000mm high tall cupboard with one (1) 2-door cabinet, two (2) fixed panel in PT02 finish, two (2) joinery handles in HDL01 finish</t>
  </si>
  <si>
    <t>W/85</t>
  </si>
  <si>
    <t>J18 - 8450x600x300mm high curved tiered seating; Finish: CPT10 with plywood and rounded aluminium angle (Refer to dwg. A5019-A for finish termination)</t>
  </si>
  <si>
    <t>W/86</t>
  </si>
  <si>
    <t>J18 - 8460x600x300mm high curved tiered seating; Finish: CPT11 with plywood and rounded aluminium angle (Refer to dwg. A5019-A for finish termination)</t>
  </si>
  <si>
    <t>W/87</t>
  </si>
  <si>
    <t>J19 - 5200x500x500mm high overhead cupboard with three (3) 2-door push to open  shelf cabinets and three (3) 1-door push to open  shelf cabinet in LAM05 finish with adjustable shelves in MEL01 finish</t>
  </si>
  <si>
    <t>W/88</t>
  </si>
  <si>
    <t>J19 - 5200x500x650mm high underbench cupboard with forty-four (44) open shelves, 100mm high skirting in LAM05 finish</t>
  </si>
  <si>
    <t>W/89</t>
  </si>
  <si>
    <t>J19 - 775x470x1250mm high tall cupboard with one (1) 1-door finger pull shelf cabinet in PNBD01 finish with fixed shelves in MEL01 finish</t>
  </si>
  <si>
    <t>W/90</t>
  </si>
  <si>
    <t>3500x400x18mm thick benchtop in LAM07 finish</t>
  </si>
  <si>
    <t>W/91</t>
  </si>
  <si>
    <t>U2 - 3000x500mm wide rectangular with 7-door individual locker with 400x700mm dimension per locker in Eeger laminate and 18mm particle board; Supplier: ForestOne finish</t>
  </si>
  <si>
    <t>W/92</t>
  </si>
  <si>
    <t>U3 - 4800x500mm wide rectangular with 12-door individual locker with 400x700mm dimension per locker in Eeger laminate and 18mm particle board; Supplier: ForestOne finish</t>
  </si>
  <si>
    <t>W/93</t>
  </si>
  <si>
    <t>U4 - 4800x500mm wide rectangular with 24-door individual locker with 400x700mm dimension per locker in Eeger laminate and 18mm particle board; Supplier: ForestOne finish</t>
  </si>
  <si>
    <t>W/94</t>
  </si>
  <si>
    <t>U5 - 3800x500mm wide rectangular with 9-door individual locker with 400x700mm dimension per locker in Eeger laminate and 18mm particle board; Supplier: ForestOne finish</t>
  </si>
  <si>
    <t>W/95</t>
  </si>
  <si>
    <t>U6 - 3400x500mm wide rectangular with 8-door individual locker with 400x700mm dimension per locker in Eeger laminate and 18mm particle board; Supplier: ForestOne finish</t>
  </si>
  <si>
    <t>W/96</t>
  </si>
  <si>
    <t>U8 - 8500x500mm wide rectangular with 40-door individual locker in two rows with 400x700mm dimension per locker in Eeger laminate and 18mm particle board; Supplier: ForestOne finish</t>
  </si>
  <si>
    <t>W/97</t>
  </si>
  <si>
    <t>U9 - 6400x500mm wide rectangular with 20-door on one wing and 12-door on perpendicular wing individual locker in two rows with 400x700mm dimension per locker in Eeger laminate and 18mm particle board; Supplier: ForestOne finish</t>
  </si>
  <si>
    <t>W/98</t>
  </si>
  <si>
    <t>W/99</t>
  </si>
  <si>
    <t>W/100</t>
  </si>
  <si>
    <t>W/101</t>
  </si>
  <si>
    <t>W/102</t>
  </si>
  <si>
    <t>U1 - 2200x500mm wide rectangular with 5-door individual locker with 400x700mm dimension per locker in Eeger laminate and 18mm particle board; Supplier: ForestOne finish</t>
  </si>
  <si>
    <t>W/103</t>
  </si>
  <si>
    <t>W/104</t>
  </si>
  <si>
    <t>W/105</t>
  </si>
  <si>
    <t>W/106</t>
  </si>
  <si>
    <t>W/107</t>
  </si>
  <si>
    <t>U7 - 4400x500mm wide rectangular with 22-door individual locker in two rows with 400x700mm dimension per locker in Eeger laminate and 18mm particle board; Supplier: ForestOne finish</t>
  </si>
  <si>
    <t>W/108</t>
  </si>
  <si>
    <t>W/109</t>
  </si>
  <si>
    <t>W/110</t>
  </si>
  <si>
    <t>PNBD03 - Instyle Ecoustic SC 12mm pinboard in 'Isle' colour</t>
  </si>
  <si>
    <t>W/111</t>
  </si>
  <si>
    <t>PNBD04 - Instyle Ecoustic SC 12mm pinboard in 'Denim' colour</t>
  </si>
  <si>
    <t>W/112</t>
  </si>
  <si>
    <t>W/113</t>
  </si>
  <si>
    <t>Curve Cutting to PNBD04</t>
  </si>
  <si>
    <t>W/114</t>
  </si>
  <si>
    <t>TOTAL JOINERY &amp; CARPENTRY</t>
  </si>
  <si>
    <t>X</t>
  </si>
  <si>
    <t>WINDOW BLINDS</t>
  </si>
  <si>
    <t>X/1</t>
  </si>
  <si>
    <t>X/2</t>
  </si>
  <si>
    <t>X/3</t>
  </si>
  <si>
    <t>X/4</t>
  </si>
  <si>
    <t>Refer to following architectural drawing series: A0130 for "GA Plans", A100 for "North and South GA Plan", A1400 for "RCP"</t>
  </si>
  <si>
    <t>X/5</t>
  </si>
  <si>
    <t>Refer to architectural drawing A4150-A for "Ceiling Details"</t>
  </si>
  <si>
    <t>X/6</t>
  </si>
  <si>
    <t>X/7</t>
  </si>
  <si>
    <t>X/8</t>
  </si>
  <si>
    <t>X/9</t>
  </si>
  <si>
    <t>X/10</t>
  </si>
  <si>
    <t>X/11</t>
  </si>
  <si>
    <t>X/12</t>
  </si>
  <si>
    <t>Window coverings to be supplied and installed by client</t>
  </si>
  <si>
    <t>Window Blinds</t>
  </si>
  <si>
    <t>X/13</t>
  </si>
  <si>
    <t>BLIND-01 - (NB: no specific details provided)</t>
  </si>
  <si>
    <t>X/14</t>
  </si>
  <si>
    <t>TOTAL WINDOW BLINDS</t>
  </si>
  <si>
    <t>Y</t>
  </si>
  <si>
    <t>METALWORK</t>
  </si>
  <si>
    <t>Y/1</t>
  </si>
  <si>
    <t>Y/2</t>
  </si>
  <si>
    <t>Y/3</t>
  </si>
  <si>
    <t>Refer to following sections of William Clarke College  "Architectural Specification" dated 5 April 2024 by PMDL Architecture + Design: 0191 - Stair Nosing, 0411 - Waterproofing/Tanking</t>
  </si>
  <si>
    <t>Y/4</t>
  </si>
  <si>
    <t>Y/5</t>
  </si>
  <si>
    <t>Refer to following sections of William Clarke College  "Architectural Specification" dated 5 April 2024 by PMDL Architecture + Design: 0181 - Adhesives, sealants and fasteners, 0183 - Metals and Pre-finishes, 0611 - Rendering, 0631 - Ceramic Tiling, 0641 - Applied wall finishes, 0671 - Painting</t>
  </si>
  <si>
    <t>Y/6</t>
  </si>
  <si>
    <t>Refer to following architectural drawing series: A1000 for "GA Plans", A1200 for "Wall Setout Plan", A1400 for "Reflected Ceilings Plans", A2000 for "Elevations", A3000 for "Sections", A4000 for "Internal Elevations"</t>
  </si>
  <si>
    <t>Y/7</t>
  </si>
  <si>
    <t>Y/8</t>
  </si>
  <si>
    <t>Y/9</t>
  </si>
  <si>
    <t>Cutting to dead lengths and machining ends and bearings</t>
  </si>
  <si>
    <t>Y/10</t>
  </si>
  <si>
    <t>Y/11</t>
  </si>
  <si>
    <t>Y/12</t>
  </si>
  <si>
    <t>Y/13</t>
  </si>
  <si>
    <t>Y/14</t>
  </si>
  <si>
    <t>Y/15</t>
  </si>
  <si>
    <t>Y/16</t>
  </si>
  <si>
    <t>Allow for tests</t>
  </si>
  <si>
    <t>Y/17</t>
  </si>
  <si>
    <t>Y/18</t>
  </si>
  <si>
    <t>Y/19</t>
  </si>
  <si>
    <t>Y/20</t>
  </si>
  <si>
    <t>Allow for 150mm SKT-01 to all areas unless otherwise noted</t>
  </si>
  <si>
    <t>Stair Nosing</t>
  </si>
  <si>
    <t>NSG-01 - Pemko urban edging stair nosings in natural anodised with black silicon carbide infill finish with black insert; Slip Resistance: P5 or R12 grip; Code: DE0700C; Supplier: DTAC.</t>
  </si>
  <si>
    <t>Y/21</t>
  </si>
  <si>
    <t>Y/22</t>
  </si>
  <si>
    <t>Y/23</t>
  </si>
  <si>
    <t>Y/24</t>
  </si>
  <si>
    <t>Aluminium Skirting</t>
  </si>
  <si>
    <t>SKT01 - 150mm high Aluminium skirting in natural anodised finish</t>
  </si>
  <si>
    <t>Y/25</t>
  </si>
  <si>
    <t>Y/26</t>
  </si>
  <si>
    <t>Y/27</t>
  </si>
  <si>
    <t>Y/28</t>
  </si>
  <si>
    <t>Balustrade</t>
  </si>
  <si>
    <t>BAL-01- 1200mm stainless steel vertical flat bar module</t>
  </si>
  <si>
    <t>Y/29</t>
  </si>
  <si>
    <t>Level 1 (A-1001 to A1002)</t>
  </si>
  <si>
    <t>Y/30</t>
  </si>
  <si>
    <t>Level 2 (A-1003 to A1004)</t>
  </si>
  <si>
    <t>Y/31</t>
  </si>
  <si>
    <t>Level 3 (A-1005 to A1006)</t>
  </si>
  <si>
    <t>Y/32</t>
  </si>
  <si>
    <t>Level 4 (A-1007 to A1008)</t>
  </si>
  <si>
    <t>BAL-02- 1200mm stainless steel vertical flat bar module, top fixed</t>
  </si>
  <si>
    <t>Y/33</t>
  </si>
  <si>
    <t>Y/34</t>
  </si>
  <si>
    <t>Y/35</t>
  </si>
  <si>
    <t>Gate</t>
  </si>
  <si>
    <t>1200mm x 1230 mm wide access gate (NB: No details provided, dimension measured based on plan. Refer to Dwg.  A3001 )</t>
  </si>
  <si>
    <t>Y/36</t>
  </si>
  <si>
    <t>1200mm x 1230 mm wide swing gate (NB: No details provided, dimension measured based on plan. Refer to Dwg.  A3004 )</t>
  </si>
  <si>
    <t>Y/37</t>
  </si>
  <si>
    <t>Grated and Linear Drains</t>
  </si>
  <si>
    <t>GD-01 - 106mm wide stormwater grates or pit cover, Stormtech 100TRi20MTL Linear Drain Grate Finish-Stainless Steel Channel</t>
  </si>
  <si>
    <t>Y/38</t>
  </si>
  <si>
    <t>Y/39</t>
  </si>
  <si>
    <t>250mm wide stormwater grates or pit cover (NB: No details provided)</t>
  </si>
  <si>
    <t>Y/40</t>
  </si>
  <si>
    <t>300mm wide stormwater grates or pit cover (NB: No details provided)</t>
  </si>
  <si>
    <t>Y/41</t>
  </si>
  <si>
    <t>Handrails</t>
  </si>
  <si>
    <t>HR-01 - 40mm nom stainless steel tube with capped ends, caps to neatly and evenly fillet welded, provided with 12mm SS welded spigot joint anchors to handrail. Maximum distance between anchors to be 1200mm.</t>
  </si>
  <si>
    <t>Y/42</t>
  </si>
  <si>
    <t>Y/43</t>
  </si>
  <si>
    <t>Y/44</t>
  </si>
  <si>
    <t>Y/45</t>
  </si>
  <si>
    <t>Tactile Indicators</t>
  </si>
  <si>
    <t>TGSI-02 - DTAC DT0113 Tactile terraced stainless steel (316) carpet system (low pile), Colour: Stainless steel, LRV: 38.81 (Dry) check minimum luminance contrast of 30%, Slip resistance: P5 or R12 grip</t>
  </si>
  <si>
    <t>TGSI-02 - 2820mm x 600mm wide</t>
  </si>
  <si>
    <t>Y/46</t>
  </si>
  <si>
    <t>Y/47</t>
  </si>
  <si>
    <t>Y/48</t>
  </si>
  <si>
    <t>Y/49</t>
  </si>
  <si>
    <t>Access Walkways</t>
  </si>
  <si>
    <t>RA-01 - Web forge platform, Hi - Light Industries HA255 or similar</t>
  </si>
  <si>
    <t>Y/50</t>
  </si>
  <si>
    <t>Y/51</t>
  </si>
  <si>
    <t>Vermin Mesh</t>
  </si>
  <si>
    <t>Vermin mesh to western store room wall (NB: Refer to Dwg. A4004 rev. A, section 2 for "FAÇADE-Level 4 Western")</t>
  </si>
  <si>
    <t>Y/52</t>
  </si>
  <si>
    <t>Floor Accessories</t>
  </si>
  <si>
    <t>FW - Floor waste (No details provided refer to Dwg. A1002 rev. A))</t>
  </si>
  <si>
    <t>Y/53</t>
  </si>
  <si>
    <t>RWO -  Rain water outlet (No details provided refer to Dwg. A1007 to 1008 rev. A))</t>
  </si>
  <si>
    <t>Y/54</t>
  </si>
  <si>
    <t>Y/55</t>
  </si>
  <si>
    <t>Y/56</t>
  </si>
  <si>
    <t>Y/57</t>
  </si>
  <si>
    <t>Y/58</t>
  </si>
  <si>
    <t>Y/59</t>
  </si>
  <si>
    <t>Y/60</t>
  </si>
  <si>
    <t>Y/61</t>
  </si>
  <si>
    <t>NSG-02 - Pemko urban carpet edging stair nosings in natural anodised with black silicon carbide infill finish with black insert; Slip Resistance: P5 or R12 grip; Code: DE0780C; Supplier: DTAC</t>
  </si>
  <si>
    <t>Y/62</t>
  </si>
  <si>
    <t>Y/63</t>
  </si>
  <si>
    <t>Y/64</t>
  </si>
  <si>
    <t>Y/65</t>
  </si>
  <si>
    <t>Y/66</t>
  </si>
  <si>
    <t>Y/67</t>
  </si>
  <si>
    <t>Y/68</t>
  </si>
  <si>
    <t>Y/69</t>
  </si>
  <si>
    <t>BAL-03- 1200mm stainless steel vertical flat bar module with glass panels top fixed</t>
  </si>
  <si>
    <t>Y/70</t>
  </si>
  <si>
    <t>Y/71</t>
  </si>
  <si>
    <t>Y/72</t>
  </si>
  <si>
    <t>HR-03 - 40mm nom stainless steel tube with capped ends double handrail, caps to neatly and evenly fillet welded, provided with 12mm SS welded spigot joint anchors to handrail. Maximum distance between anchors to be 1200mm.</t>
  </si>
  <si>
    <t>Y/73</t>
  </si>
  <si>
    <t>Y/74</t>
  </si>
  <si>
    <t>Y/75</t>
  </si>
  <si>
    <t>Y/76</t>
  </si>
  <si>
    <t>TGSI-01 - DTAC DT0210 Black top terraced warning tactile indicator (Spiked),Colour: stainless steel with black top, LRV: 5.9 (Dry) check minimum luminance contrast of 30%, Slip resistance: P5 or R11 grip</t>
  </si>
  <si>
    <t>TGSI-01 - 1400mm x 300mm wide</t>
  </si>
  <si>
    <t>Y/77</t>
  </si>
  <si>
    <t>TGSI-01 - 1400mm x 600mm wide</t>
  </si>
  <si>
    <t>Y/78</t>
  </si>
  <si>
    <t>TGSI-01 - 1500mm x 300mm wide</t>
  </si>
  <si>
    <t>Y/79</t>
  </si>
  <si>
    <t>Y/80</t>
  </si>
  <si>
    <t>Y/81</t>
  </si>
  <si>
    <t>TGSI-01 - 1620mm x 600mm wide</t>
  </si>
  <si>
    <t>Y/82</t>
  </si>
  <si>
    <t>TGSI-01 - 1820mm x 600mm wide</t>
  </si>
  <si>
    <t>Y/83</t>
  </si>
  <si>
    <t>Y/84</t>
  </si>
  <si>
    <t>Y/85</t>
  </si>
  <si>
    <t>TGSI-01 - 2585mm x 300mm wide</t>
  </si>
  <si>
    <t>Y/86</t>
  </si>
  <si>
    <t>TGSI-01 - 3500mm x 300mm wide</t>
  </si>
  <si>
    <t>Y/87</t>
  </si>
  <si>
    <t>TGSI-01 - 6590mm x 600mm wide</t>
  </si>
  <si>
    <t>Y/88</t>
  </si>
  <si>
    <t>RA-01 - Webforge platform, Hi - Light Industries HA255 or similar</t>
  </si>
  <si>
    <t>Y/89</t>
  </si>
  <si>
    <t>Y/90</t>
  </si>
  <si>
    <t>Y/91</t>
  </si>
  <si>
    <t>Y/92</t>
  </si>
  <si>
    <t>TOTAL METALWORK</t>
  </si>
  <si>
    <t>Z</t>
  </si>
  <si>
    <t>SIGNAGE</t>
  </si>
  <si>
    <t>Z/1</t>
  </si>
  <si>
    <t>Z/2</t>
  </si>
  <si>
    <t>Z/3</t>
  </si>
  <si>
    <t>Z/4</t>
  </si>
  <si>
    <t>Refer to following sections of William Clarke College  "Architectural Specification" dated 5 April 2024 by PMDL Architecture + Design: 0581 - Signage, 0181 - Adhesives, sealants and fasteners</t>
  </si>
  <si>
    <t>Z/5</t>
  </si>
  <si>
    <t>Refer to following architectural drawing series: A0130 for "GA Plans", A100 for "North and South GA Plan", A2000 for "Elevations", A3000 for "Sections"</t>
  </si>
  <si>
    <t>Z/6</t>
  </si>
  <si>
    <t>Z/7</t>
  </si>
  <si>
    <t>Z/8</t>
  </si>
  <si>
    <t>Z/9</t>
  </si>
  <si>
    <t>Z/10</t>
  </si>
  <si>
    <t>Z/11</t>
  </si>
  <si>
    <t>Z/12</t>
  </si>
  <si>
    <t>Allow for Braille/tactile signage as per BCA requirements to be provided as noted in BCA Specification 15 Braille and tactile signs to hearing augmentation where provided for each floor to north and south building.</t>
  </si>
  <si>
    <t>Z/13</t>
  </si>
  <si>
    <t>Allow for identification of the latch operation device where door operation device is not located on the door itself (example manual control for automated door) there Braille and tactile signage complying with BCA</t>
  </si>
  <si>
    <t>SIGN-01 - PBS-UT - Unisex Toilet, 180mm x 235mm Male/Female Toilets (Braille) Proprietary Signage. Black on silver Polypropylene with Braille and tactile</t>
  </si>
  <si>
    <t>Z/14</t>
  </si>
  <si>
    <t>Z/15</t>
  </si>
  <si>
    <t>Z/16</t>
  </si>
  <si>
    <t>SIGN-01 - PBS-MT - Male Toilet, 180mm x 235mm Male/Female Toilets (Braille) Proprietary Signage. Black on silver Polypropylene with Braille and tactile</t>
  </si>
  <si>
    <t>Z/17</t>
  </si>
  <si>
    <t>SIGN-01 - PBS-FT - Female Toilet, 180mm x 235mm Male/Female Toilets (Braille) Proprietary Signage. Black on silver Polypropylene with Braille and tactile</t>
  </si>
  <si>
    <t>Z/18</t>
  </si>
  <si>
    <t>SIGN-01 - PBS-MT - Male Ambulant Toilet, 180mm x 235mm Male/Female Toilets (Braille) Proprietary Signage. Black on silver Polypropylene with Braille and tactile</t>
  </si>
  <si>
    <t>Z/19</t>
  </si>
  <si>
    <t>Z/20</t>
  </si>
  <si>
    <t>SIGN-01 - PBS-FT - Female Ambulant Toilet, 180mm x 235mm Male/Female Toilets (Braille) Proprietary Signage. Black on silver Polypropylene with Braille and tactile</t>
  </si>
  <si>
    <t>Z/21</t>
  </si>
  <si>
    <t>SIGN-02 - PBS-UATLH/RH-Unisex Access Toilet, 180mm x 235mm Male/Female Toilets (Braille) Proprietary Signage. Black on silver Polypropylene with Braille and tactile</t>
  </si>
  <si>
    <t>Z/22</t>
  </si>
  <si>
    <t>Z/23</t>
  </si>
  <si>
    <t>SIGN-03 -PB-SNASlimExit "Exit Level", Slimline 1.2mm Anodised Aluminium Exit Signs BCA Compliant 2 at each door with an illuminated exit sign. Black on silver Polypropylene</t>
  </si>
  <si>
    <t>Z/24</t>
  </si>
  <si>
    <t>Z/25</t>
  </si>
  <si>
    <t>Z/26</t>
  </si>
  <si>
    <t>Z/27</t>
  </si>
  <si>
    <t>SIGN-04 - Statutory Signage - 20mm high standard Statutory signage "FIRE SAFETY", "DO NOT OBSTRUCT", and "DO NOT KEEP OPEN". ESD specification by HDR - Greenstar Credit 13.1: Indoor Pollutants - Paints, Adhesives, Sealants and Carpets compliant.</t>
  </si>
  <si>
    <t>Z/28</t>
  </si>
  <si>
    <t>Z/29</t>
  </si>
  <si>
    <t>Z/30</t>
  </si>
  <si>
    <t>Z/31</t>
  </si>
  <si>
    <t>SIGN-05 - Standard Statutory Signage - 8mm high (title), 2.5mm (remainder)  "OFFENCE RELATING TO FIRE EXITS". ESD specification by HDR - Greenstar Credit 13.1: Indoor Pollutants - Paints, Adhesives, Sealants and Carpets compliant.</t>
  </si>
  <si>
    <t>Z/32</t>
  </si>
  <si>
    <t>Z/33</t>
  </si>
  <si>
    <t>Z/34</t>
  </si>
  <si>
    <t>Z/35</t>
  </si>
  <si>
    <t>SIGN-06 - All Electrical, Comms and Mechanical Statutory Signage Standard Statutory Signage - 650mm wide signage panels. Centre installed on door panels, in capital letters no less than 50 mm high and has contrasting background. TGS Still Blue acrylic with font fixed white individual lettering. ESD specification by HDR - Greenstar Credit 13.1: Indoor Pollutants - Paints, Adhesives, Sealants and Carpets compliant.</t>
  </si>
  <si>
    <t>Z/36</t>
  </si>
  <si>
    <t>Z/37</t>
  </si>
  <si>
    <t>Z/38</t>
  </si>
  <si>
    <t>Z/39</t>
  </si>
  <si>
    <t>White Vinyl Film Signage " GENERAL WASTE" (NB: Refer to Dwg. A5025 rev. A for J21b - Staff Bins Detail)</t>
  </si>
  <si>
    <t>Z/40</t>
  </si>
  <si>
    <t>White Vinyl Film Signage "CARDBOARD" (NB: Refer to Dwg. A5025 rev. A for J21b - Staff Bins Detail)</t>
  </si>
  <si>
    <t>Z/41</t>
  </si>
  <si>
    <t>White Vinyl Film Signage "PLASTIC" (NB: Refer to Dwg. A5025 rev. A for J21b - Staff Bins Detail)</t>
  </si>
  <si>
    <t>Z/42</t>
  </si>
  <si>
    <t>Braille/tactile signage as per BCA requirements to be provided as noted in BCA Specification 15 Braille and tactile signs to hearing augmentation where provided.</t>
  </si>
  <si>
    <t>Z/43</t>
  </si>
  <si>
    <t>Z/44</t>
  </si>
  <si>
    <t>Z/45</t>
  </si>
  <si>
    <t>Z/46</t>
  </si>
  <si>
    <t>Braille/tactile signage as per BCA requirements to be provided as noted in BCA Specification 15 Braille and tactile signs to all non-accessible entry points from the site boundary require with arrow pointing towards accessible entry</t>
  </si>
  <si>
    <t>Z/47</t>
  </si>
  <si>
    <t>Z/48</t>
  </si>
  <si>
    <t>Z/49</t>
  </si>
  <si>
    <t>Z/50</t>
  </si>
  <si>
    <t>Z/51</t>
  </si>
  <si>
    <t>Z/52</t>
  </si>
  <si>
    <t>Z/53</t>
  </si>
  <si>
    <t>Z/54</t>
  </si>
  <si>
    <t>Z/55</t>
  </si>
  <si>
    <t>Z/56</t>
  </si>
  <si>
    <t>Z/57</t>
  </si>
  <si>
    <t>Z/58</t>
  </si>
  <si>
    <t>Z/59</t>
  </si>
  <si>
    <t>Z/60</t>
  </si>
  <si>
    <t>Z/61</t>
  </si>
  <si>
    <t>Z/62</t>
  </si>
  <si>
    <t>Z/63</t>
  </si>
  <si>
    <t>Z/64</t>
  </si>
  <si>
    <t>Z/65</t>
  </si>
  <si>
    <t>Z/66</t>
  </si>
  <si>
    <t>Z/67</t>
  </si>
  <si>
    <t>Z/68</t>
  </si>
  <si>
    <t>Z/69</t>
  </si>
  <si>
    <t>Z/70</t>
  </si>
  <si>
    <t>Z/71</t>
  </si>
  <si>
    <t>Z/72</t>
  </si>
  <si>
    <t>Z/73</t>
  </si>
  <si>
    <t>Z/74</t>
  </si>
  <si>
    <t>Statutory Signage on Door (NB: Refer to Dwg. A5030 rev. A for Fire Cupboards Detail)</t>
  </si>
  <si>
    <t>Z/75</t>
  </si>
  <si>
    <t>Z/76</t>
  </si>
  <si>
    <t>Z/77</t>
  </si>
  <si>
    <t>Z/78</t>
  </si>
  <si>
    <t>Z/79</t>
  </si>
  <si>
    <t>Z/80</t>
  </si>
  <si>
    <t>TOTAL SIGNAGE</t>
  </si>
  <si>
    <t>AA</t>
  </si>
  <si>
    <t>WATERPROOFING &amp; TANKING</t>
  </si>
  <si>
    <t>AA/1</t>
  </si>
  <si>
    <t>AA/2</t>
  </si>
  <si>
    <t>AA/3</t>
  </si>
  <si>
    <t>Refer to following sections of William Clarke College  "Architectural Specification" dated 5 April 2024 by PMDL Architecture + Design: 0411 - Waterproofing - (external &amp; tanking), 0621 - Waterproofing - wet areas</t>
  </si>
  <si>
    <t>AA/4</t>
  </si>
  <si>
    <t>AA/5</t>
  </si>
  <si>
    <t>Refer to following architectural drawing series: A0010 for "Wall Types Schedule", A011 for "Partition Types Schedule, A0130 for "GA Plans", A100 for "North and South GA Plan", A2000 for "Elevations", A3000 for "Sections", A4000 for "Wall Section Details"</t>
  </si>
  <si>
    <t>AA/6</t>
  </si>
  <si>
    <t>Refer to following drawing series: L-CD-101 to L-CD-407 for "Landscape"</t>
  </si>
  <si>
    <t>AA/7</t>
  </si>
  <si>
    <t>Fair edges, dressing over angle fillets, turning into grooves and all other labours</t>
  </si>
  <si>
    <t>AA/8</t>
  </si>
  <si>
    <t>Internal and external angles, fillets, circular edges</t>
  </si>
  <si>
    <t>AA/9</t>
  </si>
  <si>
    <t>Separation strips other than those specifically detailed</t>
  </si>
  <si>
    <t>AA/10</t>
  </si>
  <si>
    <t>Nails, screws, clips, rivets, straps, fixings and the like</t>
  </si>
  <si>
    <t>AA/11</t>
  </si>
  <si>
    <t>AA/12</t>
  </si>
  <si>
    <t>AA/13</t>
  </si>
  <si>
    <t>Temporary screeds, rules and grounds</t>
  </si>
  <si>
    <t>AA/14</t>
  </si>
  <si>
    <t>Laps, square cutting and waste</t>
  </si>
  <si>
    <t>AA/15</t>
  </si>
  <si>
    <t>AA/16</t>
  </si>
  <si>
    <t>Allow for giving notice of and providing facilities for inspection, of tanking components</t>
  </si>
  <si>
    <t>AA/17</t>
  </si>
  <si>
    <t>Allow for protecting the waterproofing from damage throughout the work and cleaning off on completion, including cleaning out of rainwater systems</t>
  </si>
  <si>
    <t>AA/18</t>
  </si>
  <si>
    <t>Allow for ensuring that the roof slab structure is satisfactory before fixing membranes, and providing certification of same prior to commencing installation</t>
  </si>
  <si>
    <t>AA/19</t>
  </si>
  <si>
    <t>AA/20</t>
  </si>
  <si>
    <t>AA/21</t>
  </si>
  <si>
    <t>AA/22</t>
  </si>
  <si>
    <t>AA/23</t>
  </si>
  <si>
    <t>Allow for workshop drawings and details</t>
  </si>
  <si>
    <t>AA/24</t>
  </si>
  <si>
    <t>Refer to Tremco CPG for waterproofing product suggestions and specifications</t>
  </si>
  <si>
    <t>AA/25</t>
  </si>
  <si>
    <t>Waterproofing membrane measurements are based on both schedules and architectural drawings</t>
  </si>
  <si>
    <t>AA/26</t>
  </si>
  <si>
    <t>Waterproofing membrane to up turns and walls of external areas at level 4 are based on wall section plans</t>
  </si>
  <si>
    <t>AA/27</t>
  </si>
  <si>
    <t>Unless noted otherwise, waterproofing to all external walls are measured up to slab soffit/Roof soffit</t>
  </si>
  <si>
    <t>AA/28</t>
  </si>
  <si>
    <t>Waterproofing membrane measurements on planter walls without sufficient details of sections for height are assumed to be 250mm high</t>
  </si>
  <si>
    <t>Waterproofing to Wet Areas</t>
  </si>
  <si>
    <t>WPM-06 - Tremco waterproofing membrane to internal wet areas resistant to permanent wetness; Below Screed: Vulkem NEM; Above Screed: Vulkem H2 Plus</t>
  </si>
  <si>
    <t>Horizontal membrane; applied on wet area floor to falls and/or cross falls</t>
  </si>
  <si>
    <t>AA/29</t>
  </si>
  <si>
    <t>AA/30</t>
  </si>
  <si>
    <t>AA/31</t>
  </si>
  <si>
    <t>AA/32</t>
  </si>
  <si>
    <t>Turn-ups less than or equal to 250mm high; including any angle fillet and dressing over fillets at bottom</t>
  </si>
  <si>
    <t>AA/33</t>
  </si>
  <si>
    <t>AA/34</t>
  </si>
  <si>
    <t>AA/35</t>
  </si>
  <si>
    <t>AA/36</t>
  </si>
  <si>
    <t>Waterproofing to Terrace</t>
  </si>
  <si>
    <t>WPM-01 - Tremco AlphaGuard BIO waterproofing membrane to external areas</t>
  </si>
  <si>
    <t>AA/37</t>
  </si>
  <si>
    <t>AA/38</t>
  </si>
  <si>
    <t>Turn-ups less than or equal to 150mm high; applied to terrace</t>
  </si>
  <si>
    <t>AA/39</t>
  </si>
  <si>
    <t>AA/40</t>
  </si>
  <si>
    <t>Vertical membrane; applied on external walls</t>
  </si>
  <si>
    <t>AA/41</t>
  </si>
  <si>
    <t>Vertical membrane; applied on parapet walls</t>
  </si>
  <si>
    <t>AA/42</t>
  </si>
  <si>
    <t>Waterproofing to External Areas</t>
  </si>
  <si>
    <t>WPM-03 - Tremco AlphaGuard BIO waterproofing membrane to UV exposed, intermittent pedestrian service/maintenance traffic</t>
  </si>
  <si>
    <t>AA/43</t>
  </si>
  <si>
    <t>AA/44</t>
  </si>
  <si>
    <t>AA/45</t>
  </si>
  <si>
    <t>Waterproofing to Roof</t>
  </si>
  <si>
    <t>WPM-05 - Bradford enviroseal HTS roof sarking waterproof membrane</t>
  </si>
  <si>
    <t>AA/46</t>
  </si>
  <si>
    <t>Waterproofing to Planters</t>
  </si>
  <si>
    <t>WPM-07 - TREMproof 250GC waterproof membrane with anti-root additive; Application of TREMCO's specification and approved TREMCO applicator; 20 years warranty</t>
  </si>
  <si>
    <t>Horizontal membrane; applied planter floor to falls and/or cross falls</t>
  </si>
  <si>
    <t>AA/47</t>
  </si>
  <si>
    <t>Level 1 (L-CD-105 to L-CD-107)</t>
  </si>
  <si>
    <t>AA/48</t>
  </si>
  <si>
    <t>AA/49</t>
  </si>
  <si>
    <t>Vertical membrane; applied on planter walls</t>
  </si>
  <si>
    <t>AA/50</t>
  </si>
  <si>
    <t>Waterproofing to lift pits</t>
  </si>
  <si>
    <t>WPM-08 - Tremco TREMproof 250GC</t>
  </si>
  <si>
    <t>AA/51</t>
  </si>
  <si>
    <t>Waterproofing below grade structures</t>
  </si>
  <si>
    <t>AA/52</t>
  </si>
  <si>
    <t>Waterproofing to Treatment Chamber</t>
  </si>
  <si>
    <t>WPM-09 - TREMproof RT plus waterproof membrane; Application of TREMCO's specification and approved TREMCO applicator; 20 years warranty</t>
  </si>
  <si>
    <t>AA/53</t>
  </si>
  <si>
    <t>Level 1 (C.30-A)</t>
  </si>
  <si>
    <t>Waterproofing to Retaining Wall</t>
  </si>
  <si>
    <t>WPM-08 - TREMproof 250GC waterproof membrane; Application of TREMCO's specification and approved TREMCO applicator; 20 years warranty</t>
  </si>
  <si>
    <t>AA/54</t>
  </si>
  <si>
    <t>Level 1 (L-CD-104 to L-CD-106)</t>
  </si>
  <si>
    <t>Waterproofing to Tiered Seating</t>
  </si>
  <si>
    <t>AA/55</t>
  </si>
  <si>
    <t>Level 1 (L-CD-104)</t>
  </si>
  <si>
    <t>AA/56</t>
  </si>
  <si>
    <t>AA/57</t>
  </si>
  <si>
    <t>AA/58</t>
  </si>
  <si>
    <t>AA/59</t>
  </si>
  <si>
    <t>AA/60</t>
  </si>
  <si>
    <t>AA/61</t>
  </si>
  <si>
    <t>AA/62</t>
  </si>
  <si>
    <t>AA/63</t>
  </si>
  <si>
    <t>AA/64</t>
  </si>
  <si>
    <t>AA/65</t>
  </si>
  <si>
    <t>AA/66</t>
  </si>
  <si>
    <t>AA/67</t>
  </si>
  <si>
    <t>AA/68</t>
  </si>
  <si>
    <t>AA/69</t>
  </si>
  <si>
    <t>AA/70</t>
  </si>
  <si>
    <t>AA/71</t>
  </si>
  <si>
    <t>AA/72</t>
  </si>
  <si>
    <t>AA/73</t>
  </si>
  <si>
    <t>WPM-02 - TREMproof AlphaGuard Bio waterproof membrane; Application of TREMCO's specification and approved TREMCO applicator; 20 years warranty</t>
  </si>
  <si>
    <t>AA/74</t>
  </si>
  <si>
    <t>AA/75</t>
  </si>
  <si>
    <t>Vertical membrane; applied on walls below grade</t>
  </si>
  <si>
    <t>AA/76</t>
  </si>
  <si>
    <t>TOTAL WATERPROOFING &amp; TANKING</t>
  </si>
  <si>
    <t>AB</t>
  </si>
  <si>
    <t>TILING/PAVING</t>
  </si>
  <si>
    <t>AB/1</t>
  </si>
  <si>
    <t>AB/2</t>
  </si>
  <si>
    <t>AB/3</t>
  </si>
  <si>
    <t>Refer to following sections of William Clarke College  "Architectural Specification" dated 5 April 2024 by PMDL Architecture + Design: 0181 - Adhesives, sealants and fasteners, 0279 - Pavers on Pedestals, 0631 - Ceramic Tiling</t>
  </si>
  <si>
    <t>AB/4</t>
  </si>
  <si>
    <t>AB/5</t>
  </si>
  <si>
    <t>Refer to following architectural drawing series: A0130 for "GA Plans", A100 for "North and South GA Plan", A2000 for "Elevations", A3000 for "Sections", A4000 for "Wall Section Details", A4000 for "Internal Elevations"</t>
  </si>
  <si>
    <t>AB/6</t>
  </si>
  <si>
    <t>Temporary rules, temporary grounds, temporary screeds and the like</t>
  </si>
  <si>
    <t>AB/7</t>
  </si>
  <si>
    <t>Cutting and making good around pipes, sanitary fittings, floor wastes and the like</t>
  </si>
  <si>
    <t>AB/8</t>
  </si>
  <si>
    <t>All normal bedding and pointing materials, adhesives and the like</t>
  </si>
  <si>
    <t>AB/9</t>
  </si>
  <si>
    <t>Standard glazed edge tiles</t>
  </si>
  <si>
    <t>AB/10</t>
  </si>
  <si>
    <t>Salient and re-entrant corners including trims if required by the documents</t>
  </si>
  <si>
    <t>AB/11</t>
  </si>
  <si>
    <t>AB/12</t>
  </si>
  <si>
    <t>AB/13</t>
  </si>
  <si>
    <t>AB/14</t>
  </si>
  <si>
    <t>AB/15</t>
  </si>
  <si>
    <t>Allow for laying sample panel</t>
  </si>
  <si>
    <t>AB/16</t>
  </si>
  <si>
    <t>AB/17</t>
  </si>
  <si>
    <t>Allow for cleaning and polishing on completion</t>
  </si>
  <si>
    <t>AB/18</t>
  </si>
  <si>
    <t>Allow for grouted and caulked joints</t>
  </si>
  <si>
    <t>AB/19</t>
  </si>
  <si>
    <t>Allow for spare tiles</t>
  </si>
  <si>
    <t>AB/20</t>
  </si>
  <si>
    <t>Allow for preparation of substrate</t>
  </si>
  <si>
    <t>AB/21</t>
  </si>
  <si>
    <t>AB/22</t>
  </si>
  <si>
    <t>Only pavement found on level 3 open terrace are included in this scope; pavers to level 1 are measured elsewhere</t>
  </si>
  <si>
    <t>AB/23</t>
  </si>
  <si>
    <t>All new or modified floor forming envelope of the identified conditioned spaces shall meet Total System R value of less than or equal to 2.0 for floor compliance requirement (Refer to page 14 to 15 of Section J for further details)</t>
  </si>
  <si>
    <t>Tiling to Flooring</t>
  </si>
  <si>
    <t>CFT-01 - 300x600mm wide Yosemite porcelain floor tiles in grey stone look in/out rectified edge; Code: 4256; Slip Rating: P5; Ground Colour: Mapei #110 Manhattan 2000 Supplier: TFO - The Design Lab</t>
  </si>
  <si>
    <t>AB/24</t>
  </si>
  <si>
    <t>AB/25</t>
  </si>
  <si>
    <t>AB/26</t>
  </si>
  <si>
    <t>AB/27</t>
  </si>
  <si>
    <t>CFT-02 - 600x600mm wide porcelain floor tiles in grey stone look in/out rectified edge; Code: 4380; Slip Rating: P5; Grout Colour: Mapei #110 Manhattan 2000 Supplier: TFO - The Design Lab</t>
  </si>
  <si>
    <t>AB/28</t>
  </si>
  <si>
    <t>PAV-01 - 20mm thick VersiPave GP pavers on pedestal system</t>
  </si>
  <si>
    <t>AB/29</t>
  </si>
  <si>
    <t>AB/30</t>
  </si>
  <si>
    <t>Floor Junctions</t>
  </si>
  <si>
    <t>between tile/stone and vinyl</t>
  </si>
  <si>
    <t>AB/31</t>
  </si>
  <si>
    <t>AB/32</t>
  </si>
  <si>
    <t>Tiling to Internal Wall</t>
  </si>
  <si>
    <t>CWT01 - 65x260mm Urban honey glossy ceramic wall tile; Code DL2313; Supplier: The Design Lab</t>
  </si>
  <si>
    <t>AB/33</t>
  </si>
  <si>
    <t>AB/34</t>
  </si>
  <si>
    <t>AB/35</t>
  </si>
  <si>
    <t>CWT03 - 600x300mm White gloss rectified ceramic wall tile; Code DL4620; Supplier: The Design Lab</t>
  </si>
  <si>
    <t>AB/36</t>
  </si>
  <si>
    <t>CWT04 - 300x150mm Grey stone look in/out porcelain tile; Code 4256; Supplier: The Design Lab</t>
  </si>
  <si>
    <t>AB/37</t>
  </si>
  <si>
    <t>AB/38</t>
  </si>
  <si>
    <t>AB/39</t>
  </si>
  <si>
    <t>Tile Edge Guard</t>
  </si>
  <si>
    <t>TRIM01 - Aluminium geometric angle tile edge guard to CWT01; Code AA-121216-3; Supplier: BAT Trims</t>
  </si>
  <si>
    <t>AB/40</t>
  </si>
  <si>
    <t>AB/41</t>
  </si>
  <si>
    <t>AB/42</t>
  </si>
  <si>
    <t>TRIM02 - Aluminium external tile corner guard to CWT03; Code BEC-6-3; Supplier: BAT Trims</t>
  </si>
  <si>
    <t>AB/43</t>
  </si>
  <si>
    <t>AB/44</t>
  </si>
  <si>
    <t>AB/45</t>
  </si>
  <si>
    <t>Tile Skirting</t>
  </si>
  <si>
    <t>150mm high CFT01 - Grey stone look in/out rectified porcelain tile; Code 4256; Supplier: The Design Lab</t>
  </si>
  <si>
    <t>AB/46</t>
  </si>
  <si>
    <t>AB/47</t>
  </si>
  <si>
    <t>AB/48</t>
  </si>
  <si>
    <t>AB/49</t>
  </si>
  <si>
    <t>Screed to flooring</t>
  </si>
  <si>
    <t>Cementitious screed graded to fall on/or new reinforced concrete substrate</t>
  </si>
  <si>
    <t>AB/50</t>
  </si>
  <si>
    <t>AB/51</t>
  </si>
  <si>
    <t>AB/52</t>
  </si>
  <si>
    <t>AB/53</t>
  </si>
  <si>
    <t>AB/54</t>
  </si>
  <si>
    <t>AB/55</t>
  </si>
  <si>
    <t>AB/56</t>
  </si>
  <si>
    <t>AB/57</t>
  </si>
  <si>
    <t>AB/58</t>
  </si>
  <si>
    <t>CWT02 - 65x260mm Urban blue glossy ceramic wall tile; Code DL2312; Supplier: The Design Lab</t>
  </si>
  <si>
    <t>AB/59</t>
  </si>
  <si>
    <t>AB/60</t>
  </si>
  <si>
    <t>AB/61</t>
  </si>
  <si>
    <t>AB/62</t>
  </si>
  <si>
    <t>AB/63</t>
  </si>
  <si>
    <t>AB/64</t>
  </si>
  <si>
    <t>AB/65</t>
  </si>
  <si>
    <t>AB/66</t>
  </si>
  <si>
    <t>AB/67</t>
  </si>
  <si>
    <t>AB/68</t>
  </si>
  <si>
    <t>AB/69</t>
  </si>
  <si>
    <t>AB/70</t>
  </si>
  <si>
    <t>AB/71</t>
  </si>
  <si>
    <t>AB/72</t>
  </si>
  <si>
    <t>TOTAL TILING/PAVING</t>
  </si>
  <si>
    <t>AC</t>
  </si>
  <si>
    <t>VINYL/RESILIENT FINISHES</t>
  </si>
  <si>
    <t>AC/1</t>
  </si>
  <si>
    <t>AC/2</t>
  </si>
  <si>
    <t>AC/3</t>
  </si>
  <si>
    <t>Refer to following sections of William Clarke College  "Architectural Specification" dated 5 April 2024 by PMDL Architecture + Design: 0181 - Adhesives, sealants and fasteners, 0651 - Resilient Finishes, 0641 - Applied wall finishes</t>
  </si>
  <si>
    <t>AC/4</t>
  </si>
  <si>
    <t>Refer to William Clarke College  "Section J4 DTS Report" dated 5 April 2024 by HDR</t>
  </si>
  <si>
    <t>AC/5</t>
  </si>
  <si>
    <t>AC/6</t>
  </si>
  <si>
    <t>Refer to following architectural drawing series: A0130 for "GA Plans", A100 for "North and South GA Plan", A2000 for "Elevations", A3000 for "Sections", A4000 for "Wall Section Details", A3000 for "Sections", A4000 for "Internal Elevations"</t>
  </si>
  <si>
    <t>AC/7</t>
  </si>
  <si>
    <t>AC/8</t>
  </si>
  <si>
    <t>AC/9</t>
  </si>
  <si>
    <t>AC/10</t>
  </si>
  <si>
    <t>AC/11</t>
  </si>
  <si>
    <t>AC/12</t>
  </si>
  <si>
    <t>AC/13</t>
  </si>
  <si>
    <t>AC/14</t>
  </si>
  <si>
    <t>AC/15</t>
  </si>
  <si>
    <t>AC/16</t>
  </si>
  <si>
    <t>AC/17</t>
  </si>
  <si>
    <t>Allow for polishing of vinyl sheeting</t>
  </si>
  <si>
    <t>AC/18</t>
  </si>
  <si>
    <t>Allow for spare materials as specified (1%)</t>
  </si>
  <si>
    <t>AC/19</t>
  </si>
  <si>
    <t>AC/20</t>
  </si>
  <si>
    <t>AC/21</t>
  </si>
  <si>
    <t>Additional floor preparation items not documented but measured for best practice, builder to remove if not required</t>
  </si>
  <si>
    <t>AC/22</t>
  </si>
  <si>
    <t>AC/23</t>
  </si>
  <si>
    <t>Allow for 150mm high coved vinyl or rubber skirting to spaces with vinyl floor finishes</t>
  </si>
  <si>
    <t>Vinyl Flooring</t>
  </si>
  <si>
    <t>VFS-01 - Safetread Universal Plus vinyl flooring in venus colour; Slip test: P5, R12; Code: 3818 110; Supplier: Tarkett</t>
  </si>
  <si>
    <t>AC/24</t>
  </si>
  <si>
    <t>AC/25</t>
  </si>
  <si>
    <t>AC/26</t>
  </si>
  <si>
    <t>VFS-02 - Vinyl flooring (NB: No details provided)</t>
  </si>
  <si>
    <t>AC/27</t>
  </si>
  <si>
    <t>VFS-03 - iQ Surface vinyl flooring in Rouge Airy colour; Slip Test: P4; Code: 21089074; Supplier: Tarkett</t>
  </si>
  <si>
    <t>AC/28</t>
  </si>
  <si>
    <t>AC/29</t>
  </si>
  <si>
    <t>VFS-04 - 250x1500x5mm thick Grayton colour vinyl flooring in Quiet Woods lateral brand finish; Slip rating: P3/R10; Code: LAB218; Supplier: Milliken Ontera. Vinyl laying in Ashlar pattern</t>
  </si>
  <si>
    <t>AC/30</t>
  </si>
  <si>
    <t>AC/31</t>
  </si>
  <si>
    <t>Entry Matt</t>
  </si>
  <si>
    <t>MAT-02 - 1000mm wide Latham recess entry matt in clear anodised standard tread rails and with sparkling black insert including ACKD-10 Aluminium cast in place surrounding frame; Type: RSA Supagrit abrasive insert for dirt control; Slip Resistance: P5</t>
  </si>
  <si>
    <t>AC/32</t>
  </si>
  <si>
    <t>between vinyl and carpet</t>
  </si>
  <si>
    <t>AC/33</t>
  </si>
  <si>
    <t>AC/34</t>
  </si>
  <si>
    <t>Floor Preparation and Protection</t>
  </si>
  <si>
    <t>AC/35</t>
  </si>
  <si>
    <t>Grind floor (if required)</t>
  </si>
  <si>
    <t>AC/36</t>
  </si>
  <si>
    <t>Allow for costs associated with treating concrete slabs to meet AS1884 ready to receive resilient finishes if the required moisture content cannot be achieved including the application of selected sealer</t>
  </si>
  <si>
    <t>AC/37</t>
  </si>
  <si>
    <t>Make good floor levels (3mm ardit / topping), 50% of area allowed</t>
  </si>
  <si>
    <t>AC/38</t>
  </si>
  <si>
    <t>Allow to strip and seal laid vinyl flooring</t>
  </si>
  <si>
    <t>AC/39</t>
  </si>
  <si>
    <t>Allow for floor protection to vinyl areas</t>
  </si>
  <si>
    <t>Laminate to Internal Walls</t>
  </si>
  <si>
    <t>LAM01 - 2800x2070x18mm Eurodekor Panel Brown Cuneo Oak; Code H3317 ST28; Supplier: ForestOne</t>
  </si>
  <si>
    <t>AC/40</t>
  </si>
  <si>
    <t>AC/41</t>
  </si>
  <si>
    <t>LAM07 - 2800x2070x18mm Eurodeok Panel Chromix Silver; Code F638 ST10; Supplier: ForestOne</t>
  </si>
  <si>
    <t>AC/42</t>
  </si>
  <si>
    <t>Vinyl Skirting</t>
  </si>
  <si>
    <t>VFS01 - 150mm high coved skirting in 'Venus' colour; Code 3818110; Supplier: Tarkett</t>
  </si>
  <si>
    <t>AC/43</t>
  </si>
  <si>
    <t>AC/44</t>
  </si>
  <si>
    <t>AC/45</t>
  </si>
  <si>
    <t>VFS03 - 150mm high coved skirting in 'Rouge Airy' finish; Code 21089074; Supplier: Tarkett</t>
  </si>
  <si>
    <t>AC/46</t>
  </si>
  <si>
    <t>VFS04 - 150mm high coved skirting in 'Grayton' colour; Code LAB218; Supplier: Miliken</t>
  </si>
  <si>
    <t>AC/47</t>
  </si>
  <si>
    <t>AC/48</t>
  </si>
  <si>
    <t>Wall Coverings</t>
  </si>
  <si>
    <t>VWC01 - Vinyl Wall covering</t>
  </si>
  <si>
    <t>AC/49</t>
  </si>
  <si>
    <t>AC/50</t>
  </si>
  <si>
    <t>VFS-05 - Prmo premium vinyl flooring in Ocean Blue colour; Slip Test: P4; Code: 21010 638; Supplier: Tarkett</t>
  </si>
  <si>
    <t>AC/51</t>
  </si>
  <si>
    <t>MAT-01 - 1000mm wide Latham recess mounted roll-up entry matt in clear anodised standard tread rails and with silver grey insert including AAF Aluminium standard surrounding frame type; Type: RSA Supagrit abrasive insert for dirt control; Slip Resistance: P5</t>
  </si>
  <si>
    <t>AC/52</t>
  </si>
  <si>
    <t>AC/53</t>
  </si>
  <si>
    <t>AC/54</t>
  </si>
  <si>
    <t>AC/55</t>
  </si>
  <si>
    <t>AC/56</t>
  </si>
  <si>
    <t>AC/57</t>
  </si>
  <si>
    <t>AC/58</t>
  </si>
  <si>
    <t>AC/59</t>
  </si>
  <si>
    <t>AC/60</t>
  </si>
  <si>
    <t>AC/61</t>
  </si>
  <si>
    <t>AC/62</t>
  </si>
  <si>
    <t>LAM03 - 2800x2700x18mm Eurodekor Panel Misty Blue; Code U502 ST9l; Supplier: ForestOne</t>
  </si>
  <si>
    <t>AC/63</t>
  </si>
  <si>
    <t>AC/64</t>
  </si>
  <si>
    <t>Curve Cutting to LAM03</t>
  </si>
  <si>
    <t>AC/65</t>
  </si>
  <si>
    <t>VFS01 - 150mm high coved skirting in 'Ocean blue' colour; Code 21010 638; Supplier: Tarkett</t>
  </si>
  <si>
    <t>AC/66</t>
  </si>
  <si>
    <t>TOTAL VINYL/RESILIENT FINISHES</t>
  </si>
  <si>
    <t>AD</t>
  </si>
  <si>
    <t>CARPET</t>
  </si>
  <si>
    <t>AD/1</t>
  </si>
  <si>
    <t>AD/2</t>
  </si>
  <si>
    <t>AD/3</t>
  </si>
  <si>
    <t>Refer to following sections of William Clarke College  "Architectural Specification" dated 5 April 2024 by PMDL Architecture + Design: 0181 - Adhesives, sealants and fasteners, 0652 - Carpets</t>
  </si>
  <si>
    <t>AD/4</t>
  </si>
  <si>
    <t>AD/5</t>
  </si>
  <si>
    <t>AD/6</t>
  </si>
  <si>
    <t>Allow for all deemed to be included items</t>
  </si>
  <si>
    <t>AD/7</t>
  </si>
  <si>
    <t>AD/8</t>
  </si>
  <si>
    <t>AD/9</t>
  </si>
  <si>
    <t>AD/10</t>
  </si>
  <si>
    <t>AD/11</t>
  </si>
  <si>
    <t>Carpet Finishes</t>
  </si>
  <si>
    <t>CPT-01 - 250x1000x7.4mm thick Colour Composition carpet tiles in abrasion colour with WellBAC Comfort backing; Code: CCM154; Supplier: Miliken Ontera. Tile installation in Ashlar method</t>
  </si>
  <si>
    <t>AD/12</t>
  </si>
  <si>
    <t>AD/13</t>
  </si>
  <si>
    <t>AD/14</t>
  </si>
  <si>
    <t>CPT-02 - 500x500x8.7mm thick Brinny colour carpet tiles in Whale song humpback finish with WellBAC Comfort backing; Code: HUM108-204; Supplier: Milliken Ontera. Tile installation in Ashlar method</t>
  </si>
  <si>
    <t>AD/15</t>
  </si>
  <si>
    <t>AD/16</t>
  </si>
  <si>
    <t>CPT-04 - 250x1000x7.4mm thick Cobble colour carpet tiles in Colour Composition finish with WellBAC Comfort backing; Code: CCM180; Supplier: Milliken Ontera. Tile installation in Ashlar method</t>
  </si>
  <si>
    <t>AD/17</t>
  </si>
  <si>
    <t>CPT-05 - 500x500x7.4mm thick Rust colour carpet tiles in Patina Vibes finish with WellBAC Comfort backing; Code: PAT114-33; Supplier: Milliken Ontera. Tile installation in Ashlar method</t>
  </si>
  <si>
    <t>AD/18</t>
  </si>
  <si>
    <t>AD/19</t>
  </si>
  <si>
    <t>CPT-06 - 500x500x7.4mm thick Brassed off colour carpet tiles in Beyond Caroma finish with WellBAC Comfort backing; Code: CMA231-184; Supplier: Milliken Ontera. Tile installation in Ashlar method</t>
  </si>
  <si>
    <t>AD/20</t>
  </si>
  <si>
    <t>AD/21</t>
  </si>
  <si>
    <t>CPT-07 - 500x500x7.4mm thick Russet colour carpet tiles in Beyond Caroma finish with WellBAC Comfort backing; Code: CMA701-33; Supplier: Milliken Ontera. Tile installation in Ashlar method</t>
  </si>
  <si>
    <t>AD/22</t>
  </si>
  <si>
    <t>CPT-09 - 500x500x7.4mm thick Sand colour carpet tiles in Beyond Caroma finish with WellBAC Comfort backing; Code: CMA14; Supplier: Milliken Ontera. Tile installation in Ashlar method</t>
  </si>
  <si>
    <t>AD/23</t>
  </si>
  <si>
    <t>CPT-10 - 500x500x8.7mm thick Saltwater colour carpet tiles in Whale song beluga finish with WellBAC Comfort backing; Code: BEL201-161; Supplier: Milliken Ontera. Tile installation in Ashlar method</t>
  </si>
  <si>
    <t>AD/24</t>
  </si>
  <si>
    <t>CPT-11 - 500x500x8.7mm thick Marine colour carpet tiles in Whale song beluga finish with WellBAC Comfort backing; Code: BEL125-201; Supplier: Milliken Ontera. Tile installation in Ashlar method</t>
  </si>
  <si>
    <t>AD/25</t>
  </si>
  <si>
    <t>CPT-13 - 500x500x7mm thick Carpet tiles in Desso Grezzo Bloom finish with WellBAC Comfort backing; Code: AD04 7924; Supplier: Tarkett. Tile installation in Ashlar method</t>
  </si>
  <si>
    <t>AD/26</t>
  </si>
  <si>
    <t>AD/27</t>
  </si>
  <si>
    <t>between carpet and tiles</t>
  </si>
  <si>
    <t>AD/28</t>
  </si>
  <si>
    <t>AD/29</t>
  </si>
  <si>
    <t>FLOOR PREPARATION AND PROTECTION</t>
  </si>
  <si>
    <t>AD/30</t>
  </si>
  <si>
    <t>AD/31</t>
  </si>
  <si>
    <t>AD/32</t>
  </si>
  <si>
    <t>Allow for floor protection to carpet areas</t>
  </si>
  <si>
    <t>AD/33</t>
  </si>
  <si>
    <t>AD/34</t>
  </si>
  <si>
    <t>AD/35</t>
  </si>
  <si>
    <t>AD/36</t>
  </si>
  <si>
    <t>CPT-02 - 500x500x8.7mm thick Brriny colour carpet tiles in Whale song humpback finish with WellBAC Comfort backing; Code: HUM108-204; Supplier: Milliken Ontera. Tile installation in Ashlar method</t>
  </si>
  <si>
    <t>AD/37</t>
  </si>
  <si>
    <t>AD/38</t>
  </si>
  <si>
    <t>CPT-03 - 500x500x8.7mm thick Ice cap colour carpet tiles in Whale song beluga finish with WellBAC Comfort backing; Code: BEL209-152; Supplier: Milliken Ontera. Tile installation in Ashlar method</t>
  </si>
  <si>
    <t>AD/39</t>
  </si>
  <si>
    <t>AD/40</t>
  </si>
  <si>
    <t>AD/41</t>
  </si>
  <si>
    <t>AD/42</t>
  </si>
  <si>
    <t>AD/43</t>
  </si>
  <si>
    <t>AD/44</t>
  </si>
  <si>
    <t>AD/45</t>
  </si>
  <si>
    <t>AD/46</t>
  </si>
  <si>
    <t>AD/47</t>
  </si>
  <si>
    <t>AD/48</t>
  </si>
  <si>
    <t>CPT-12 - 500x500x8.7mm thick Deep sea colour carpet tiles in Whale song beluga finish with WellBAC Comfort backing; Code: BEL125-107; Supplier: Milliken Ontera. Tile installation in Ashlar method</t>
  </si>
  <si>
    <t>AD/49</t>
  </si>
  <si>
    <t>AD/50</t>
  </si>
  <si>
    <t>AD/51</t>
  </si>
  <si>
    <t>AD/52</t>
  </si>
  <si>
    <t>AD/53</t>
  </si>
  <si>
    <t>AD/54</t>
  </si>
  <si>
    <t>AD/55</t>
  </si>
  <si>
    <t>AD/56</t>
  </si>
  <si>
    <t>AD/57</t>
  </si>
  <si>
    <t>TOTAL CARPET</t>
  </si>
  <si>
    <t>AE</t>
  </si>
  <si>
    <t>EPOXY &amp; SEALERS</t>
  </si>
  <si>
    <t>AE/1</t>
  </si>
  <si>
    <t>AE/2</t>
  </si>
  <si>
    <t>AE/3</t>
  </si>
  <si>
    <t>Refer to following sections of William Clarke College  "Architectural Specification" dated 5 April 2024 by PMDL Architecture + Design: 0181 - Adhesives, sealants and fasteners, 0651 - Resilient Finishes</t>
  </si>
  <si>
    <t>AE/4</t>
  </si>
  <si>
    <t>AE/5</t>
  </si>
  <si>
    <t>AE/6</t>
  </si>
  <si>
    <t>AE/7</t>
  </si>
  <si>
    <t>AE/8</t>
  </si>
  <si>
    <t>AE/9</t>
  </si>
  <si>
    <t>AE/10</t>
  </si>
  <si>
    <t>AE/11</t>
  </si>
  <si>
    <t>AE/12</t>
  </si>
  <si>
    <t>AE/13</t>
  </si>
  <si>
    <t>AE/14</t>
  </si>
  <si>
    <t>AE/15</t>
  </si>
  <si>
    <t>AE/16</t>
  </si>
  <si>
    <t>AE/17</t>
  </si>
  <si>
    <t>AE/18</t>
  </si>
  <si>
    <t>AE/19</t>
  </si>
  <si>
    <t>AE/20</t>
  </si>
  <si>
    <t>AE/21</t>
  </si>
  <si>
    <t>Refer to general material schedule for further details</t>
  </si>
  <si>
    <t>AE/22</t>
  </si>
  <si>
    <t>Concrete Flooring</t>
  </si>
  <si>
    <t>C/HF - Honed concrete finish to expose full aggregate with concrete penetrating sealer required Aquron 1000; Slip Resistance: P3 to common areas and around entrances</t>
  </si>
  <si>
    <t>AE/23</t>
  </si>
  <si>
    <t>AE/24</t>
  </si>
  <si>
    <t>C/HF - 01 - Honed concrete finish to expose full aggregate to stairs (NB: No details provided, refer to drawing A4201-A and A4204-A)</t>
  </si>
  <si>
    <t>AE/25</t>
  </si>
  <si>
    <t>AE/26</t>
  </si>
  <si>
    <t>AE/27</t>
  </si>
  <si>
    <t>AE/28</t>
  </si>
  <si>
    <t>C/HF - 01 - Honed concrete finish to expose full aggregate (NB: No details provided, refer to drawing A4201-A and A4204-A)</t>
  </si>
  <si>
    <t>AE/29</t>
  </si>
  <si>
    <t>AE/30</t>
  </si>
  <si>
    <t>AE/31</t>
  </si>
  <si>
    <t>TOTAL EPOXY &amp; SEALERS</t>
  </si>
  <si>
    <t>AF</t>
  </si>
  <si>
    <t>PAINTING</t>
  </si>
  <si>
    <t>AF/1</t>
  </si>
  <si>
    <t>AF/2</t>
  </si>
  <si>
    <t>AF/3</t>
  </si>
  <si>
    <t>Refer to following sections of William Clarke College "Architectural Specification" Revision A dated 05 April 2024 by PMDL Architecture + Design: 0181 - Adhesives, sealants and fastenersand 0671 - Painting</t>
  </si>
  <si>
    <t>AF/4</t>
  </si>
  <si>
    <t>AF/5</t>
  </si>
  <si>
    <t>Refer to following architectural drawing series: A0130 for "GA Plans", A100 for "North and South GA Plan", A1400 for "Reflected Ceiling Plans", A2000 for "Elevations", A3000 for "Sections", A4000 for "Internal Elevations"</t>
  </si>
  <si>
    <t>AF/6</t>
  </si>
  <si>
    <t>AF/7</t>
  </si>
  <si>
    <t>Provision, erection and removal of scaffolding</t>
  </si>
  <si>
    <t>AF/8</t>
  </si>
  <si>
    <t>Preparation of surfaces</t>
  </si>
  <si>
    <t>AF/9</t>
  </si>
  <si>
    <t>Rubbing between coats and the like</t>
  </si>
  <si>
    <t>AF/10</t>
  </si>
  <si>
    <t>Back priming of dressed timber where required</t>
  </si>
  <si>
    <t>AF/11</t>
  </si>
  <si>
    <t>Protection and masking of floors, fittings and the like</t>
  </si>
  <si>
    <t>AF/12</t>
  </si>
  <si>
    <t>Removing and replacing door and window furniture</t>
  </si>
  <si>
    <t>AF/13</t>
  </si>
  <si>
    <t>Removing splash and spray marks</t>
  </si>
  <si>
    <t>AF/14</t>
  </si>
  <si>
    <t>AF/15</t>
  </si>
  <si>
    <t>AF/16</t>
  </si>
  <si>
    <t>Allow for all testing</t>
  </si>
  <si>
    <t>AF/17</t>
  </si>
  <si>
    <t>Allow for obtaining manufacturer's certificates</t>
  </si>
  <si>
    <t>AF/18</t>
  </si>
  <si>
    <t>AF/19</t>
  </si>
  <si>
    <t>AF/20</t>
  </si>
  <si>
    <t>AF/21</t>
  </si>
  <si>
    <t>AF/22</t>
  </si>
  <si>
    <t>Allow for covering and protecting surfaces from building operations</t>
  </si>
  <si>
    <t>AF/23</t>
  </si>
  <si>
    <t>AF/24</t>
  </si>
  <si>
    <t>Assumed PT-01 general paint finish to areas with no assigned finish</t>
  </si>
  <si>
    <t>AF/25</t>
  </si>
  <si>
    <t>Refer to "Doors, Frames &amp; Hardware" trade for finish of door frames</t>
  </si>
  <si>
    <t>Painting to External Walls</t>
  </si>
  <si>
    <t>Painting to parapet walls</t>
  </si>
  <si>
    <t>AF/26</t>
  </si>
  <si>
    <t>Painting to Internal Walls</t>
  </si>
  <si>
    <t>PT01 - Wash &amp; wear paint low sheen finish in 'Vivid White' colour; Code PW1H9; Supplier: Dulux</t>
  </si>
  <si>
    <t>AF/27</t>
  </si>
  <si>
    <t>AF/28</t>
  </si>
  <si>
    <t>AF/29</t>
  </si>
  <si>
    <t>AF/30</t>
  </si>
  <si>
    <t>PT05 - Endure paint low sheen finish in 'Shrubwood' colour with neutral base; Code: T15102.7 TUC4; Supplier: Taubmans</t>
  </si>
  <si>
    <t>AF/31</t>
  </si>
  <si>
    <t>AF/32</t>
  </si>
  <si>
    <t>PT06 - Wash &amp; wear paint low sheen finish in 'Thurman' colour; Code: P17B6; Supplier: Dulux</t>
  </si>
  <si>
    <t>AF/33</t>
  </si>
  <si>
    <t>AF/34</t>
  </si>
  <si>
    <t>PT07 - Wash &amp; wear paint low sheen finish in 'Aztec Glimmer' colour; Code P13H7; Supplier: Dulux</t>
  </si>
  <si>
    <t>AF/35</t>
  </si>
  <si>
    <t>AF/36</t>
  </si>
  <si>
    <t>PT08 - Wash &amp; wear plus paint low sheen finish in 'Vivid White' colour; Code PW1H9; Supplier: Dulux</t>
  </si>
  <si>
    <t>AF/37</t>
  </si>
  <si>
    <t>AF/38</t>
  </si>
  <si>
    <t>AF/39</t>
  </si>
  <si>
    <t>AF/40</t>
  </si>
  <si>
    <t>PT09 - Endure paint low sheen finish in 'Shrubwood' colour; Code T15102.7 TUC4; Supplier: Taubmans</t>
  </si>
  <si>
    <t>AF/41</t>
  </si>
  <si>
    <t>AF/42</t>
  </si>
  <si>
    <t>AF/43</t>
  </si>
  <si>
    <t>Painting to Ceiling</t>
  </si>
  <si>
    <t>Painting to Ceiling Linings</t>
  </si>
  <si>
    <t>PT-01 to CG/PLB-01 - PW1H9 wash and wear in vivid white colour and low sheen finish; Supplier: Dulux</t>
  </si>
  <si>
    <t>AF/44</t>
  </si>
  <si>
    <t>AF/45</t>
  </si>
  <si>
    <t>AF/46</t>
  </si>
  <si>
    <t>AF/47</t>
  </si>
  <si>
    <t>PT-01 to CG/PLB-03 - PW1H9 wash and wear in vivid white colour and low sheen finish; Supplier: Dulux</t>
  </si>
  <si>
    <t>AF/48</t>
  </si>
  <si>
    <t>PT-01 to CG/PLB-05 - PW1H9 wash and wear in vivid white colour and low sheen finish; Supplier: Dulux</t>
  </si>
  <si>
    <t>AF/49</t>
  </si>
  <si>
    <t>AF/50</t>
  </si>
  <si>
    <t>PT-02 to CG/PLB-05 - S32B2 wash and wear in albeit colour and low sheen finish; Supplier: Dulux</t>
  </si>
  <si>
    <t>AF/51</t>
  </si>
  <si>
    <t>PT-04 to CG/PLB-01 - T15 150.4 white base in Ebb-N-Flow colour and low sheen finish; Supplier: Taubmans Endure</t>
  </si>
  <si>
    <t>AF/52</t>
  </si>
  <si>
    <t>AF/53</t>
  </si>
  <si>
    <t>PT-05 to CG/PLB-06 - T15 102.7 TUC 4 neutral base in Shrubwood colour and low sheen finish; Supplier: Taubmans Endure</t>
  </si>
  <si>
    <t>AF/54</t>
  </si>
  <si>
    <t>PT-07 to OFC/PT-07 -  P13H7 wash and wear in Aztec glimmer colour and low sheen finish; Supplier: Dulux</t>
  </si>
  <si>
    <t>AF/55</t>
  </si>
  <si>
    <t>AF/56</t>
  </si>
  <si>
    <t>PT-08 to CG/PLB-04 - PW1H9 wash and wear plus in vivid white colour and low sheen finish; Supplier: Dulux</t>
  </si>
  <si>
    <t>AF/57</t>
  </si>
  <si>
    <t>AF/58</t>
  </si>
  <si>
    <t>AF/59</t>
  </si>
  <si>
    <t>AF/60</t>
  </si>
  <si>
    <t>Painting to Bulkhead</t>
  </si>
  <si>
    <t>PT-01 to CG/PLB-03 Plasterboard Bulkhead, less than or equal to 250mm high</t>
  </si>
  <si>
    <t>AF/61</t>
  </si>
  <si>
    <t>PT-01 to CG/PLB-05 Plasterboard Bulkhead, less than or equal to 250mm high</t>
  </si>
  <si>
    <t>AF/62</t>
  </si>
  <si>
    <t>AF/63</t>
  </si>
  <si>
    <t>PT-01 to CG/PLB-01 Plasterboard Bulkhead, greater than 250mm high</t>
  </si>
  <si>
    <t>AF/64</t>
  </si>
  <si>
    <t>PT-01 to CG/PLB-05 Plasterboard Bulkhead, greater than 250mm high</t>
  </si>
  <si>
    <t>AF/65</t>
  </si>
  <si>
    <t>AF/66</t>
  </si>
  <si>
    <t>PT-02 to CG/PLB-05 Plasterboard Bulkhead, greater than 250mm high</t>
  </si>
  <si>
    <t>AF/67</t>
  </si>
  <si>
    <t>PT-05 to CG/PLB-06 Plasterboard Bulkhead, greater than 250mm high</t>
  </si>
  <si>
    <t>AF/68</t>
  </si>
  <si>
    <t>PT-07 to CG/PLB-05 Plasterboard Bulkhead, greater than 250mm high</t>
  </si>
  <si>
    <t>AF/69</t>
  </si>
  <si>
    <t>AF/70</t>
  </si>
  <si>
    <t>PT-08 to CG/PLB-04 Plasterboard Bulkhead, greater than 250mm high</t>
  </si>
  <si>
    <t>AF/71</t>
  </si>
  <si>
    <t>PT-05 to PLY/PT-05 - T15 102.7 TUC 4 neutral base in Shrubwood colour and low sheen finish; Supplier: Taubmans Endure</t>
  </si>
  <si>
    <t>AF/72</t>
  </si>
  <si>
    <t>Painting to Cornice/Pelmets</t>
  </si>
  <si>
    <t>PT-01 to PEL-01</t>
  </si>
  <si>
    <t>AF/73</t>
  </si>
  <si>
    <t>AF/74</t>
  </si>
  <si>
    <t>AF/75</t>
  </si>
  <si>
    <t>Painting to External Door Leaf (Refer to "Doors, Frames &amp; Hardware" trade for finish of door frames)</t>
  </si>
  <si>
    <t>PT - Paint finish (NB: No details provided)</t>
  </si>
  <si>
    <t>AF/76</t>
  </si>
  <si>
    <t>PT paint finish to both sides of single leaf swing fire rated solid core door</t>
  </si>
  <si>
    <t>AF/77</t>
  </si>
  <si>
    <t>PT paint finish to both sides of single leaf swing solid core door</t>
  </si>
  <si>
    <t>AF/78</t>
  </si>
  <si>
    <t>PT paint finish to both sides of double leaf swing solid core door</t>
  </si>
  <si>
    <t>AF/79</t>
  </si>
  <si>
    <t>AF/80</t>
  </si>
  <si>
    <t>Painting to Internal Door Leaf (Refer to "Doors, Frames &amp; Hardware" trade for finish of door frames)</t>
  </si>
  <si>
    <t>AF/81</t>
  </si>
  <si>
    <t>AF/82</t>
  </si>
  <si>
    <t>PT paint finish to both sides of double leaf swing fire rated solid core door</t>
  </si>
  <si>
    <t>AF/83</t>
  </si>
  <si>
    <t>AF/84</t>
  </si>
  <si>
    <t>AF/85</t>
  </si>
  <si>
    <t>AF/86</t>
  </si>
  <si>
    <t>AF/87</t>
  </si>
  <si>
    <t>AF/88</t>
  </si>
  <si>
    <t>AF/89</t>
  </si>
  <si>
    <t>AF/90</t>
  </si>
  <si>
    <t>AF/91</t>
  </si>
  <si>
    <t>AF/92</t>
  </si>
  <si>
    <t>Painting to Structural Steel Members</t>
  </si>
  <si>
    <t>STP-01 - Dulux weathermax paint to structural steel</t>
  </si>
  <si>
    <t>AF/93</t>
  </si>
  <si>
    <t>AF/94</t>
  </si>
  <si>
    <t>AF/95</t>
  </si>
  <si>
    <t>AF/96</t>
  </si>
  <si>
    <t>AF/97</t>
  </si>
  <si>
    <t>AF/98</t>
  </si>
  <si>
    <t>AF/99</t>
  </si>
  <si>
    <t>AF/100</t>
  </si>
  <si>
    <t>AF/101</t>
  </si>
  <si>
    <t>PT02 - Wash &amp; wear paint low sheen finish in 'Albeit' colour; Code S36E8; Supplier: Dulux</t>
  </si>
  <si>
    <t>AF/102</t>
  </si>
  <si>
    <t>PT03 - Wash &amp; wear paint low sheen finish in 'Squirt' colour; Code S32B2; Supplier: Dulux</t>
  </si>
  <si>
    <t>AF/103</t>
  </si>
  <si>
    <t>AF/104</t>
  </si>
  <si>
    <t>AF/105</t>
  </si>
  <si>
    <t>AF/106</t>
  </si>
  <si>
    <t>AF/107</t>
  </si>
  <si>
    <t>AF/108</t>
  </si>
  <si>
    <t>PT10 - Wash &amp; wear plus paint low sheen finish in 'Albeit' colour; Code S36E8; Supplier: Dulux</t>
  </si>
  <si>
    <t>AF/109</t>
  </si>
  <si>
    <t>AF/110</t>
  </si>
  <si>
    <t>AF/111</t>
  </si>
  <si>
    <t>AF/112</t>
  </si>
  <si>
    <t>AF/113</t>
  </si>
  <si>
    <t>AF/114</t>
  </si>
  <si>
    <t>AF/115</t>
  </si>
  <si>
    <t>AF/116</t>
  </si>
  <si>
    <t>AF/117</t>
  </si>
  <si>
    <t>PT-02 to OFC/PT-02 - S32B2 wash and wear in albeit colour and low sheen finish; Supplier: Dulux</t>
  </si>
  <si>
    <t>AF/118</t>
  </si>
  <si>
    <t>AF/119</t>
  </si>
  <si>
    <t>AF/120</t>
  </si>
  <si>
    <t>AF/121</t>
  </si>
  <si>
    <t>AF/122</t>
  </si>
  <si>
    <t>AF/123</t>
  </si>
  <si>
    <t>AF/124</t>
  </si>
  <si>
    <t>AF/125</t>
  </si>
  <si>
    <t>AF/126</t>
  </si>
  <si>
    <t>PT-01 to CG/PLB-01 Plasterboard Bulkhead, less than or equal to 250mm high</t>
  </si>
  <si>
    <t>AF/127</t>
  </si>
  <si>
    <t>AF/128</t>
  </si>
  <si>
    <t>AF/129</t>
  </si>
  <si>
    <t>AF/130</t>
  </si>
  <si>
    <t>AF/131</t>
  </si>
  <si>
    <t>AF/132</t>
  </si>
  <si>
    <t>AF/133</t>
  </si>
  <si>
    <t>AF/134</t>
  </si>
  <si>
    <t>AF/135</t>
  </si>
  <si>
    <t>AF/136</t>
  </si>
  <si>
    <t>AF/137</t>
  </si>
  <si>
    <t>AF/138</t>
  </si>
  <si>
    <t>AF/139</t>
  </si>
  <si>
    <t>AF/140</t>
  </si>
  <si>
    <t>AF/141</t>
  </si>
  <si>
    <t>AF/142</t>
  </si>
  <si>
    <t>AF/143</t>
  </si>
  <si>
    <t>AF/144</t>
  </si>
  <si>
    <t>AF/145</t>
  </si>
  <si>
    <t>AF/146</t>
  </si>
  <si>
    <t>AF/147</t>
  </si>
  <si>
    <t>AF/148</t>
  </si>
  <si>
    <t>AF/149</t>
  </si>
  <si>
    <t>AF/150</t>
  </si>
  <si>
    <t>AF/151</t>
  </si>
  <si>
    <t>AF/152</t>
  </si>
  <si>
    <t>AF/153</t>
  </si>
  <si>
    <t>AF/154</t>
  </si>
  <si>
    <t>TOTAL PAINTING</t>
  </si>
  <si>
    <t>AG</t>
  </si>
  <si>
    <t>FF&amp;E</t>
  </si>
  <si>
    <t>AG/1</t>
  </si>
  <si>
    <t>AG/2</t>
  </si>
  <si>
    <t>AG/3</t>
  </si>
  <si>
    <t>AG/4</t>
  </si>
  <si>
    <t>Refer to following architectural drawing series: A0130 for "GA Plans", A100 for "North and South GA Plan", A1500 for "Furniture Plan", A4300 for "Wet Area Details", A5000 for "Joinery"</t>
  </si>
  <si>
    <t>AG/5</t>
  </si>
  <si>
    <t>AG/6</t>
  </si>
  <si>
    <t>AG/7</t>
  </si>
  <si>
    <t>AG/8</t>
  </si>
  <si>
    <t>AG/9</t>
  </si>
  <si>
    <t>AG/10</t>
  </si>
  <si>
    <t>AG/11</t>
  </si>
  <si>
    <t>There are no specific details provided for chairs, tables, BIN and DW. Refer to architectural drawing.</t>
  </si>
  <si>
    <t>AG/12</t>
  </si>
  <si>
    <t>WC-03 to all toilet of accessible WC. Refer to General Materials, Finishes and Fixtures Schedule</t>
  </si>
  <si>
    <t>AG/13</t>
  </si>
  <si>
    <t>TAP-02 to all tap of accessible WC.  Refer to General Materials, Finishes and Fixtures Schedule</t>
  </si>
  <si>
    <t>AG/14</t>
  </si>
  <si>
    <t>TAP-04 installed with TAP-06 and TAP-05 install with SK-03. Refer to General Materials, Finishes and Fixtures Schedule</t>
  </si>
  <si>
    <t>AG/15</t>
  </si>
  <si>
    <t>Provide long lever tap to TAP-03, TAP-04, TAP-05 and TAP-06 to comply with Access requirements. Refer to BCA Clause D4D3</t>
  </si>
  <si>
    <t>AG/16</t>
  </si>
  <si>
    <t>Toilet partition dimensions measured on plan</t>
  </si>
  <si>
    <t>AG/17</t>
  </si>
  <si>
    <t>PTN/T-01 - Overhead braced system floor mounted toilet partitions; Finish: LAM-08 - Polytec Palomera Oak Woodmatt; Code: OB-FM; Supplier: Polytec</t>
  </si>
  <si>
    <t>AG/18</t>
  </si>
  <si>
    <t>PTN/T-02 - Urinal division - rounded; Finish: LAM-08 - Polytec Palomera Oak Woodmatt; Code: UD-RO; Supplier: Polytec</t>
  </si>
  <si>
    <t>AG/19</t>
  </si>
  <si>
    <t>Assumed measure with the same dimensions to furnitures with no tag. Refer to architectural drawing.</t>
  </si>
  <si>
    <t>AG/20</t>
  </si>
  <si>
    <t>Office desks standard to AS/NZS 4442 (2018); School tables standard to AS/NZS 4610.1 (2020)</t>
  </si>
  <si>
    <t>AG/21</t>
  </si>
  <si>
    <t>Fixed height chairs standard to AS 4688.1 (2018), AS/NZS 4688.2 (2000), AS/NZS 4688.3 (2000) and AS/NZS 4688.4 (2000); Height adjustable swivel chairs standard to AS/NZS 4438 (1997); Plastic monobloc chairs standard to AS/NZS 3813 (2016); and school chairs standard to AS/NZS 4610.2 (2020)</t>
  </si>
  <si>
    <t>AG/22</t>
  </si>
  <si>
    <t>Assumed measure of fixture, appliances and equipment to Kitchen 1.05 and Cafe 1.12</t>
  </si>
  <si>
    <t>Loose Furniture</t>
  </si>
  <si>
    <t>AG/23</t>
  </si>
  <si>
    <t>WBD-01 - whiteboard; supplied and installed by client; NB: to allow for  sufficient support for fixing points</t>
  </si>
  <si>
    <t>Chairs</t>
  </si>
  <si>
    <t>AG/24</t>
  </si>
  <si>
    <t>BTH01 - (NB: no specific details provided)</t>
  </si>
  <si>
    <t>AG/25</t>
  </si>
  <si>
    <t>CH01 - (NB: no specific details provided)</t>
  </si>
  <si>
    <t>AG/26</t>
  </si>
  <si>
    <t>CH03 - (NB: no specific details provided)</t>
  </si>
  <si>
    <t>AG/27</t>
  </si>
  <si>
    <t>CH04 - (NB: no specific details provided)</t>
  </si>
  <si>
    <t>AG/28</t>
  </si>
  <si>
    <t>CH05 - (NB: no specific details provided)</t>
  </si>
  <si>
    <t>AG/29</t>
  </si>
  <si>
    <t>CH06 - (NB: no specific details provided)</t>
  </si>
  <si>
    <t>AG/30</t>
  </si>
  <si>
    <t>CH07 - (NB: no specific details provided)</t>
  </si>
  <si>
    <t>AG/31</t>
  </si>
  <si>
    <t>CH08 - (NB: no specific details provided)</t>
  </si>
  <si>
    <t>AG/32</t>
  </si>
  <si>
    <t>CH09 - (NB: no specific details provided)</t>
  </si>
  <si>
    <t>AG/33</t>
  </si>
  <si>
    <t>CH11 - (NB: no specific details provided)</t>
  </si>
  <si>
    <t>AG/34</t>
  </si>
  <si>
    <t>CH12 - (NB: no specific details provided)</t>
  </si>
  <si>
    <t>AG/35</t>
  </si>
  <si>
    <t>CH13 - (NB: no specific details provided)</t>
  </si>
  <si>
    <t>AG/36</t>
  </si>
  <si>
    <t>CH14 - varies (NB: no specific details provided)</t>
  </si>
  <si>
    <t>AG/37</t>
  </si>
  <si>
    <t>CH16 - (NB: no specific details provided)</t>
  </si>
  <si>
    <t>AG/38</t>
  </si>
  <si>
    <t>CH21 - (NB: no specific details provided)</t>
  </si>
  <si>
    <t>Mirrors</t>
  </si>
  <si>
    <t>AG/39</t>
  </si>
  <si>
    <t>MIR-01 - 450x1000mm high Reflecta oval pencil edge mirror; Code: MV1000X450PR; Supplier: Highgrove Bathrooms</t>
  </si>
  <si>
    <t>AG/40</t>
  </si>
  <si>
    <t>MIR-02 - 406x990mm high Bobrick Access compliant mirror; Finish: frame in polished stainless steel; Code: B16581639; Supplier: RBA Group</t>
  </si>
  <si>
    <t>Storage</t>
  </si>
  <si>
    <t>AG/41</t>
  </si>
  <si>
    <t>ST01 - (NB: no specific details provided)</t>
  </si>
  <si>
    <t>AG/42</t>
  </si>
  <si>
    <t>ST02 - (NB: no specific details provided)</t>
  </si>
  <si>
    <t>AG/43</t>
  </si>
  <si>
    <t>ST03 - (NB: no specific details provided)</t>
  </si>
  <si>
    <t>AG/44</t>
  </si>
  <si>
    <t>ST04 - (NB: no specific details provided)</t>
  </si>
  <si>
    <t>AG/45</t>
  </si>
  <si>
    <t>ST05 - (NB: no specific details provided)</t>
  </si>
  <si>
    <t>AG/46</t>
  </si>
  <si>
    <t>ST06 - (NB: no specific details provided)</t>
  </si>
  <si>
    <t>AG/47</t>
  </si>
  <si>
    <t>ST07 - (NB: no specific details provided)</t>
  </si>
  <si>
    <t>Tables</t>
  </si>
  <si>
    <t>AG/48</t>
  </si>
  <si>
    <t>TB01 - (NB: no specific details provided)</t>
  </si>
  <si>
    <t>AG/49</t>
  </si>
  <si>
    <t>TB03 - (NB: no specific details provided)</t>
  </si>
  <si>
    <t>AG/50</t>
  </si>
  <si>
    <t>TB04 - (NB: no specific details provided)</t>
  </si>
  <si>
    <t>AG/51</t>
  </si>
  <si>
    <t>TB05 - (NB: no specific details provided)</t>
  </si>
  <si>
    <t>AG/52</t>
  </si>
  <si>
    <t>TB06 - (NB: no specific details provided)</t>
  </si>
  <si>
    <t>AG/53</t>
  </si>
  <si>
    <t>TB07 - (NB: no specific details provided)</t>
  </si>
  <si>
    <t>AG/54</t>
  </si>
  <si>
    <t>TB08 - (NB: no specific details provided)</t>
  </si>
  <si>
    <t>AG/55</t>
  </si>
  <si>
    <t>TB09 - (NB: no specific details provided)</t>
  </si>
  <si>
    <t>AG/56</t>
  </si>
  <si>
    <t>TB11 - (NB: no specific details provided)</t>
  </si>
  <si>
    <t>AG/57</t>
  </si>
  <si>
    <t>TB11 - varies (NB: no specific details provided)</t>
  </si>
  <si>
    <t>AG/58</t>
  </si>
  <si>
    <t>TB12 - (NB: no specific details provided)</t>
  </si>
  <si>
    <t>AG/59</t>
  </si>
  <si>
    <t>TB15 - (NB: no specific details provided)</t>
  </si>
  <si>
    <t>AG/60</t>
  </si>
  <si>
    <t>TB17 - (NB: no specific details provided)</t>
  </si>
  <si>
    <t>AG/61</t>
  </si>
  <si>
    <t>TB18 - (NB: no specific details provided)</t>
  </si>
  <si>
    <t>Toilet Partition</t>
  </si>
  <si>
    <t>AG/62</t>
  </si>
  <si>
    <t>PTN/T-02 - 600x1800mm high urinal partition</t>
  </si>
  <si>
    <t>AG/63</t>
  </si>
  <si>
    <t>PTN/T-01 - 1600x1400mm high toilet partition</t>
  </si>
  <si>
    <t>AG/64</t>
  </si>
  <si>
    <t>PTN/T-01 - 1830x2100mm high toilet partition with two single leaf door</t>
  </si>
  <si>
    <t>AG/65</t>
  </si>
  <si>
    <t>PTN/T-01 - 3276x2100mm high toilet partition with four single leaf door</t>
  </si>
  <si>
    <t>Sanitary Fixture</t>
  </si>
  <si>
    <t>AG/66</t>
  </si>
  <si>
    <t>BSN-01 - Urbane II semi recessed basin with one tap hole bathroom basin; including eco chrome bottle trap; Finish: White; Code: 878910W; 687295C; Supplier: Caroma</t>
  </si>
  <si>
    <t>AG/67</t>
  </si>
  <si>
    <t>BSN-02 - Urbane II hand wall basin with one tap hole wall hung basin; Code: 879010W; Supplier: Caroma</t>
  </si>
  <si>
    <t>AG/68</t>
  </si>
  <si>
    <t>BSN-03a - Liano Nexus 750 wall basin - right hand shelf with one tap hole; Code: 665415W; Supplier: Caroma</t>
  </si>
  <si>
    <t>AG/69</t>
  </si>
  <si>
    <t>BSN-03b - Liano Nexus 750 wall basin - left hand shelf with one tap hole; Code: 665515W; Supplier: Caroma</t>
  </si>
  <si>
    <t>AG/70</t>
  </si>
  <si>
    <t>FW-01 - 103x103x22mm thick square floor waste with tile; Finish: Stainless Steel; Code: SQ100TR; Supplier: Stormtech</t>
  </si>
  <si>
    <t>AG/71</t>
  </si>
  <si>
    <t>Kitchen Tap - Assumed measure, no details provided</t>
  </si>
  <si>
    <t>AG/72</t>
  </si>
  <si>
    <t>Sink - Assumed measure, no details provided</t>
  </si>
  <si>
    <t>AG/73</t>
  </si>
  <si>
    <t>SK-01 - Kitchenette sink Polar double bowl undermount; Finish: Stainless Steel; Code: PPL20BU; Supplier: Caroma/Clark</t>
  </si>
  <si>
    <t>AG/74</t>
  </si>
  <si>
    <t>SK-02 - Monaco 1.75 end bowl staff sink; installed on kitchen bench 1 right hand end bowl and 1 left hand end bowl; Finish: Stainless Steel; Code: 5111.1R; 5111.1L; Supplier: Caroma/Clark</t>
  </si>
  <si>
    <t>AG/75</t>
  </si>
  <si>
    <t>SK-03 - Cleaners sink; Finish: Vitreous China; Supplier: Caroma</t>
  </si>
  <si>
    <t>AG/76</t>
  </si>
  <si>
    <t>TAP-01 - Urbane II Basin tap; Finish: Matte Black; Code: 98608B6AF; Supplier: Caroma</t>
  </si>
  <si>
    <t>AG/77</t>
  </si>
  <si>
    <t>TAP-02 - Opal basin mixer; handle opal optional care; Finish: Matte Black; Code: 99700B65AF; 99706B; Supplier: Caroma</t>
  </si>
  <si>
    <t>AG/78</t>
  </si>
  <si>
    <t>TAP-04 - Zip taps for boiling/chilled and general tap; 4 in 1 classic mixer; Finish: Chrome; Code: G5 BCHA60; Supplier: Zip HydroTap</t>
  </si>
  <si>
    <t>AG/79</t>
  </si>
  <si>
    <t>TAP-05 - Cleaners sink tap to install with SK-03; Luna lever laundry tap set; Supplier: Caroma</t>
  </si>
  <si>
    <t>AG/80</t>
  </si>
  <si>
    <t>TAP-06 - Zip taps for boiling/chilled general tap; Finish: Chrome; Code: G5 BC60; Supplier: Zip HydroTap</t>
  </si>
  <si>
    <t>AG/81</t>
  </si>
  <si>
    <t>UR-01 - H2Zero cube waterless urinal; Finish: White; Code: 678610W; Supplier: Caroma</t>
  </si>
  <si>
    <t>AG/82</t>
  </si>
  <si>
    <t>WC-01 - Liano Cleanflush wall faced; closed coupled toilet suite with soft close seat; Finish: White; Code: 766200W; Supplier: Caroma</t>
  </si>
  <si>
    <t>AG/83</t>
  </si>
  <si>
    <t>WC-02 - Liano cleanflush easy height wall faced close coupled toilet suite with liano care single flap soft close seat; Finish: White; Seat in Anthracite Grey Finish; Code: 766400W; Supplier: Caroma</t>
  </si>
  <si>
    <t>AG/84</t>
  </si>
  <si>
    <t>WC-03 - Care 400 connector toilet suite with backrest and Caravelle care single flap seat, raised cistern buttons; Finish: White; seat in Anthracite; Grey Round Care Metal in Chrome finish; Code: 987900BAG; 687073C; Supplier: Caroma</t>
  </si>
  <si>
    <t>Sanitary Hardware</t>
  </si>
  <si>
    <t>AG/85</t>
  </si>
  <si>
    <t>CH-01 - Bobrick coat hooks; Finish: Stainless Steel Satin; Code: RBA B542; Supplier: RBA Group</t>
  </si>
  <si>
    <t>AG/86</t>
  </si>
  <si>
    <t>GR-01 - 90 degrees grab rail ambidextrous ambulant; Finish: Stainless Steel Satin; Code: RBA4090-450; Supplier: RBA Group</t>
  </si>
  <si>
    <t>AG/87</t>
  </si>
  <si>
    <t>GR-02a - 90 degree right hand  and 450 straight grab rail set; Finish: Stainless Steel Satin; Code: RBA4090-346; Supplier: RBA Group</t>
  </si>
  <si>
    <t>AG/88</t>
  </si>
  <si>
    <t>GR-02b - 90 degree left hand  and 450 straight grab rail set; access right hand; Finish: Stainless Steel Satin; Code: RBA4090-345; Supplier: RBA Group</t>
  </si>
  <si>
    <t>AG/89</t>
  </si>
  <si>
    <t>HD-01 - 220x100x287.9mm high electric hand dryer; Finish: SS #304 Satin Stainless Steel; Supplier: Metlam</t>
  </si>
  <si>
    <t>AG/90</t>
  </si>
  <si>
    <t>HWU - hot water heaters</t>
  </si>
  <si>
    <t>AG/91</t>
  </si>
  <si>
    <t>SD-01 - Surface mounted liquid soap dispenser; 1.2L capacity; Finish: Satin Stainless Steel; Code: 6140; Supplier: Bradley Australia</t>
  </si>
  <si>
    <t>AG/92</t>
  </si>
  <si>
    <t>TPH-01 - conventional toilet roll dispenser; Finish: White; Code: 557000; Supplier: Tork</t>
  </si>
  <si>
    <t>AG/93</t>
  </si>
  <si>
    <t>AG/94</t>
  </si>
  <si>
    <t>AG/95</t>
  </si>
  <si>
    <t>CH02 - (NB: no specific details provided)</t>
  </si>
  <si>
    <t>AG/96</t>
  </si>
  <si>
    <t>AG/97</t>
  </si>
  <si>
    <t>AG/98</t>
  </si>
  <si>
    <t>AG/99</t>
  </si>
  <si>
    <t>AG/100</t>
  </si>
  <si>
    <t>CH10 - (NB: no specific details provided)</t>
  </si>
  <si>
    <t>AG/101</t>
  </si>
  <si>
    <t>AG/102</t>
  </si>
  <si>
    <t>AG/103</t>
  </si>
  <si>
    <t>CH17 - (NB: no specific details provided)</t>
  </si>
  <si>
    <t>AG/104</t>
  </si>
  <si>
    <t>CH18 - (NB: no specific details provided)</t>
  </si>
  <si>
    <t>AG/105</t>
  </si>
  <si>
    <t>CH19 - (NB: no specific details provided)</t>
  </si>
  <si>
    <t>AG/106</t>
  </si>
  <si>
    <t>AG/107</t>
  </si>
  <si>
    <t>AG/108</t>
  </si>
  <si>
    <t>AG/109</t>
  </si>
  <si>
    <t>AG/110</t>
  </si>
  <si>
    <t>AG/111</t>
  </si>
  <si>
    <t>AG/112</t>
  </si>
  <si>
    <t>TB02 - (NB: no specific details provided)</t>
  </si>
  <si>
    <t>AG/113</t>
  </si>
  <si>
    <t>AG/114</t>
  </si>
  <si>
    <t>AG/115</t>
  </si>
  <si>
    <t>AG/116</t>
  </si>
  <si>
    <t>AG/117</t>
  </si>
  <si>
    <t>TB10 - (NB: no specific details provided)</t>
  </si>
  <si>
    <t>AG/118</t>
  </si>
  <si>
    <t>AG/119</t>
  </si>
  <si>
    <t>AG/120</t>
  </si>
  <si>
    <t>AG/121</t>
  </si>
  <si>
    <t>AG/122</t>
  </si>
  <si>
    <t>PTN/T-01 - 2800x2100mm high toilet partition with three single leaf door</t>
  </si>
  <si>
    <t>AG/123</t>
  </si>
  <si>
    <t>PTN/T-01 - 4600x2100mm high toilet partition with five single leaf door</t>
  </si>
  <si>
    <t>AG/124</t>
  </si>
  <si>
    <t>AG/125</t>
  </si>
  <si>
    <t>AG/126</t>
  </si>
  <si>
    <t>AG/127</t>
  </si>
  <si>
    <t>AG/128</t>
  </si>
  <si>
    <t>AG/129</t>
  </si>
  <si>
    <t>AG/130</t>
  </si>
  <si>
    <t>AG/131</t>
  </si>
  <si>
    <t>AG/132</t>
  </si>
  <si>
    <t>TAP-03 - Blaze pin sink kitchen tap; Finish: Chrome; Code: 632205C4A; Supplier: Caroma</t>
  </si>
  <si>
    <t>AG/133</t>
  </si>
  <si>
    <t>AG/134</t>
  </si>
  <si>
    <t>AG/135</t>
  </si>
  <si>
    <t>AG/136</t>
  </si>
  <si>
    <t>AG/137</t>
  </si>
  <si>
    <t>AG/138</t>
  </si>
  <si>
    <t>AG/139</t>
  </si>
  <si>
    <t>BIN - (NB: no specific details provided)</t>
  </si>
  <si>
    <t>AG/140</t>
  </si>
  <si>
    <t>AG/141</t>
  </si>
  <si>
    <t>AG/142</t>
  </si>
  <si>
    <t>AG/143</t>
  </si>
  <si>
    <t>AG/144</t>
  </si>
  <si>
    <t>AG/145</t>
  </si>
  <si>
    <t>AG/146</t>
  </si>
  <si>
    <t>TOTAL FF&amp;E</t>
  </si>
  <si>
    <t>AH</t>
  </si>
  <si>
    <t>ICT/AV</t>
  </si>
  <si>
    <t>AH/1</t>
  </si>
  <si>
    <t>AH/2</t>
  </si>
  <si>
    <t>AH/3</t>
  </si>
  <si>
    <t>AH/4</t>
  </si>
  <si>
    <t>Refer to following architectural drawing series: A0130 for "GA Plans", A100 for "North and South GA Plan", A1500 for "Furniture Plan"</t>
  </si>
  <si>
    <t>AH/5</t>
  </si>
  <si>
    <t>AH/6</t>
  </si>
  <si>
    <t>AH/7</t>
  </si>
  <si>
    <t>AH/8</t>
  </si>
  <si>
    <t>AH/9</t>
  </si>
  <si>
    <t>AH/10</t>
  </si>
  <si>
    <t>AH/11</t>
  </si>
  <si>
    <t>SCR and TV to be supplied and installed by client</t>
  </si>
  <si>
    <t>Audio Visual</t>
  </si>
  <si>
    <t>AH/12</t>
  </si>
  <si>
    <t>SCR - Retractable Projector, retractable screen; NB: to allow for data/electrical connection &amp; sufficient support for fixing points</t>
  </si>
  <si>
    <t>AH/13</t>
  </si>
  <si>
    <t>TV - television screen; NB: to allow for data/electrical connection &amp; sufficient support for fixing points</t>
  </si>
  <si>
    <t>AH/14</t>
  </si>
  <si>
    <t>TOTAL ICT/AV</t>
  </si>
  <si>
    <t>AI</t>
  </si>
  <si>
    <t>COMMERCIAL DINING/KITCHEN EQUIPMENT</t>
  </si>
  <si>
    <t>AI/1</t>
  </si>
  <si>
    <t>AI/2</t>
  </si>
  <si>
    <t>AI/3</t>
  </si>
  <si>
    <t>AI/4</t>
  </si>
  <si>
    <t>AI/5</t>
  </si>
  <si>
    <t>AI/6</t>
  </si>
  <si>
    <t>AI/7</t>
  </si>
  <si>
    <t>AI/8</t>
  </si>
  <si>
    <t>AI/9</t>
  </si>
  <si>
    <t>AI/10</t>
  </si>
  <si>
    <t>AI/11</t>
  </si>
  <si>
    <t>AI/12</t>
  </si>
  <si>
    <t>AI/13</t>
  </si>
  <si>
    <t>AI/14</t>
  </si>
  <si>
    <t>AI/15</t>
  </si>
  <si>
    <t>Appliances and Equipment</t>
  </si>
  <si>
    <t>AI/16</t>
  </si>
  <si>
    <t>Cooktop - Assumed measure only, no details provided</t>
  </si>
  <si>
    <t>AI/17</t>
  </si>
  <si>
    <t>DW - (NB: no specific details provided)</t>
  </si>
  <si>
    <t>AI/18</t>
  </si>
  <si>
    <t>FAN-01 - 2130mm diameter ceiling fan; Finish: White; Code: i6; Supplier: Big Ass</t>
  </si>
  <si>
    <t>AI/19</t>
  </si>
  <si>
    <t>FR-01 - 709x600x1715mm high 348L Silver top mount refrigerator with twist ice maker; Finish: Refined Inox; Code: RT35CG542AS9SA; SRT3700S; Supplier: Samsung</t>
  </si>
  <si>
    <t>AI/20</t>
  </si>
  <si>
    <t>FR-02 - 920x515x1800mm high Rhino two door black commercial upright triple glass door bar fridge; Code: SGT2-BS; Supplier: Bar Fridges</t>
  </si>
  <si>
    <t>AI/21</t>
  </si>
  <si>
    <t>FR-03 - 1360x700x850mm high Underbench storage freezer bromic; Finish: Stainless Steel; Code: UBF1360SD; Supplier: Mr Chop</t>
  </si>
  <si>
    <t>AI/22</t>
  </si>
  <si>
    <t>Fridge - Assumed measure only, no details provided</t>
  </si>
  <si>
    <t>AI/23</t>
  </si>
  <si>
    <t>MW - 800mm wide Miele 26L microwave; Code: M6012; Supplier: Winning Appliances</t>
  </si>
  <si>
    <t>AI/24</t>
  </si>
  <si>
    <t>Oven - Assumed measure only, no details provided</t>
  </si>
  <si>
    <t>AI/25</t>
  </si>
  <si>
    <t>OVEN-01 - 600x570x600mm high 600mnm Multi-Function 5 Electric Oven; Finish: Stainless Steel; Supplier: Westinghouse</t>
  </si>
  <si>
    <t>AI/26</t>
  </si>
  <si>
    <t>AI/27</t>
  </si>
  <si>
    <t>AI/28</t>
  </si>
  <si>
    <t>AI/29</t>
  </si>
  <si>
    <t>AI/30</t>
  </si>
  <si>
    <t>TB13 - (NB: no specific details provided)</t>
  </si>
  <si>
    <t>AI/31</t>
  </si>
  <si>
    <t>TB14 - (NB: no specific details provided)</t>
  </si>
  <si>
    <t>AI/32</t>
  </si>
  <si>
    <t>AI/33</t>
  </si>
  <si>
    <t>AI/34</t>
  </si>
  <si>
    <t>MW - 800mm wide Miele 26L microwave; Code: M6012; Supplier: Winning Appliances</t>
  </si>
  <si>
    <t>TOTAL COMMERCIAL DINING/KITCHEN EQUIPMENT</t>
  </si>
  <si>
    <t>AJ</t>
  </si>
  <si>
    <t>HYDRAULIC SERVICES</t>
  </si>
  <si>
    <t>AJ/1</t>
  </si>
  <si>
    <t>AJ/2</t>
  </si>
  <si>
    <t>AJ/3</t>
  </si>
  <si>
    <t>Excavation and backfilling including removal of spoil, maintaining faces of trenches and pits, forming pockets beneath collars and all jointing</t>
  </si>
  <si>
    <t>AJ/4</t>
  </si>
  <si>
    <t>Plant and equipment, pipework, fittings, fixtures, taps, traps connections, ancillary items and anything else necessary to complete the works</t>
  </si>
  <si>
    <t>AJ/5</t>
  </si>
  <si>
    <t>Testing and commissioning</t>
  </si>
  <si>
    <t>AJ/6</t>
  </si>
  <si>
    <t>Documentation, operating instructions and maintenance manuals</t>
  </si>
  <si>
    <t>AJ/7</t>
  </si>
  <si>
    <t>Co-ordination with other engineering installations</t>
  </si>
  <si>
    <t>AJ/8</t>
  </si>
  <si>
    <t>Complying with all statutory regulations</t>
  </si>
  <si>
    <t>AJ/9</t>
  </si>
  <si>
    <t>AJ/10</t>
  </si>
  <si>
    <t>Allow for keeping excavations free from rain and percolating water by pumping or other means</t>
  </si>
  <si>
    <t>AJ/11</t>
  </si>
  <si>
    <t>Allow for giving notices, obtaining permits, paying fees, obtaining certificates of satisfactory completion issued by a local authority where required</t>
  </si>
  <si>
    <t>AJ/12</t>
  </si>
  <si>
    <t>Allow for testing the installations</t>
  </si>
  <si>
    <t>AJ/13</t>
  </si>
  <si>
    <t>Allow for sterilising the installations</t>
  </si>
  <si>
    <t>AJ/14</t>
  </si>
  <si>
    <t>Allow for marking pipes with paint, colour bands, tags, plates, badges or lettering for identification purposes, or with arrows for indicating directions of flow for each type of installation</t>
  </si>
  <si>
    <t>AJ/15</t>
  </si>
  <si>
    <t>AJ/16</t>
  </si>
  <si>
    <t>AJ/17</t>
  </si>
  <si>
    <t>Allow for costs of complying with statutory regulations</t>
  </si>
  <si>
    <t>AJ/18</t>
  </si>
  <si>
    <t>Allow for the disconnection removal and/or diversion of existing hydraulic services as necessary</t>
  </si>
  <si>
    <t>AJ/19</t>
  </si>
  <si>
    <t>AJ/20</t>
  </si>
  <si>
    <t>Allow for Hydraulic Services</t>
  </si>
  <si>
    <t>TOTAL HYDRAULIC SERVICES</t>
  </si>
  <si>
    <t>AK</t>
  </si>
  <si>
    <t>MECHANICAL SERVICES</t>
  </si>
  <si>
    <t>AK/1</t>
  </si>
  <si>
    <t>AK/2</t>
  </si>
  <si>
    <t>Prices for shall include for:</t>
  </si>
  <si>
    <t>AK/3</t>
  </si>
  <si>
    <t>Plant and equipment, ductwork, registers, wiring, connections and ancillary items</t>
  </si>
  <si>
    <t>AK/4</t>
  </si>
  <si>
    <t>AK/5</t>
  </si>
  <si>
    <t>AK/6</t>
  </si>
  <si>
    <t>AK/7</t>
  </si>
  <si>
    <t>AK/8</t>
  </si>
  <si>
    <t>AK/9</t>
  </si>
  <si>
    <t>AK/10</t>
  </si>
  <si>
    <t>AK/11</t>
  </si>
  <si>
    <t>AK/12</t>
  </si>
  <si>
    <t>Allow for paying all fees, inspections and the like</t>
  </si>
  <si>
    <t>AK/13</t>
  </si>
  <si>
    <t>AK/14</t>
  </si>
  <si>
    <t>Allow for Mechanical Services</t>
  </si>
  <si>
    <t>TOTAL MECHANICAL SERVICES</t>
  </si>
  <si>
    <t>AL</t>
  </si>
  <si>
    <t>ELECTRICAL SERVICES</t>
  </si>
  <si>
    <t>AL/1</t>
  </si>
  <si>
    <t>AL/2</t>
  </si>
  <si>
    <t>AL/3</t>
  </si>
  <si>
    <t>Excavation including removal of spoil</t>
  </si>
  <si>
    <t>AL/4</t>
  </si>
  <si>
    <t>Plant and equipment, wiring, connections and ancillary items</t>
  </si>
  <si>
    <t>AL/5</t>
  </si>
  <si>
    <t>AL/6</t>
  </si>
  <si>
    <t>AL/7</t>
  </si>
  <si>
    <t>AL/8</t>
  </si>
  <si>
    <t>AL/9</t>
  </si>
  <si>
    <t>AL/10</t>
  </si>
  <si>
    <t>Allow for complying with relevant acts, by laws and statutory regulations</t>
  </si>
  <si>
    <t>AL/11</t>
  </si>
  <si>
    <t>Allow for giving notices, obtaining permits and completion certificates, paying all fees and charges</t>
  </si>
  <si>
    <t>AL/12</t>
  </si>
  <si>
    <t>AL/13</t>
  </si>
  <si>
    <t>AL/14</t>
  </si>
  <si>
    <t>Allow for providing as built documentation</t>
  </si>
  <si>
    <t>AL/15</t>
  </si>
  <si>
    <t>AL/16</t>
  </si>
  <si>
    <t>AL/17</t>
  </si>
  <si>
    <t>Allow for Electrical Services</t>
  </si>
  <si>
    <t>TOTAL ELECTRICAL SERVICES</t>
  </si>
  <si>
    <t>AM</t>
  </si>
  <si>
    <t>FIRE SERVICES</t>
  </si>
  <si>
    <t>AM/1</t>
  </si>
  <si>
    <t>AM/2</t>
  </si>
  <si>
    <t>AM/3</t>
  </si>
  <si>
    <t>AM/4</t>
  </si>
  <si>
    <t>Plant and equipment, piping, wiring, connections and ancillary items</t>
  </si>
  <si>
    <t>AM/5</t>
  </si>
  <si>
    <t>AM/6</t>
  </si>
  <si>
    <t>AM/7</t>
  </si>
  <si>
    <t>AM/8</t>
  </si>
  <si>
    <t>AM/9</t>
  </si>
  <si>
    <t>AM/10</t>
  </si>
  <si>
    <t>AM/11</t>
  </si>
  <si>
    <t>AM/12</t>
  </si>
  <si>
    <t>AM/13</t>
  </si>
  <si>
    <t>AM/14</t>
  </si>
  <si>
    <t>AM/15</t>
  </si>
  <si>
    <t>Allow for staff training</t>
  </si>
  <si>
    <t>AM/16</t>
  </si>
  <si>
    <t>Allow for Wet Fire Services</t>
  </si>
  <si>
    <t>AM/17</t>
  </si>
  <si>
    <t>Allow for Dry Fire Services</t>
  </si>
  <si>
    <t>TOTAL FIRE SERVICES</t>
  </si>
  <si>
    <t>AN</t>
  </si>
  <si>
    <t>LIFT SERVICES</t>
  </si>
  <si>
    <t>AN/1</t>
  </si>
  <si>
    <t>AN/2</t>
  </si>
  <si>
    <t>AN/3</t>
  </si>
  <si>
    <t>Refer to "Tender Specification - Vertical Transportation Services" dated 6 October 2023 by GoingUp Elevators Pty Ltd</t>
  </si>
  <si>
    <t>AN/4</t>
  </si>
  <si>
    <t>Refer to following sections of William Clarke College  "Architectural Specification" dated 5 April 2024 by PMDL Architecture + Design: 0183 - Metals and Prefinishes, 0181 - Adhesives, sealants and fasteners</t>
  </si>
  <si>
    <t>AN/5</t>
  </si>
  <si>
    <t>Refer to following architectural drawing series: A0130 for "GA Plans", A100 for "North and South GA Plan", A2000 for "Elevations", A3000 for "Sections", A4141 to A4142 for "Lift 1 and Lift 2 Details"</t>
  </si>
  <si>
    <t>AN/6</t>
  </si>
  <si>
    <t>AN/7</t>
  </si>
  <si>
    <t>AN/8</t>
  </si>
  <si>
    <t>AN/9</t>
  </si>
  <si>
    <t>AN/10</t>
  </si>
  <si>
    <t>AN/11</t>
  </si>
  <si>
    <t>AN/12</t>
  </si>
  <si>
    <t>AN/13</t>
  </si>
  <si>
    <t>AN/14</t>
  </si>
  <si>
    <t>AN/15</t>
  </si>
  <si>
    <t>AN/16</t>
  </si>
  <si>
    <t>AN/17</t>
  </si>
  <si>
    <t>AN/18</t>
  </si>
  <si>
    <t>AN/19</t>
  </si>
  <si>
    <t>No assumptions were made on this trade.</t>
  </si>
  <si>
    <t>Lift Services</t>
  </si>
  <si>
    <t>AN/20</t>
  </si>
  <si>
    <t>Lift 2 - 32600mm shaft depth x 3100mm shaft width Machine Roomless Lift, Simplex configuration with 4 panel centre opening fully automatic VVVF Drive door, Speed: 1.0m/s, Load: 2500kg, No. of Passengers: 17 passengers, Floors Served Front: 4, Floors Served Rear: 1</t>
  </si>
  <si>
    <t>Lift 2 Finishes</t>
  </si>
  <si>
    <t>AN/21</t>
  </si>
  <si>
    <t>No. 4 Hairline Stainless steel finish to landing landing frame</t>
  </si>
  <si>
    <t>AN/22</t>
  </si>
  <si>
    <t>No. 4 Hairline Stainless steel finish to landing control panel</t>
  </si>
  <si>
    <t>AN/23</t>
  </si>
  <si>
    <t>No. 4 Hairline Stainless steel finish to landing indicator</t>
  </si>
  <si>
    <t>AN/24</t>
  </si>
  <si>
    <t>No. 4 Hairline Stainless steel finish to control cabinet</t>
  </si>
  <si>
    <t>AN/25</t>
  </si>
  <si>
    <t>No. 4 Hairline Stainless steel finish to landing door</t>
  </si>
  <si>
    <t>AN/26</t>
  </si>
  <si>
    <t>No.4 hairline stainless steel finish to 600mm Car handrail</t>
  </si>
  <si>
    <t>AN/27</t>
  </si>
  <si>
    <t>Protective lift blankets</t>
  </si>
  <si>
    <t>AN/28</t>
  </si>
  <si>
    <t>AN/29</t>
  </si>
  <si>
    <t>No. 4 Hairline Stainless steel finish to car door</t>
  </si>
  <si>
    <t>AN/30</t>
  </si>
  <si>
    <t>No. 4 Hairline Stainless steel finish to car walls</t>
  </si>
  <si>
    <t>AN/31</t>
  </si>
  <si>
    <t>Mirror stainless steel finish to car ceiling</t>
  </si>
  <si>
    <t>AN/32</t>
  </si>
  <si>
    <t>Mirror on rear wall</t>
  </si>
  <si>
    <t>AN/33</t>
  </si>
  <si>
    <t>Lift 1 - 2450mm shaft depth x 2200mm shaft width Machine Roomless Lift, Simplex configuration with 2 panel centre opening fully automatic VVVF Drive door, Speed: 1.0m/s, Load: 1150kg, No. of Passengers: 15 passengers, Floors Served Front: 4, Floors Served Rear: 1</t>
  </si>
  <si>
    <t>Lift 1 Finishes</t>
  </si>
  <si>
    <t>AN/34</t>
  </si>
  <si>
    <t>AN/35</t>
  </si>
  <si>
    <t>AN/36</t>
  </si>
  <si>
    <t>AN/37</t>
  </si>
  <si>
    <t>AN/38</t>
  </si>
  <si>
    <t>AN/39</t>
  </si>
  <si>
    <t>AN/40</t>
  </si>
  <si>
    <t>AN/41</t>
  </si>
  <si>
    <t>AN/42</t>
  </si>
  <si>
    <t>AN/43</t>
  </si>
  <si>
    <t>AN/44</t>
  </si>
  <si>
    <t>AN/45</t>
  </si>
  <si>
    <t>TOTAL LIFT SERVICES</t>
  </si>
  <si>
    <t>AO</t>
  </si>
  <si>
    <t>BWIC (SERVICES)</t>
  </si>
  <si>
    <t>AP</t>
  </si>
  <si>
    <t>EXTERNAL WORKS &amp; LANDSCAPING</t>
  </si>
  <si>
    <t>AP/1</t>
  </si>
  <si>
    <t>Tenderers are referred to the Specification for the full particulars of workmanship and materials, and the quantities herein provided shall be read in conjunction with the drawings.</t>
  </si>
  <si>
    <t>AP/2</t>
  </si>
  <si>
    <t>AP/3</t>
  </si>
  <si>
    <t>Refer to following sections of William Clarke College  "Architectural Specification" dated 5 April 2024 by PMDL Architecture + Design: 0181 - Adhesives, sealants and fasteners, 0183 - Metals and pre finishes, 0195 - DTAC indicators / nosing treads, 0315 - Concrete finishes, 0331 - Brick and block construction</t>
  </si>
  <si>
    <t>AP/4</t>
  </si>
  <si>
    <t>Refer to landscape material and finishes schedule for William Clarke College Byrson Building dated 05 April 2024 by Arterra Design Pty Ltd</t>
  </si>
  <si>
    <t>AP/5</t>
  </si>
  <si>
    <t>Refer to following landscape drawing series: L-CD-001 to L-CD-407 for "Landscape Plans and Details"</t>
  </si>
  <si>
    <t>AP/6</t>
  </si>
  <si>
    <t>Refer to following civil drawing: C.30-A for "Civil Works Plan"</t>
  </si>
  <si>
    <t>Prices for landscaping related excavation shall include for:-</t>
  </si>
  <si>
    <t>AP/7</t>
  </si>
  <si>
    <t>Getting out</t>
  </si>
  <si>
    <t>AP/8</t>
  </si>
  <si>
    <t>AP/9</t>
  </si>
  <si>
    <t>Backfilling</t>
  </si>
  <si>
    <t>AP/10</t>
  </si>
  <si>
    <t>Ramming solid</t>
  </si>
  <si>
    <t>AP/11</t>
  </si>
  <si>
    <t>AP/12</t>
  </si>
  <si>
    <t>AP/13</t>
  </si>
  <si>
    <t>AP/14</t>
  </si>
  <si>
    <t>AP/15</t>
  </si>
  <si>
    <t>AP/16</t>
  </si>
  <si>
    <t>AP/17</t>
  </si>
  <si>
    <t>Allow for contractors submissions</t>
  </si>
  <si>
    <t>AP/18</t>
  </si>
  <si>
    <t>AP/19</t>
  </si>
  <si>
    <t>AP/20</t>
  </si>
  <si>
    <t>AP/21</t>
  </si>
  <si>
    <t>Allow for keeping excavation free from rain and percolating water by pumping, bailing and other means</t>
  </si>
  <si>
    <t>AP/22</t>
  </si>
  <si>
    <t>Allow for warning sign regarding plant protection</t>
  </si>
  <si>
    <t>AP/23</t>
  </si>
  <si>
    <t>Allow for temporary landscape fencing</t>
  </si>
  <si>
    <t>AP/24</t>
  </si>
  <si>
    <t>Allow for reinstatement of existing turf or landscape areas which may be disturbed during the course of the works</t>
  </si>
  <si>
    <t>AP/25</t>
  </si>
  <si>
    <t>Allow for submitting warranties and maintenance manuals where required</t>
  </si>
  <si>
    <t>Furniture and Structure</t>
  </si>
  <si>
    <t>Tiered Seating</t>
  </si>
  <si>
    <t>900x350mm high concrete tiered seating</t>
  </si>
  <si>
    <t>AP/26</t>
  </si>
  <si>
    <t>32MPa concrete stair on ground</t>
  </si>
  <si>
    <t>AP/27</t>
  </si>
  <si>
    <t>AP/28</t>
  </si>
  <si>
    <t>Riser formwork greater than 250mm high</t>
  </si>
  <si>
    <t>AP/29</t>
  </si>
  <si>
    <t>Bar reinforcement to stair on ground</t>
  </si>
  <si>
    <t>AP/30</t>
  </si>
  <si>
    <t>Curing to stair treads</t>
  </si>
  <si>
    <t>900x300mm high concrete tiered seating</t>
  </si>
  <si>
    <t>AP/31</t>
  </si>
  <si>
    <t>AP/32</t>
  </si>
  <si>
    <t>AP/33</t>
  </si>
  <si>
    <t>AP/34</t>
  </si>
  <si>
    <t>500x300mm high concrete tiered seating</t>
  </si>
  <si>
    <t>AP/35</t>
  </si>
  <si>
    <t>AP/36</t>
  </si>
  <si>
    <t>AP/37</t>
  </si>
  <si>
    <t>AP/38</t>
  </si>
  <si>
    <t>600x300mm high modified concrete tiered seating; Assumed REO: 100kg/m3</t>
  </si>
  <si>
    <t>AP/39</t>
  </si>
  <si>
    <t>AP/40</t>
  </si>
  <si>
    <t>AP/41</t>
  </si>
  <si>
    <t>Siding formwork</t>
  </si>
  <si>
    <t>AP/42</t>
  </si>
  <si>
    <t>AP/43</t>
  </si>
  <si>
    <t>AP/44</t>
  </si>
  <si>
    <t>HW timber battens, flush to concrete tiered seating (NB: No details provided)</t>
  </si>
  <si>
    <t>AP/45</t>
  </si>
  <si>
    <t>Timber outdoor seat around planters (NB:No details provided)</t>
  </si>
  <si>
    <t>Concrete Edge</t>
  </si>
  <si>
    <t>AP/46</t>
  </si>
  <si>
    <t>150x150mm wide above finished surface level of ramp/ walkway in off form finish, standard grey concrete colour, 32MPa</t>
  </si>
  <si>
    <t>AP/47</t>
  </si>
  <si>
    <t>Reinforcement to concrete edge</t>
  </si>
  <si>
    <t>AP/48</t>
  </si>
  <si>
    <t>Formwork to Edge Type 1 - 150x150mm high concrete edge, Class 2</t>
  </si>
  <si>
    <t>Planters Walls</t>
  </si>
  <si>
    <t>AP/49</t>
  </si>
  <si>
    <t>120mm thick blockwork</t>
  </si>
  <si>
    <t>AP/50</t>
  </si>
  <si>
    <t>Reinforcement to planters wall - 120mm thick blockwork; Assumed Reo: 47kg/m3</t>
  </si>
  <si>
    <t>AP/51</t>
  </si>
  <si>
    <t>Corefilling to 120mm thick blockwork; Assumed CF Rate: 0.076m3/m2</t>
  </si>
  <si>
    <t>AP/52</t>
  </si>
  <si>
    <t>300mm width permeable crushed rock granular material</t>
  </si>
  <si>
    <t>AP/53</t>
  </si>
  <si>
    <t>100mm diameter PVC subsoil drainage pipe</t>
  </si>
  <si>
    <t>Curved Walls</t>
  </si>
  <si>
    <t>AP/54</t>
  </si>
  <si>
    <t>Curved wall to WT1 - 230x110x76mm Bowral dry pressed clay brick</t>
  </si>
  <si>
    <t>AP/55</t>
  </si>
  <si>
    <t>Curved wall to RW1 - 190mm thick blockwork</t>
  </si>
  <si>
    <t>Walls</t>
  </si>
  <si>
    <t>AP/56</t>
  </si>
  <si>
    <t>W1 - 230x110x76mm Bowral dry pressed clay brick in brahman granite colour; Pattern: Stretcher bond; Series: Bowral 76</t>
  </si>
  <si>
    <t>AP/57</t>
  </si>
  <si>
    <t>Cleaning to W1 - 230x110x76mm Bowral dry pressed clay brick in brahman granite colour</t>
  </si>
  <si>
    <t>AP/58</t>
  </si>
  <si>
    <t>Allowance for joints to W1 - 230x110x76mm Bowral dry pressed clay brick in brahman granite colour</t>
  </si>
  <si>
    <t>AP/59</t>
  </si>
  <si>
    <t>Raking Cutting to W1 - 230x110x76mm Bowral dry pressed clay brick in brahman granite colour</t>
  </si>
  <si>
    <t>AP/60</t>
  </si>
  <si>
    <t>W2 - 500x500mm sandstone blocks in golder/banded colour with split faces, sawn top, bottom and sides finish; Grade: A</t>
  </si>
  <si>
    <t>AP/61</t>
  </si>
  <si>
    <t>100mm depth compacted crushed rock</t>
  </si>
  <si>
    <t>AP/62</t>
  </si>
  <si>
    <t>200mm highly permeable crushed rock</t>
  </si>
  <si>
    <t>AP/63</t>
  </si>
  <si>
    <t>Concrete Wall</t>
  </si>
  <si>
    <t>AP/64</t>
  </si>
  <si>
    <t>300mm high retaining wall footing, 32MPa</t>
  </si>
  <si>
    <t>AP/65</t>
  </si>
  <si>
    <t>Formwork to 300mm high retaining wall footing</t>
  </si>
  <si>
    <t>AP/66</t>
  </si>
  <si>
    <t>WT3 - 190mm thick blockwork</t>
  </si>
  <si>
    <t>AP/67</t>
  </si>
  <si>
    <t>Corefilling to 190mm thick blockwork; Assumed CF Rate: 0.12m3/m2</t>
  </si>
  <si>
    <t>AP/68</t>
  </si>
  <si>
    <t>Reinforcement to WT 3- 190mm thick blockwork</t>
  </si>
  <si>
    <t>AP/69</t>
  </si>
  <si>
    <t>AP/70</t>
  </si>
  <si>
    <t>Tactile Indicator and Stair Nosing</t>
  </si>
  <si>
    <t>AP/71</t>
  </si>
  <si>
    <t>2000x550mm wide Tactile system Australia, 316 solid marine grade stainless steel in single stud black PVD finish with P5 slip resistant rating</t>
  </si>
  <si>
    <t>AP/72</t>
  </si>
  <si>
    <t>2200x550mm wide Tactile system Australia, 316 solid marine grade stainless steel in single stud black PVD finish with P5 slip resistant rating</t>
  </si>
  <si>
    <t>AP/73</t>
  </si>
  <si>
    <t>2450x550mm wide Tactile system Australia, 316 solid marine grade stainless steel in single stud black PVD finish with P5 slip resistant rating</t>
  </si>
  <si>
    <t>AP/74</t>
  </si>
  <si>
    <t>2600x550mm wide Tactile system Australia, 316 solid marine grade stainless steel in single stud black PVD finish with P5 slip resistant rating</t>
  </si>
  <si>
    <t>AP/75</t>
  </si>
  <si>
    <t>3100x600mm wide Tactile system Australia, 316 solid marine grade stainless steel in single stud black PVD finish with P5 slip resistant rating</t>
  </si>
  <si>
    <t>AP/76</t>
  </si>
  <si>
    <t>3600x550mm wide Tactile system Australia, 316 solid marine grade stainless steel in single stud black PVD finish with P5 slip resistant rating</t>
  </si>
  <si>
    <t>AP/77</t>
  </si>
  <si>
    <t>4000x550mm wide Tactile system Australia, 316 solid marine grade stainless steel in single stud black PVD finish with P5 slip resistant rating</t>
  </si>
  <si>
    <t>AP/78</t>
  </si>
  <si>
    <t>NSG-03 - 50x10x15mm depth ankor, Latham Australia safety stair tread nosing in aluminium alloy milled finish, sparkling black colour; Type: Asbraloy ACS-50SK</t>
  </si>
  <si>
    <t>Balustrade, Bollard and Handrail</t>
  </si>
  <si>
    <t>AP/79</t>
  </si>
  <si>
    <t>1000mm customised balustrade with masonry chemset anchor in basalt colour powder coat finish; Fixing: Core drilled into retaining wall</t>
  </si>
  <si>
    <t>AP/80</t>
  </si>
  <si>
    <t>50mm diameter galvanised steel CHS handrail with Klick LED pod 40 recessed light; Fixing: Core Drilled into surface</t>
  </si>
  <si>
    <t>AP/81</t>
  </si>
  <si>
    <t>Galvanised steel edging (NB: No details provided)</t>
  </si>
  <si>
    <t>Plants</t>
  </si>
  <si>
    <t>Shrubs and Groundcovers</t>
  </si>
  <si>
    <t>AP/82</t>
  </si>
  <si>
    <t>Anigozanthos big red; Kangaroo paws red flowering; 1-2m potential height; 0.5m potential diameter; 140mm container size</t>
  </si>
  <si>
    <t>AP/83</t>
  </si>
  <si>
    <t>Asplenium australasicum; Birds nest fern; 0.7m potential height; 1.00m potential diameter; 200mm container size (NB: Total count on planting schedule: 6no)</t>
  </si>
  <si>
    <t>AP/84</t>
  </si>
  <si>
    <t>Banksia spinulosa; Heath banksia; 2m potential height; 1.5m potential diameter; 140mm container size (NB: Total count on planting schedule: 16no)</t>
  </si>
  <si>
    <t>AP/85</t>
  </si>
  <si>
    <t>Banksia spinulosa 'Bush Candles'; Hairpin banksia; 0.7m potential height; 1m potential diameter; 140mm container size (NB: Total count on planting schedule: 30no)</t>
  </si>
  <si>
    <t>AP/86</t>
  </si>
  <si>
    <t>Callistemon 'Little John'; Bottle brush; 0.7m potential height; 1.00m potential diameter; 140mm container size (NB: Total count on planting schedule: 68no)</t>
  </si>
  <si>
    <t>AP/87</t>
  </si>
  <si>
    <t>Chrysocephalum apiculatum 'Silver Suburst'; Silver sunburst; 0.2m potential height; 0.5m potential diameter; 140mm container size</t>
  </si>
  <si>
    <t>AP/88</t>
  </si>
  <si>
    <t>Dendrobium (NB: No details provided)</t>
  </si>
  <si>
    <t>AP/89</t>
  </si>
  <si>
    <t>Lomandra longifolia verday; Mat rush; 1.00m potential height; 0.5m potential diameter; 140mm container size (NB: Total count on planting schedule: 1251no)</t>
  </si>
  <si>
    <t>AP/90</t>
  </si>
  <si>
    <t>Schefflera arboricola; Dwarf schefflera arboricola; 1-2m potential height; 1.00m potential diameter; 200mm container size</t>
  </si>
  <si>
    <t>AP/91</t>
  </si>
  <si>
    <t>Viola hederacea; Native violet; 0.1m potential height; 0.5m potential diameter; 140mm container size (NB: Total count on planting schedule: 30no)</t>
  </si>
  <si>
    <t>AP/92</t>
  </si>
  <si>
    <t>Westringia fruiticosa 'Mundi'; Prostate coastal rosemary; 1.00m potential height; 1.00m potential diameter; 140mm container size (NB: Total count on planting schedule: 185no)</t>
  </si>
  <si>
    <t>AP/93</t>
  </si>
  <si>
    <t>Cyanthea australis; Tree fern; 1-5m potential height; 0.5m potential diameter; 1.0m high trunk container size</t>
  </si>
  <si>
    <t>AP/94</t>
  </si>
  <si>
    <t>Xanthorrhoea glauca; Grass tree; 3-4m potential height; 0.5m potential diameter; 0.8m high container size</t>
  </si>
  <si>
    <t>Trees</t>
  </si>
  <si>
    <t>AP/95</t>
  </si>
  <si>
    <t>Fraxinus pennsylvanica 'Urbanite'; Urbanite ash; 11m potential height; 8m potential diameter; 200L container size</t>
  </si>
  <si>
    <t>AP/96</t>
  </si>
  <si>
    <t>Nyssa sylvatica; Tupelo; 12m potential height; 8m potential diameter; 200L container size</t>
  </si>
  <si>
    <t>Softscape</t>
  </si>
  <si>
    <t>AP/97</t>
  </si>
  <si>
    <t>SSD - 100 diameter perforated subsoil drainage line class 1000 within woven filter fabric socks surround laid</t>
  </si>
  <si>
    <t>AP/98</t>
  </si>
  <si>
    <t>Turf - 150mm site top soil; minimum 150mm depth of cultivated/ripped subsoil</t>
  </si>
  <si>
    <t>AP/99</t>
  </si>
  <si>
    <t>Garden profile 1 - 300mm Soil type A: Hills bark blower organic garden mix, or benedicts organic garden mix (M13) or an approved equivalent manufactured garden soil with a maximum 20% organic matter by volume; 200mm depth of cultivated sub grade</t>
  </si>
  <si>
    <t>AP/100</t>
  </si>
  <si>
    <t>Garden profile 2 - 300mm Soil type A: Hills bark blower organic garden mix, or benedicts organic garden mix (M13) or an approved equivalent manufactured garden soil with a maximum 20% organic matter by volume; 400mm Soil type B: Hills bark blower b horizon mix, or benedicts 80:20 washed sand and screened solid bend or an approved equivalent manufactured soil with max 5% organic matter by volume</t>
  </si>
  <si>
    <t>AP/101</t>
  </si>
  <si>
    <t>Garden profile 3 - 150mm Soil type A: Hills bark blower organic garden mix, or benedicts organic garden mix (M13) or an approved equivalent manufactured garden soil with a maximum 20% organic matter by volume</t>
  </si>
  <si>
    <t>AP/102</t>
  </si>
  <si>
    <t>50mm depth hardwood chip mulch; screened to 25mm</t>
  </si>
  <si>
    <t>Irrigation</t>
  </si>
  <si>
    <t>AP/103</t>
  </si>
  <si>
    <t>Irrigation - (NB: No details provided)</t>
  </si>
  <si>
    <t>AP/104</t>
  </si>
  <si>
    <t>AP/105</t>
  </si>
  <si>
    <t>AP/106</t>
  </si>
  <si>
    <t>AP/107</t>
  </si>
  <si>
    <t>AP/108</t>
  </si>
  <si>
    <t>Curved wall to WT2 - 500x500mm sandstone blocks</t>
  </si>
  <si>
    <t>AP/109</t>
  </si>
  <si>
    <t>Curved wall to RT1 - 190mm thick blockwork</t>
  </si>
  <si>
    <t>AP/110</t>
  </si>
  <si>
    <t>AP/111</t>
  </si>
  <si>
    <t>AP/112</t>
  </si>
  <si>
    <t>AP/113</t>
  </si>
  <si>
    <t>AP/114</t>
  </si>
  <si>
    <t>AP/115</t>
  </si>
  <si>
    <t>AP/116</t>
  </si>
  <si>
    <t>AP/117</t>
  </si>
  <si>
    <t>AP/118</t>
  </si>
  <si>
    <t>AP/119</t>
  </si>
  <si>
    <t>AP/120</t>
  </si>
  <si>
    <t>AP/121</t>
  </si>
  <si>
    <t>AP/122</t>
  </si>
  <si>
    <t>Reinforcement to WT3 - 190mm thick blockwork</t>
  </si>
  <si>
    <t>AP/123</t>
  </si>
  <si>
    <t>AP/124</t>
  </si>
  <si>
    <t>AP/125</t>
  </si>
  <si>
    <t>1900x550mm wide Tactile system Australia, 316 solid marine grade stainless steel in single stud black PVD finish with P5 slip resistant rating</t>
  </si>
  <si>
    <t>AP/126</t>
  </si>
  <si>
    <t>2100x550mm wide Tactile system Australia, 316 solid marine grade stainless steel in single stud black PVD finish with P5 slip resistant rating</t>
  </si>
  <si>
    <t>AP/127</t>
  </si>
  <si>
    <t>2800x550mm wide Tactile system Australia, 316 solid marine grade stainless steel in single stud black PVD finish with P5 slip resistant rating</t>
  </si>
  <si>
    <t>AP/128</t>
  </si>
  <si>
    <t>AP/129</t>
  </si>
  <si>
    <t>AP/130</t>
  </si>
  <si>
    <t>AP/131</t>
  </si>
  <si>
    <t>AP/132</t>
  </si>
  <si>
    <t>B1 - 90mm diameter x 1000mm high galvanised bollard steel, Stoddart - Town and park bollard column-12; Type: Fixed; Code: SPTP.B12.GA-SS-1000</t>
  </si>
  <si>
    <t>AP/133</t>
  </si>
  <si>
    <t>B2 - 115mm diameter x 1000mm high galvanised bollard steel, Stoddart - Town and park bollard column-12; Type: Removable; Code: SPTP.B21-R-GA-SS-1000-PC- A2</t>
  </si>
  <si>
    <t>AP/134</t>
  </si>
  <si>
    <t>1975mm width temporary steel stair  (NB: No details provided)</t>
  </si>
  <si>
    <t>AP/135</t>
  </si>
  <si>
    <t>AP/136</t>
  </si>
  <si>
    <t>Adiantum hispidulum; Rough maiden hair fern; 0.8m potential height; 1m potential diameter; 140mm container size (NB: Total count on planting schedule: 20no)</t>
  </si>
  <si>
    <t>AP/137</t>
  </si>
  <si>
    <t>AP/138</t>
  </si>
  <si>
    <t>Baeckea virgata nana; Miniature baekea; 0.5m potential height; 0.5m potential diameter; 140mm container size (NB: Total count on planting schedule: 50no)</t>
  </si>
  <si>
    <t>AP/139</t>
  </si>
  <si>
    <t>AP/140</t>
  </si>
  <si>
    <t>Brachysome multifida 'Break of Day'; Native Daisy; 0.2m potential height; 0.4m potential diameter; 140mm container size</t>
  </si>
  <si>
    <t>AP/141</t>
  </si>
  <si>
    <t>Calathea zebrina; Zebra plant; 0.3m potential height; 0.5m potential diameter; 200mm container size</t>
  </si>
  <si>
    <t>AP/142</t>
  </si>
  <si>
    <t>AP/143</t>
  </si>
  <si>
    <t>AP/144</t>
  </si>
  <si>
    <t>Correa glabra 'Tambulli'; Narrow bell correa; 1.5-2.5m potential height; 1.2m potential diameter; 200mm container size (NB: Total count on planting schedule: 88no)</t>
  </si>
  <si>
    <t>AP/145</t>
  </si>
  <si>
    <t>Dianella caerulea 'Little Jess'; Little Jess; 0.5m potential height; 0.5m potential diameter; 140mm container size</t>
  </si>
  <si>
    <t>AP/146</t>
  </si>
  <si>
    <t>Grevillea lanigera 'Mt Tamboritha': Wooly grevillea; 0.5m potential height; 1.5m potential diameter; 140mm container size</t>
  </si>
  <si>
    <t>AP/147</t>
  </si>
  <si>
    <t>AP/148</t>
  </si>
  <si>
    <t>Westringia fruiticosa; Coastal rosemary; 1.00m potential height; 1.00m potential diameter; 140mm container size</t>
  </si>
  <si>
    <t>AP/149</t>
  </si>
  <si>
    <t>AP/150</t>
  </si>
  <si>
    <t>Nyssa sylvatica; Tupelo; 12m potential height; 8m potential diameter; 100L container size</t>
  </si>
  <si>
    <t>AP/151</t>
  </si>
  <si>
    <t>Ulmus parvifolium 'Todd'; 10m potential height; 12m potential diameter; 200L container size</t>
  </si>
  <si>
    <t>AP/152</t>
  </si>
  <si>
    <t>AP/153</t>
  </si>
  <si>
    <t>AP/154</t>
  </si>
  <si>
    <t>AP/155</t>
  </si>
  <si>
    <t>AP/156</t>
  </si>
  <si>
    <t>AP/157</t>
  </si>
  <si>
    <t>AP/158</t>
  </si>
  <si>
    <t>TOTAL EXTERNAL WORKS &amp; LANDSCAPING</t>
  </si>
  <si>
    <t>AQ</t>
  </si>
  <si>
    <t>CIVIL WORKS</t>
  </si>
  <si>
    <t>AQ/1</t>
  </si>
  <si>
    <t>AQ/2</t>
  </si>
  <si>
    <t>AQ/3</t>
  </si>
  <si>
    <t>Refer to following sections of WCC Bryson Building Specification Revision A dated 5 April 2024 by PMDL Architecture + Design: 0315 - Concrete finishes, 0331 - Brick and block construction</t>
  </si>
  <si>
    <t>AQ/4</t>
  </si>
  <si>
    <t>AQ/5</t>
  </si>
  <si>
    <t>AQ/6</t>
  </si>
  <si>
    <t>AQ/7</t>
  </si>
  <si>
    <t>AQ/8</t>
  </si>
  <si>
    <t>AQ/9</t>
  </si>
  <si>
    <t>AQ/10</t>
  </si>
  <si>
    <t>AQ/11</t>
  </si>
  <si>
    <t>AQ/12</t>
  </si>
  <si>
    <t>AQ/13</t>
  </si>
  <si>
    <t>AQ/14</t>
  </si>
  <si>
    <t>AQ/15</t>
  </si>
  <si>
    <t>AQ/16</t>
  </si>
  <si>
    <t>AQ/17</t>
  </si>
  <si>
    <t>AQ/18</t>
  </si>
  <si>
    <t>AQ/19</t>
  </si>
  <si>
    <t>AQ/20</t>
  </si>
  <si>
    <t>AQ/21</t>
  </si>
  <si>
    <t>Allow for concrete pumping here or in rates applied</t>
  </si>
  <si>
    <t>Roadwork, Footpath &amp; Pavement</t>
  </si>
  <si>
    <t>Paving &amp; Surfaces</t>
  </si>
  <si>
    <t>AQ/22</t>
  </si>
  <si>
    <t>P1 - 32MPa concrete with 110mm thick slab on ground in standard grey colour</t>
  </si>
  <si>
    <t>AQ/23</t>
  </si>
  <si>
    <t>Edgeboard less than or equal to 250mm high</t>
  </si>
  <si>
    <t>AQ/24</t>
  </si>
  <si>
    <t>SL102 mesh</t>
  </si>
  <si>
    <t>AQ/25</t>
  </si>
  <si>
    <t>25 sand blinding layer</t>
  </si>
  <si>
    <t>AQ/26</t>
  </si>
  <si>
    <t>120mm depth compacted DGB20</t>
  </si>
  <si>
    <t>AQ/27</t>
  </si>
  <si>
    <t>Concrete curing</t>
  </si>
  <si>
    <t>AQ/28</t>
  </si>
  <si>
    <t>Broomed finish</t>
  </si>
  <si>
    <t>AQ/29</t>
  </si>
  <si>
    <t>Tooled control joints (Refer to L-CD-406 for details)</t>
  </si>
  <si>
    <t>AQ/30</t>
  </si>
  <si>
    <t>Proprietary keyed and dowelled expansion joints (Refer to L-CD-406 for details)</t>
  </si>
  <si>
    <t>AQ/31</t>
  </si>
  <si>
    <t>Raking P1 - 32MPa concrete with 110mm thick slab on ground in standard grey colour</t>
  </si>
  <si>
    <t>AQ/32</t>
  </si>
  <si>
    <t>AQ/33</t>
  </si>
  <si>
    <t>AQ/34</t>
  </si>
  <si>
    <t>25mm sand blinding layer</t>
  </si>
  <si>
    <t>AQ/35</t>
  </si>
  <si>
    <t>AQ/36</t>
  </si>
  <si>
    <t>AQ/37</t>
  </si>
  <si>
    <t>AQ/38</t>
  </si>
  <si>
    <t>AQ/39</t>
  </si>
  <si>
    <t>AQ/40</t>
  </si>
  <si>
    <t>P2 - 230x114x65mm Bowral dry pressed clay pavers in silversand or chesnut colour; Pattern: Basket weave; Series: London</t>
  </si>
  <si>
    <t>AQ/41</t>
  </si>
  <si>
    <t>20mm sand blinding layer</t>
  </si>
  <si>
    <t>AQ/42</t>
  </si>
  <si>
    <t>150mm depth compacted DGB20</t>
  </si>
  <si>
    <t>Concrete Paving Edge Thickening</t>
  </si>
  <si>
    <t>AQ/43</t>
  </si>
  <si>
    <t>ET - 300x300mm deep concrete paving edge thickening, 32MPa</t>
  </si>
  <si>
    <t>AQ/44</t>
  </si>
  <si>
    <t>ET1 - 300x800mm deep concrete paving edge thickening, 32MPa</t>
  </si>
  <si>
    <t>AQ/45</t>
  </si>
  <si>
    <t>Edgeboard greater than to 250mm high</t>
  </si>
  <si>
    <t>AQ/46</t>
  </si>
  <si>
    <t>AQ/47</t>
  </si>
  <si>
    <t>Bar reinforcement to concrete paving edge thickening</t>
  </si>
  <si>
    <t>Retaining Block Wall</t>
  </si>
  <si>
    <t>AQ/48</t>
  </si>
  <si>
    <t>AQ/49</t>
  </si>
  <si>
    <t>AQ/50</t>
  </si>
  <si>
    <t>RW1 - 190mm thick blockwork</t>
  </si>
  <si>
    <t>AQ/51</t>
  </si>
  <si>
    <t>Reinforcement to RW1 - 190mm thick blockwork and footing</t>
  </si>
  <si>
    <t>AQ/52</t>
  </si>
  <si>
    <t>AQ/53</t>
  </si>
  <si>
    <t>AQ/54</t>
  </si>
  <si>
    <t>Stormwater</t>
  </si>
  <si>
    <t>Pits and Drain</t>
  </si>
  <si>
    <t>Pits between 500-1000mm depth</t>
  </si>
  <si>
    <t>AQ/55</t>
  </si>
  <si>
    <t>600x600x800mm depth stormwater pit with SL82 fabric steel reinforcement and hot dipped galvanised heel guard pit grate, medium duty in hinged and lockable type</t>
  </si>
  <si>
    <t>AQ/56</t>
  </si>
  <si>
    <t>600x600x1000mm depth stormwater pit with SL82 fabric steel reinforcement and hot dipped galvanised heel guard pit grate, medium duty in hinged and lockable type</t>
  </si>
  <si>
    <t>Pits between 1000-1500mm depth</t>
  </si>
  <si>
    <t>AQ/57</t>
  </si>
  <si>
    <t>900x900x1200mm depth stormwater pit with SL82 fabric steel reinforcement and hot dipped galvanised heel guard pit grate, medium duty in hinged and lockable type</t>
  </si>
  <si>
    <t>AQ/58</t>
  </si>
  <si>
    <t>Upgrade inlet headwall and install energy dissipation mattress</t>
  </si>
  <si>
    <t>Pipes</t>
  </si>
  <si>
    <t>Pipe less than 1000mm depth</t>
  </si>
  <si>
    <t>AQ/59</t>
  </si>
  <si>
    <t>150mm uPVC Pipe in class SH grade</t>
  </si>
  <si>
    <t>AQ/60</t>
  </si>
  <si>
    <t>225mm uPVC Pipe in class SH grade</t>
  </si>
  <si>
    <t>Pipe between 1000-2000mm depth</t>
  </si>
  <si>
    <t>AQ/61</t>
  </si>
  <si>
    <t>AQ/62</t>
  </si>
  <si>
    <t>AQ/63</t>
  </si>
  <si>
    <t>375mm uPVC Pipe in class SH grade</t>
  </si>
  <si>
    <t>Waterline</t>
  </si>
  <si>
    <t>AQ/64</t>
  </si>
  <si>
    <t>Waterline (NB:No details provided)</t>
  </si>
  <si>
    <t>Tanks</t>
  </si>
  <si>
    <t>Treatment Chamber Tank</t>
  </si>
  <si>
    <t>AQ/65</t>
  </si>
  <si>
    <t>100mm thick slab on ground, Assumed 32MPa</t>
  </si>
  <si>
    <t>AQ/66</t>
  </si>
  <si>
    <t>AQ/67</t>
  </si>
  <si>
    <t>Reinforcement to 100mm thick slab on ground; Assumed REO Rate: 100kg/m3</t>
  </si>
  <si>
    <t>AQ/68</t>
  </si>
  <si>
    <t>190mm thick blockwork</t>
  </si>
  <si>
    <t>AQ/69</t>
  </si>
  <si>
    <t>AQ/70</t>
  </si>
  <si>
    <t>Reinforcement to 190mm thick blockwork; Assumed REO Rate: 75kg/m3</t>
  </si>
  <si>
    <t>AQ/71</t>
  </si>
  <si>
    <t>275x150x24mm diameter galvanised mild steel rods</t>
  </si>
  <si>
    <t>AQ/72</t>
  </si>
  <si>
    <t>900x900 shaft with class D grated cover in non slip heel guard</t>
  </si>
  <si>
    <t>AQ/73</t>
  </si>
  <si>
    <t>Atlan filters (5/SF.3.0-EMC-M)</t>
  </si>
  <si>
    <t>AQ/74</t>
  </si>
  <si>
    <t>100mm thick blue metal wrapped in geotextile fabric filter</t>
  </si>
  <si>
    <t>AQ/75</t>
  </si>
  <si>
    <t>RH3030 Lysaght maximesh trash screen with lifting handle</t>
  </si>
  <si>
    <t>Stairs on Ground</t>
  </si>
  <si>
    <t>2600mm width concrete stair with 340mm treads, 120mm throat thickness, 144mm riser height with 1 flight</t>
  </si>
  <si>
    <t>AQ/76</t>
  </si>
  <si>
    <t>AQ/77</t>
  </si>
  <si>
    <t>AQ/78</t>
  </si>
  <si>
    <t>Riser formwork less than or equal to 250mm high</t>
  </si>
  <si>
    <t>AQ/79</t>
  </si>
  <si>
    <t>AQ/80</t>
  </si>
  <si>
    <t>Curing to stair treads and landing</t>
  </si>
  <si>
    <t>AQ/81</t>
  </si>
  <si>
    <t>Wood float non slip finish to stair treads and landing</t>
  </si>
  <si>
    <t>2800mm width concrete stair with 340mm treads, 120mm throat thickness, 144mm riser height with 1 flight</t>
  </si>
  <si>
    <t>AQ/82</t>
  </si>
  <si>
    <t>AQ/83</t>
  </si>
  <si>
    <t>AQ/84</t>
  </si>
  <si>
    <t>AQ/85</t>
  </si>
  <si>
    <t>AQ/86</t>
  </si>
  <si>
    <t>AQ/87</t>
  </si>
  <si>
    <t>3277mm width concrete stair with 340mm treads, 120mm throat thickness, 160mm riser height with 2 flights and 1 landing; Assumed REO Rate: 100kg/m3</t>
  </si>
  <si>
    <t>AQ/88</t>
  </si>
  <si>
    <t>AQ/89</t>
  </si>
  <si>
    <t>AQ/90</t>
  </si>
  <si>
    <t>AQ/91</t>
  </si>
  <si>
    <t>AQ/92</t>
  </si>
  <si>
    <t>AQ/93</t>
  </si>
  <si>
    <t>AQ/94</t>
  </si>
  <si>
    <t>2392mm width concrete stair (Refer to L-CD-402)</t>
  </si>
  <si>
    <t>AQ/95</t>
  </si>
  <si>
    <t>AQ/96</t>
  </si>
  <si>
    <t>AQ/97</t>
  </si>
  <si>
    <t>AQ/98</t>
  </si>
  <si>
    <t>AQ/99</t>
  </si>
  <si>
    <t>AQ/100</t>
  </si>
  <si>
    <t>2640mm width concrete stair with 350mm treads, 120mm throat thickness, 140mm riser height with 1 flight</t>
  </si>
  <si>
    <t>AQ/101</t>
  </si>
  <si>
    <t>AQ/102</t>
  </si>
  <si>
    <t>AQ/103</t>
  </si>
  <si>
    <t>AQ/104</t>
  </si>
  <si>
    <t>AQ/105</t>
  </si>
  <si>
    <t>AQ/106</t>
  </si>
  <si>
    <t>4256mm width concrete stair with 340mm treads, 120mm throat thickness, 142mm riser height with 1 flight</t>
  </si>
  <si>
    <t>AQ/107</t>
  </si>
  <si>
    <t>AQ/108</t>
  </si>
  <si>
    <t>AQ/109</t>
  </si>
  <si>
    <t>AQ/110</t>
  </si>
  <si>
    <t>AQ/111</t>
  </si>
  <si>
    <t>AQ/112</t>
  </si>
  <si>
    <t>AQ/113</t>
  </si>
  <si>
    <t>AQ/114</t>
  </si>
  <si>
    <t>AQ/115</t>
  </si>
  <si>
    <t>AQ/116</t>
  </si>
  <si>
    <t>AQ/117</t>
  </si>
  <si>
    <t>AQ/118</t>
  </si>
  <si>
    <t>AQ/119</t>
  </si>
  <si>
    <t>AQ/120</t>
  </si>
  <si>
    <t>AQ/121</t>
  </si>
  <si>
    <t>AQ/122</t>
  </si>
  <si>
    <t>AQ/123</t>
  </si>
  <si>
    <t>AQ/124</t>
  </si>
  <si>
    <t>AQ/125</t>
  </si>
  <si>
    <t>AQ/126</t>
  </si>
  <si>
    <t>AQ/127</t>
  </si>
  <si>
    <t>AQ/128</t>
  </si>
  <si>
    <t>AQ/129</t>
  </si>
  <si>
    <t>AQ/130</t>
  </si>
  <si>
    <t>AQ/131</t>
  </si>
  <si>
    <t>AQ/132</t>
  </si>
  <si>
    <t>AQ/133</t>
  </si>
  <si>
    <t>AQ/134</t>
  </si>
  <si>
    <t>AQ/135</t>
  </si>
  <si>
    <t>AQ/136</t>
  </si>
  <si>
    <t>AQ/137</t>
  </si>
  <si>
    <t>AQ/138</t>
  </si>
  <si>
    <t>AQ/139</t>
  </si>
  <si>
    <t>AQ/140</t>
  </si>
  <si>
    <t>Pits less than 500mm depth</t>
  </si>
  <si>
    <t>AQ/141</t>
  </si>
  <si>
    <t>450x450x450mm depth stormwater pit with SL82 fabric steel reinforcement and hot dipped galvanised heel guard pit grate, medium duty in hinged and lockable type</t>
  </si>
  <si>
    <t>AQ/142</t>
  </si>
  <si>
    <t>600x600x550mm depth stormwater pit with SL82 fabric steel reinforcement and hot dipped galvanised heel guard pit grate, medium duty in hinged and lockable type</t>
  </si>
  <si>
    <t>AQ/143</t>
  </si>
  <si>
    <t>600x600x600mm depth stormwater pit with SL82 fabric steel reinforcement and hot dipped galvanised heel guard pit grate, medium duty in hinged and lockable type</t>
  </si>
  <si>
    <t>AQ/144</t>
  </si>
  <si>
    <t>600x600x850mm depth stormwater pit with SL82 fabric steel reinforcement and hot dipped galvanised heel guard pit grate, medium duty in hinged and lockable type</t>
  </si>
  <si>
    <t>AQ/145</t>
  </si>
  <si>
    <t>600x600x900mm depth stormwater pit with SL82 fabric steel reinforcement and hot dipped galvanised heel guard pit grate, medium duty in hinged and lockable type</t>
  </si>
  <si>
    <t>AQ/146</t>
  </si>
  <si>
    <t>Modify existing stormwater based on conflict with new building</t>
  </si>
  <si>
    <t>AQ/147</t>
  </si>
  <si>
    <t>AQ/148</t>
  </si>
  <si>
    <t>AQ/149</t>
  </si>
  <si>
    <t>Redirect 225m uPVC Pipe in class SH grade</t>
  </si>
  <si>
    <t>AQ/150</t>
  </si>
  <si>
    <t>AQ/151</t>
  </si>
  <si>
    <t>Rain water tank (NB:No details provided)</t>
  </si>
  <si>
    <t>2337mm width concrete stair with 340mm treads, 120mm throat thickness, 140mm riser height with 2 flights and 1 landing; Assumed REO: 100kg/m3</t>
  </si>
  <si>
    <t>AQ/152</t>
  </si>
  <si>
    <t>AQ/153</t>
  </si>
  <si>
    <t>AQ/154</t>
  </si>
  <si>
    <t>Riser formwork less than 250mm high</t>
  </si>
  <si>
    <t>AQ/155</t>
  </si>
  <si>
    <t>AQ/156</t>
  </si>
  <si>
    <t>AQ/157</t>
  </si>
  <si>
    <t>AQ/158</t>
  </si>
  <si>
    <t>3052mm width concrete stair with 340mm treads, 120mm throat thickness, 136mm riser height with 1 flight</t>
  </si>
  <si>
    <t>AQ/159</t>
  </si>
  <si>
    <t>AQ/160</t>
  </si>
  <si>
    <t>AQ/161</t>
  </si>
  <si>
    <t>AQ/162</t>
  </si>
  <si>
    <t>AQ/163</t>
  </si>
  <si>
    <t>AQ/164</t>
  </si>
  <si>
    <t>3694mm width concrete stair with 350mm treads, 120mm throat thickness, 150mm riser height with 1 flight</t>
  </si>
  <si>
    <t>AQ/165</t>
  </si>
  <si>
    <t>AQ/166</t>
  </si>
  <si>
    <t>AQ/167</t>
  </si>
  <si>
    <t>AQ/168</t>
  </si>
  <si>
    <t>AQ/169</t>
  </si>
  <si>
    <t>AQ/170</t>
  </si>
  <si>
    <t>TOTAL CIVIL WORKS</t>
  </si>
  <si>
    <t>AR</t>
  </si>
  <si>
    <t>FINAL CLEAN</t>
  </si>
  <si>
    <t>Final Clean</t>
  </si>
  <si>
    <t>Allow for final clean</t>
  </si>
  <si>
    <t>AR/1</t>
  </si>
  <si>
    <t>AR/2</t>
  </si>
  <si>
    <t>AR/3</t>
  </si>
  <si>
    <t>AR/4</t>
  </si>
  <si>
    <t>AR/5</t>
  </si>
  <si>
    <t>AR/6</t>
  </si>
  <si>
    <t>AR/7</t>
  </si>
  <si>
    <t>AR/8</t>
  </si>
  <si>
    <t>TOTAL FINAL CLEAN</t>
  </si>
  <si>
    <t>AS</t>
  </si>
  <si>
    <t>MAKE GOOD OVAL AND ACCESS ROAD USED FOR SITE COMPOUND</t>
  </si>
  <si>
    <t>Make Good on Existing Area</t>
  </si>
  <si>
    <t>AS/1</t>
  </si>
  <si>
    <t>Construct temporary batter from existing levels to match new levels. Plant selected species and spread 50 depth mulch</t>
  </si>
  <si>
    <t>AS/2</t>
  </si>
  <si>
    <t>Transition new pavement to exist levels and reinstate turf</t>
  </si>
  <si>
    <t>AS/3</t>
  </si>
  <si>
    <t>Make good to existing concrete pavement disturbed during construction</t>
  </si>
  <si>
    <t>AS/4</t>
  </si>
  <si>
    <t>Lift existing unit pavers. Transition from new levels to existing levels. Reinstate existing segmental paving</t>
  </si>
  <si>
    <t>AS/5</t>
  </si>
  <si>
    <t>Lift out and remove existing segmental pavers and relay to match into new concrete</t>
  </si>
  <si>
    <t>AS/6</t>
  </si>
  <si>
    <t>AS/7</t>
  </si>
  <si>
    <t>Remove existing edge and part rubber softfall. Lay concrete paving adjacent to temporary stairs and to areas disturbed during construction of wall</t>
  </si>
  <si>
    <t>TOTAL MAKE GOOD OVAL AND ACCESS ROAD USED FOR SITE COMPOUND</t>
  </si>
  <si>
    <t>AT</t>
  </si>
  <si>
    <t>PROVISIONAL SUMS</t>
  </si>
  <si>
    <t>ALTERNATIVE (NB: Refer to dwg. SB.02 Foundatio Plan - S)</t>
  </si>
  <si>
    <t>AU</t>
  </si>
  <si>
    <t>ALTERNATIVE IF COLUMNS IS BEARING DIRECTLY ON AT LEAST LOW STRENGTH SILTSTONE WITH AN ALLOWABLE END BEARING PRESSURE INTENSITY OF 1000KPA</t>
  </si>
  <si>
    <t>OMISSION</t>
  </si>
  <si>
    <t>noidc</t>
  </si>
  <si>
    <t>Bored piers that can be omitted if base footing/slab are bearing directly on at least low strength siltstone with an allowable end bearing pressure intensity of 1000kpa</t>
  </si>
  <si>
    <t>AU/1</t>
  </si>
  <si>
    <t>AU/2</t>
  </si>
  <si>
    <t>AU/3</t>
  </si>
  <si>
    <t>AU/4</t>
  </si>
  <si>
    <t>AU/5</t>
  </si>
  <si>
    <t>AU/6</t>
  </si>
  <si>
    <t>AU/7</t>
  </si>
  <si>
    <t>AU/8</t>
  </si>
  <si>
    <t>AU/9</t>
  </si>
  <si>
    <t>AU/10</t>
  </si>
  <si>
    <t>AU/11</t>
  </si>
  <si>
    <t>AU/12</t>
  </si>
  <si>
    <t>AU/13</t>
  </si>
  <si>
    <t>AU/14</t>
  </si>
  <si>
    <t>AU/15</t>
  </si>
  <si>
    <t>AU/16</t>
  </si>
  <si>
    <t>AU/17</t>
  </si>
  <si>
    <t>AU/18</t>
  </si>
  <si>
    <t>AU/19</t>
  </si>
  <si>
    <t>AU/20</t>
  </si>
  <si>
    <t>AU/21</t>
  </si>
  <si>
    <t>Bored piers to be omitted for alternative footing</t>
  </si>
  <si>
    <t>AU/22</t>
  </si>
  <si>
    <t>AU/23</t>
  </si>
  <si>
    <t>AU/24</t>
  </si>
  <si>
    <t>AU/25</t>
  </si>
  <si>
    <t>AU/26</t>
  </si>
  <si>
    <t>AU/27</t>
  </si>
  <si>
    <t>AU/28</t>
  </si>
  <si>
    <t>AU/29</t>
  </si>
  <si>
    <t>AU/30</t>
  </si>
  <si>
    <t>AU/31</t>
  </si>
  <si>
    <t>AU/32</t>
  </si>
  <si>
    <t>AU/33</t>
  </si>
  <si>
    <t>AU/34</t>
  </si>
  <si>
    <t>AU/35</t>
  </si>
  <si>
    <t>AU/36</t>
  </si>
  <si>
    <t>AU/37</t>
  </si>
  <si>
    <t>AU/38</t>
  </si>
  <si>
    <t>AU/39</t>
  </si>
  <si>
    <t>ADDITION</t>
  </si>
  <si>
    <t>Alternative 1400x1400x600mm deep pad footing to bored piers if column is bearing directly on at least low strength siltstone with an allowable end bearing pressure of 1000kpa (Refer to dwg no. SB.02)</t>
  </si>
  <si>
    <t>1400x1400x600mm deep alternative pad footing</t>
  </si>
  <si>
    <t>AU/40</t>
  </si>
  <si>
    <t>AU/41</t>
  </si>
  <si>
    <t>Formwork</t>
  </si>
  <si>
    <t>AU/42</t>
  </si>
  <si>
    <t>TOTAL ALTERNATIVE IF COLUMNS IS BEARING DIRECTLY ON AT LEAST LOW STRENGTH SILTSTONE WITH AN ALLOWABLE END BEARING PRESSURE INTENSITY OF 1000KPA</t>
  </si>
  <si>
    <t>FIT OUT INCLUSION (COLD SHELL - OMISSION)</t>
  </si>
  <si>
    <t>AV</t>
  </si>
  <si>
    <t>AV/1</t>
  </si>
  <si>
    <t>AV/2</t>
  </si>
  <si>
    <t>T32B - 3550x500mm wide glazing unit with aluminium frame in powdercoated finish (Area of 1 glazing unit = 1.78m2)</t>
  </si>
  <si>
    <t>AV/3</t>
  </si>
  <si>
    <t>AV/4</t>
  </si>
  <si>
    <t>AV/5</t>
  </si>
  <si>
    <t>T32C - 3550x500mm wide glazing unit with aluminium frame in powdercoated finish including 1200mm high fixed window (Area of 1 glazing unit = 1.78m2)</t>
  </si>
  <si>
    <t>AV/6</t>
  </si>
  <si>
    <t>AV/7</t>
  </si>
  <si>
    <t>AV/8</t>
  </si>
  <si>
    <t>AV/9</t>
  </si>
  <si>
    <t>AV/10</t>
  </si>
  <si>
    <t>AV/11</t>
  </si>
  <si>
    <t>AV/12</t>
  </si>
  <si>
    <t>AV/13</t>
  </si>
  <si>
    <t>AV/14</t>
  </si>
  <si>
    <t>endh1</t>
  </si>
  <si>
    <t>AW</t>
  </si>
  <si>
    <t>AW/1</t>
  </si>
  <si>
    <t>Level 4 (A1407-A)</t>
  </si>
  <si>
    <t>AW/2</t>
  </si>
  <si>
    <t>AW/3</t>
  </si>
  <si>
    <t>AW/4</t>
  </si>
  <si>
    <t>AW/5</t>
  </si>
  <si>
    <t>AX</t>
  </si>
  <si>
    <t>AX/1</t>
  </si>
  <si>
    <t>AX/2</t>
  </si>
  <si>
    <t>AX/3</t>
  </si>
  <si>
    <t>AY</t>
  </si>
  <si>
    <t>AY/1</t>
  </si>
  <si>
    <t>AY/2</t>
  </si>
  <si>
    <t>AY/3</t>
  </si>
  <si>
    <t>AY/4</t>
  </si>
  <si>
    <t>AY/5</t>
  </si>
  <si>
    <t>Curved Cutting to Terrace</t>
  </si>
  <si>
    <t>AY/6</t>
  </si>
  <si>
    <t>AY/7</t>
  </si>
  <si>
    <t>AY/8</t>
  </si>
  <si>
    <t>AY/9</t>
  </si>
  <si>
    <t>AY/10</t>
  </si>
  <si>
    <t>AY/11</t>
  </si>
  <si>
    <t>AY/12</t>
  </si>
  <si>
    <t>AY/13</t>
  </si>
  <si>
    <t>AY/14</t>
  </si>
  <si>
    <t>AY/15</t>
  </si>
  <si>
    <t>AY/16</t>
  </si>
  <si>
    <t>AY/17</t>
  </si>
  <si>
    <t>AY/18</t>
  </si>
  <si>
    <t>AZ</t>
  </si>
  <si>
    <t>DOORS, FRAMES &amp; HARDWARE</t>
  </si>
  <si>
    <t>AZ/1</t>
  </si>
  <si>
    <t>AZ/2</t>
  </si>
  <si>
    <t>AZ/3</t>
  </si>
  <si>
    <t>AZ/4</t>
  </si>
  <si>
    <t>AZ/5</t>
  </si>
  <si>
    <t>AZ/6</t>
  </si>
  <si>
    <t>AZ/7</t>
  </si>
  <si>
    <t>AZ/8</t>
  </si>
  <si>
    <t>AZ/9</t>
  </si>
  <si>
    <t>AZ/10</t>
  </si>
  <si>
    <t>AZ/11</t>
  </si>
  <si>
    <t>AZ/12</t>
  </si>
  <si>
    <t>AZ/13</t>
  </si>
  <si>
    <t>Fixed Glazed Windows</t>
  </si>
  <si>
    <t>AZ/14</t>
  </si>
  <si>
    <t>T79 - 2400x3300mm wide fire rated glazing unit with aluminium frame in powdercoated finish including 2400x1800 mm wide double swing door, fixed window (Area of 1 glazing unit = 7.92m2)</t>
  </si>
  <si>
    <t>AZ/15</t>
  </si>
  <si>
    <t>AZ/16</t>
  </si>
  <si>
    <t>AZ/17</t>
  </si>
  <si>
    <t>AZ/18</t>
  </si>
  <si>
    <t>AZ/19</t>
  </si>
  <si>
    <t>AZ/20</t>
  </si>
  <si>
    <t>AZ/21</t>
  </si>
  <si>
    <t>AZ/22</t>
  </si>
  <si>
    <t>AZ/23</t>
  </si>
  <si>
    <t>AZ/24</t>
  </si>
  <si>
    <t>Door hardware to internal single leaf fire rated swing solid core door</t>
  </si>
  <si>
    <t>AZ/25</t>
  </si>
  <si>
    <t>AZ/26</t>
  </si>
  <si>
    <t>AZ/27</t>
  </si>
  <si>
    <t>AZ/28</t>
  </si>
  <si>
    <t>AZ/29</t>
  </si>
  <si>
    <t>AZ/30</t>
  </si>
  <si>
    <t>AZ/31</t>
  </si>
  <si>
    <t>T63 - 2400x3060mm wide glazing unit with aluminium frame in powdercoated finish including 2400x920 mm wide single swing door, fixed window (Area of 1 glazing unit = 7.34m2)</t>
  </si>
  <si>
    <t>AZ/32</t>
  </si>
  <si>
    <t>TOTAL DOORS, FRAMES &amp; HARDWARE</t>
  </si>
  <si>
    <t>BA</t>
  </si>
  <si>
    <t>BA/1</t>
  </si>
  <si>
    <t>BB</t>
  </si>
  <si>
    <t>BB/1</t>
  </si>
  <si>
    <t>BB/2</t>
  </si>
  <si>
    <t>BC</t>
  </si>
  <si>
    <t>BC/1</t>
  </si>
  <si>
    <t>BC/2</t>
  </si>
  <si>
    <t>BD</t>
  </si>
  <si>
    <t>TILING/PAVING</t>
  </si>
  <si>
    <t>BD/1</t>
  </si>
  <si>
    <t>BD/2</t>
  </si>
  <si>
    <t>BD/3</t>
  </si>
  <si>
    <t>BD/4</t>
  </si>
  <si>
    <t>BD/5</t>
  </si>
  <si>
    <t>BD/6</t>
  </si>
  <si>
    <t>BD/7</t>
  </si>
  <si>
    <t>BD/8</t>
  </si>
  <si>
    <t>TOTAL TILING/PAVING</t>
  </si>
  <si>
    <t>BE</t>
  </si>
  <si>
    <t>VINYL &amp; RESILIENT FINISHES</t>
  </si>
  <si>
    <t>BE/1</t>
  </si>
  <si>
    <t>BE/2</t>
  </si>
  <si>
    <t>TOTAL VINYL &amp; RESILIENT FINISHES</t>
  </si>
  <si>
    <t>BF</t>
  </si>
  <si>
    <t>BF/1</t>
  </si>
  <si>
    <t>BF/2</t>
  </si>
  <si>
    <t>BF/3</t>
  </si>
  <si>
    <t>BF/4</t>
  </si>
  <si>
    <t>BF/5</t>
  </si>
  <si>
    <t>BF/6</t>
  </si>
  <si>
    <t>BF/7</t>
  </si>
  <si>
    <t>BF/8</t>
  </si>
  <si>
    <t>BF/9</t>
  </si>
  <si>
    <t>BF/10</t>
  </si>
  <si>
    <t>BF/11</t>
  </si>
  <si>
    <t>BF/12</t>
  </si>
  <si>
    <t>BF/13</t>
  </si>
  <si>
    <t>BF/14</t>
  </si>
  <si>
    <t>BF/15</t>
  </si>
  <si>
    <t>BG</t>
  </si>
  <si>
    <t>BG/1</t>
  </si>
  <si>
    <t>BG/2</t>
  </si>
  <si>
    <t>BG/3</t>
  </si>
  <si>
    <t>BG/4</t>
  </si>
  <si>
    <t>BG/5</t>
  </si>
  <si>
    <t>BG/6</t>
  </si>
  <si>
    <t>BG/7</t>
  </si>
  <si>
    <t>BG/8</t>
  </si>
  <si>
    <t>Painting to External Door Leaf</t>
  </si>
  <si>
    <t>BG/9</t>
  </si>
  <si>
    <t>BG/10</t>
  </si>
  <si>
    <t>Painting to Internal Door Leaf</t>
  </si>
  <si>
    <t>BG/11</t>
  </si>
  <si>
    <t>BG/12</t>
  </si>
  <si>
    <t>BG/13</t>
  </si>
  <si>
    <t>BG/14</t>
  </si>
  <si>
    <t>BG/15</t>
  </si>
  <si>
    <t>BG/16</t>
  </si>
  <si>
    <t>BG/17</t>
  </si>
  <si>
    <t>BG/18</t>
  </si>
  <si>
    <t>BG/19</t>
  </si>
  <si>
    <t>BG/20</t>
  </si>
  <si>
    <t>BH</t>
  </si>
  <si>
    <t>BH/1</t>
  </si>
  <si>
    <t>MIR-01 - 450x1000mm high Reflecta oval pencil endge mirror; Code: MV1000X450PR; Supplier: Highgrove Bathrooms</t>
  </si>
  <si>
    <t>BH/2</t>
  </si>
  <si>
    <t>BH/3</t>
  </si>
  <si>
    <t>BH/4</t>
  </si>
  <si>
    <t>BH/5</t>
  </si>
  <si>
    <t>BH/6</t>
  </si>
  <si>
    <t>TAP-05 - Cleaners sink tap; Luna kever kaundry tap set; Supplier: Caroma</t>
  </si>
  <si>
    <t>BH/7</t>
  </si>
  <si>
    <t>BH/8</t>
  </si>
  <si>
    <t>BH/9</t>
  </si>
  <si>
    <t>BH/10</t>
  </si>
  <si>
    <t>GR-01 - 90 degrees grabrail ambidextrous ambulant; Finish: Stainless Steel Satin; Code: RBA4090-450; Supplier: RBA Group</t>
  </si>
  <si>
    <t>BH/11</t>
  </si>
  <si>
    <t>BH/12</t>
  </si>
  <si>
    <t>BH/13</t>
  </si>
  <si>
    <t>BH/14</t>
  </si>
  <si>
    <t>BH/15</t>
  </si>
  <si>
    <t>BH/16</t>
  </si>
  <si>
    <t>BH/17</t>
  </si>
  <si>
    <t>BH/18</t>
  </si>
  <si>
    <t>BH/19</t>
  </si>
  <si>
    <t>BH/20</t>
  </si>
  <si>
    <t>BH/21</t>
  </si>
  <si>
    <t>BH/22</t>
  </si>
  <si>
    <t>BH/23</t>
  </si>
  <si>
    <t>BH/24</t>
  </si>
  <si>
    <t>BH/25</t>
  </si>
  <si>
    <t>BH/26</t>
  </si>
  <si>
    <t>BH/27</t>
  </si>
  <si>
    <t>BH/28</t>
  </si>
  <si>
    <t>BH/29</t>
  </si>
  <si>
    <t>BI</t>
  </si>
  <si>
    <t>TOTAL FOR BUILDING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</si>
</sst>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name val="Arial"/>
    </font>
    <font>
      <sz val="8"/>
      <name val="Calibri"/>
    </font>
    <font>
      <b/>
      <sz val="12"/>
      <name val="Calibri"/>
    </font>
    <font>
      <b/>
      <sz val="11"/>
      <name val="Calibri"/>
    </font>
    <font>
      <b/>
      <sz val="8"/>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3" fillId="0" borderId="0" xfId="0" applyFont="1" applyAlignment="1">
      <alignment horizontal="center"/>
    </xf>
    <xf numFmtId="0" fontId="1" fillId="0" borderId="0" xfId="0" applyFont="1"/>
    <xf numFmtId="0" fontId="2" fillId="0" borderId="0" xfId="0" applyFont="1" applyAlignment="1">
      <alignment horizontal="center"/>
    </xf>
    <xf numFmtId="0" fontId="1" fillId="0" borderId="0" xfId="0" applyFont="1"/>
    <xf numFmtId="0" fontId="1" fillId="0" borderId="0" xfId="0" applyFont="1" applyAlignment="1">
      <alignment horizontal="left"/>
    </xf>
    <xf numFmtId="0" fontId="4" fillId="0" borderId="0" xfId="0" applyFont="1" applyAlignment="1">
      <alignment horizontal="left"/>
    </xf>
    <xf numFmtId="0" fontId="4" fillId="0" borderId="0" xfId="0" applyFont="1" applyAlignment="1">
      <alignment horizontal="right"/>
    </xf>
    <xf numFmtId="4" fontId="1" fillId="0" borderId="0" xfId="0" applyNumberFormat="1" applyFont="1" applyAlignment="1">
      <alignment horizontal="right"/>
    </xf>
    <xf numFmtId="4" fontId="4" fillId="0" borderId="0" xfId="0" applyNumberFormat="1" applyFont="1" applyAlignment="1">
      <alignment horizontal="right"/>
    </xf>
    <xf numFmtId="0" fontId="1" fillId="0" borderId="0" xfId="0" applyFont="1" applyAlignment="1">
      <alignment horizontal="left" wrapText="1"/>
    </xf>
    <xf numFmtId="3" fontId="4" fillId="0" borderId="0" xfId="0" applyNumberFormat="1" applyFont="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354"/>
  <sheetViews>
    <sheetView tabSelected="1" topLeftCell="A6300" workbookViewId="0">
      <selection activeCell="C6343" sqref="C6343"/>
    </sheetView>
  </sheetViews>
  <sheetFormatPr defaultColWidth="9.140625" defaultRowHeight="11.25" x14ac:dyDescent="0.2"/>
  <cols>
    <col min="1" max="1" width="5.7109375" style="4" customWidth="1"/>
    <col min="2" max="2" width="27.7109375" style="4" customWidth="1"/>
    <col min="3" max="3" width="8.7109375" style="4" customWidth="1"/>
    <col min="4" max="4" width="5.7109375" style="4" customWidth="1"/>
    <col min="5" max="5" width="7.7109375" style="4" customWidth="1"/>
    <col min="6" max="6" width="8.7109375" style="4" customWidth="1"/>
    <col min="7" max="7" width="7.7109375" style="4" customWidth="1"/>
    <col min="8" max="8" width="8.7109375" style="4" customWidth="1"/>
    <col min="9" max="9" width="9.140625" style="4" customWidth="1"/>
    <col min="10" max="16384" width="9.140625" style="4"/>
  </cols>
  <sheetData>
    <row r="1" spans="1:9" ht="15.75" x14ac:dyDescent="0.25">
      <c r="A1" s="3" t="s">
        <v>0</v>
      </c>
      <c r="B1" s="2"/>
      <c r="C1" s="2"/>
      <c r="D1" s="2"/>
      <c r="E1" s="2"/>
      <c r="F1" s="2"/>
      <c r="G1" s="2"/>
      <c r="H1" s="2"/>
      <c r="I1" s="2"/>
    </row>
    <row r="2" spans="1:9" ht="15" x14ac:dyDescent="0.25">
      <c r="A2" s="1" t="s">
        <v>0</v>
      </c>
      <c r="B2" s="2"/>
      <c r="C2" s="2"/>
      <c r="D2" s="2"/>
      <c r="E2" s="2"/>
      <c r="F2" s="2"/>
      <c r="G2" s="2"/>
      <c r="H2" s="2"/>
      <c r="I2" s="2"/>
    </row>
    <row r="4" spans="1:9" x14ac:dyDescent="0.2">
      <c r="A4" s="6" t="s">
        <v>1</v>
      </c>
      <c r="B4" s="6" t="s">
        <v>2</v>
      </c>
      <c r="C4" s="7" t="s">
        <v>3</v>
      </c>
      <c r="D4" s="6" t="s">
        <v>4</v>
      </c>
      <c r="E4" s="7" t="s">
        <v>5</v>
      </c>
      <c r="F4" s="7" t="s">
        <v>6</v>
      </c>
      <c r="G4" s="7" t="s">
        <v>7</v>
      </c>
      <c r="H4" s="7" t="s">
        <v>8</v>
      </c>
      <c r="I4" s="7" t="s">
        <v>8</v>
      </c>
    </row>
    <row r="6" spans="1:9" x14ac:dyDescent="0.2">
      <c r="A6" s="5"/>
      <c r="B6" s="5" t="s">
        <v>9</v>
      </c>
      <c r="C6" s="5"/>
      <c r="D6" s="5"/>
      <c r="E6" s="5"/>
      <c r="G6" s="5"/>
      <c r="I6" s="5"/>
    </row>
    <row r="8" spans="1:9" x14ac:dyDescent="0.2">
      <c r="A8" s="6" t="s">
        <v>10</v>
      </c>
      <c r="B8" s="6" t="s">
        <v>11</v>
      </c>
    </row>
    <row r="9" spans="1:9" x14ac:dyDescent="0.2">
      <c r="A9" s="5"/>
      <c r="B9" s="5" t="s">
        <v>12</v>
      </c>
      <c r="C9" s="5"/>
      <c r="D9" s="5" t="s">
        <v>13</v>
      </c>
      <c r="E9" s="5"/>
      <c r="G9" s="5"/>
      <c r="H9" s="5"/>
    </row>
    <row r="10" spans="1:9" x14ac:dyDescent="0.2">
      <c r="A10" s="5"/>
      <c r="B10" s="5" t="s">
        <v>14</v>
      </c>
      <c r="C10" s="5"/>
      <c r="D10" s="5" t="s">
        <v>15</v>
      </c>
      <c r="E10" s="5"/>
      <c r="G10" s="5"/>
      <c r="H10" s="5"/>
    </row>
    <row r="11" spans="1:9" x14ac:dyDescent="0.2">
      <c r="A11" s="5" t="s">
        <v>16</v>
      </c>
      <c r="B11" s="5" t="s">
        <v>17</v>
      </c>
      <c r="C11" s="5"/>
      <c r="D11" s="5" t="s">
        <v>18</v>
      </c>
      <c r="E11" s="5"/>
      <c r="G11" s="5"/>
      <c r="H11" s="5"/>
    </row>
    <row r="12" spans="1:9" x14ac:dyDescent="0.2">
      <c r="A12" s="5" t="s">
        <v>19</v>
      </c>
      <c r="B12" s="5" t="s">
        <v>20</v>
      </c>
      <c r="C12" s="5"/>
      <c r="D12" s="5" t="s">
        <v>18</v>
      </c>
      <c r="E12" s="5"/>
      <c r="G12" s="5"/>
      <c r="H12" s="5"/>
    </row>
    <row r="13" spans="1:9" x14ac:dyDescent="0.2">
      <c r="A13" s="5"/>
      <c r="B13" s="5" t="s">
        <v>21</v>
      </c>
      <c r="C13" s="5"/>
      <c r="D13" s="5" t="s">
        <v>15</v>
      </c>
      <c r="E13" s="5"/>
      <c r="G13" s="5"/>
      <c r="H13" s="5"/>
    </row>
    <row r="14" spans="1:9" x14ac:dyDescent="0.2">
      <c r="A14" s="5" t="s">
        <v>22</v>
      </c>
      <c r="B14" s="5" t="s">
        <v>23</v>
      </c>
      <c r="C14" s="5"/>
      <c r="D14" s="5" t="s">
        <v>18</v>
      </c>
      <c r="E14" s="5"/>
      <c r="G14" s="5"/>
      <c r="H14" s="5"/>
    </row>
    <row r="15" spans="1:9" x14ac:dyDescent="0.2">
      <c r="A15" s="5" t="s">
        <v>24</v>
      </c>
      <c r="B15" s="5" t="s">
        <v>25</v>
      </c>
      <c r="C15" s="5"/>
      <c r="D15" s="5" t="s">
        <v>18</v>
      </c>
      <c r="E15" s="5"/>
      <c r="G15" s="5"/>
      <c r="H15" s="5"/>
    </row>
    <row r="16" spans="1:9" x14ac:dyDescent="0.2">
      <c r="A16" s="5" t="s">
        <v>26</v>
      </c>
      <c r="B16" s="5" t="s">
        <v>27</v>
      </c>
      <c r="C16" s="5"/>
      <c r="D16" s="5" t="s">
        <v>18</v>
      </c>
      <c r="E16" s="5"/>
      <c r="G16" s="5"/>
      <c r="H16" s="5"/>
    </row>
    <row r="17" spans="1:8" x14ac:dyDescent="0.2">
      <c r="A17" s="5" t="s">
        <v>28</v>
      </c>
      <c r="B17" s="5" t="s">
        <v>20</v>
      </c>
      <c r="C17" s="5"/>
      <c r="D17" s="5" t="s">
        <v>18</v>
      </c>
      <c r="E17" s="5"/>
      <c r="G17" s="5"/>
      <c r="H17" s="5"/>
    </row>
    <row r="18" spans="1:8" x14ac:dyDescent="0.2">
      <c r="A18" s="5"/>
      <c r="B18" s="5" t="s">
        <v>29</v>
      </c>
      <c r="C18" s="5"/>
      <c r="D18" s="5" t="s">
        <v>15</v>
      </c>
      <c r="E18" s="5"/>
      <c r="G18" s="5"/>
      <c r="H18" s="5"/>
    </row>
    <row r="19" spans="1:8" x14ac:dyDescent="0.2">
      <c r="A19" s="5" t="s">
        <v>30</v>
      </c>
      <c r="B19" s="5" t="s">
        <v>31</v>
      </c>
      <c r="C19" s="5"/>
      <c r="D19" s="5" t="s">
        <v>18</v>
      </c>
      <c r="E19" s="5"/>
      <c r="G19" s="5"/>
      <c r="H19" s="5"/>
    </row>
    <row r="20" spans="1:8" x14ac:dyDescent="0.2">
      <c r="A20" s="5" t="s">
        <v>32</v>
      </c>
      <c r="B20" s="5" t="s">
        <v>33</v>
      </c>
      <c r="C20" s="5"/>
      <c r="D20" s="5" t="s">
        <v>18</v>
      </c>
      <c r="E20" s="5"/>
      <c r="G20" s="5"/>
      <c r="H20" s="5"/>
    </row>
    <row r="21" spans="1:8" x14ac:dyDescent="0.2">
      <c r="A21" s="5" t="s">
        <v>34</v>
      </c>
      <c r="B21" s="5" t="s">
        <v>20</v>
      </c>
      <c r="C21" s="5"/>
      <c r="D21" s="5" t="s">
        <v>18</v>
      </c>
      <c r="E21" s="5"/>
      <c r="G21" s="5"/>
      <c r="H21" s="5"/>
    </row>
    <row r="22" spans="1:8" x14ac:dyDescent="0.2">
      <c r="A22" s="5"/>
      <c r="B22" s="5" t="s">
        <v>35</v>
      </c>
      <c r="C22" s="5"/>
      <c r="D22" s="5" t="s">
        <v>13</v>
      </c>
      <c r="E22" s="5"/>
      <c r="G22" s="5"/>
      <c r="H22" s="5"/>
    </row>
    <row r="23" spans="1:8" x14ac:dyDescent="0.2">
      <c r="A23" s="5" t="s">
        <v>36</v>
      </c>
      <c r="B23" s="5" t="s">
        <v>37</v>
      </c>
      <c r="C23" s="5"/>
      <c r="D23" s="5" t="s">
        <v>18</v>
      </c>
      <c r="E23" s="5"/>
      <c r="G23" s="5"/>
      <c r="H23" s="5"/>
    </row>
    <row r="24" spans="1:8" x14ac:dyDescent="0.2">
      <c r="A24" s="5"/>
      <c r="B24" s="5" t="s">
        <v>38</v>
      </c>
      <c r="C24" s="5"/>
      <c r="D24" s="5" t="s">
        <v>13</v>
      </c>
      <c r="E24" s="5"/>
      <c r="G24" s="5"/>
      <c r="H24" s="5"/>
    </row>
    <row r="25" spans="1:8" x14ac:dyDescent="0.2">
      <c r="A25" s="5"/>
      <c r="B25" s="5" t="s">
        <v>39</v>
      </c>
      <c r="C25" s="5"/>
      <c r="D25" s="5" t="s">
        <v>15</v>
      </c>
      <c r="E25" s="5"/>
      <c r="G25" s="5"/>
      <c r="H25" s="5"/>
    </row>
    <row r="26" spans="1:8" x14ac:dyDescent="0.2">
      <c r="A26" s="5" t="s">
        <v>40</v>
      </c>
      <c r="B26" s="5" t="s">
        <v>41</v>
      </c>
      <c r="C26" s="8">
        <v>660</v>
      </c>
      <c r="D26" s="5" t="s">
        <v>42</v>
      </c>
      <c r="E26" s="5"/>
      <c r="G26" s="5"/>
      <c r="H26" s="5"/>
    </row>
    <row r="27" spans="1:8" x14ac:dyDescent="0.2">
      <c r="A27" s="5" t="s">
        <v>43</v>
      </c>
      <c r="B27" s="5" t="s">
        <v>44</v>
      </c>
      <c r="C27" s="8">
        <v>1727</v>
      </c>
      <c r="D27" s="5" t="s">
        <v>42</v>
      </c>
      <c r="E27" s="5"/>
      <c r="G27" s="5"/>
      <c r="H27" s="5"/>
    </row>
    <row r="28" spans="1:8" x14ac:dyDescent="0.2">
      <c r="A28" s="5" t="s">
        <v>45</v>
      </c>
      <c r="B28" s="5" t="s">
        <v>46</v>
      </c>
      <c r="C28" s="8">
        <v>1691</v>
      </c>
      <c r="D28" s="5" t="s">
        <v>42</v>
      </c>
      <c r="E28" s="5"/>
      <c r="G28" s="5"/>
      <c r="H28" s="5"/>
    </row>
    <row r="29" spans="1:8" x14ac:dyDescent="0.2">
      <c r="A29" s="5" t="s">
        <v>47</v>
      </c>
      <c r="B29" s="5" t="s">
        <v>48</v>
      </c>
      <c r="C29" s="8">
        <v>972</v>
      </c>
      <c r="D29" s="5" t="s">
        <v>42</v>
      </c>
      <c r="E29" s="5"/>
      <c r="G29" s="5"/>
      <c r="H29" s="5"/>
    </row>
    <row r="30" spans="1:8" x14ac:dyDescent="0.2">
      <c r="A30" s="5"/>
      <c r="B30" s="5" t="s">
        <v>49</v>
      </c>
      <c r="C30" s="5"/>
      <c r="D30" s="5" t="s">
        <v>15</v>
      </c>
      <c r="E30" s="5"/>
      <c r="G30" s="5"/>
      <c r="H30" s="5"/>
    </row>
    <row r="31" spans="1:8" x14ac:dyDescent="0.2">
      <c r="A31" s="5" t="s">
        <v>50</v>
      </c>
      <c r="B31" s="5" t="s">
        <v>41</v>
      </c>
      <c r="C31" s="8">
        <v>1205</v>
      </c>
      <c r="D31" s="5" t="s">
        <v>42</v>
      </c>
      <c r="E31" s="5"/>
      <c r="G31" s="5"/>
      <c r="H31" s="5"/>
    </row>
    <row r="32" spans="1:8" x14ac:dyDescent="0.2">
      <c r="A32" s="5" t="s">
        <v>51</v>
      </c>
      <c r="B32" s="5" t="s">
        <v>46</v>
      </c>
      <c r="C32" s="8">
        <v>46</v>
      </c>
      <c r="D32" s="5" t="s">
        <v>42</v>
      </c>
      <c r="E32" s="5"/>
      <c r="G32" s="5"/>
      <c r="H32" s="5"/>
    </row>
    <row r="33" spans="1:9" x14ac:dyDescent="0.2">
      <c r="A33" s="5" t="s">
        <v>52</v>
      </c>
      <c r="B33" s="5" t="s">
        <v>48</v>
      </c>
      <c r="C33" s="8">
        <v>720</v>
      </c>
      <c r="D33" s="5" t="s">
        <v>42</v>
      </c>
      <c r="E33" s="5"/>
      <c r="G33" s="5"/>
      <c r="H33" s="5"/>
    </row>
    <row r="34" spans="1:9" x14ac:dyDescent="0.2">
      <c r="A34" s="5"/>
      <c r="B34" s="5" t="s">
        <v>53</v>
      </c>
      <c r="C34" s="5"/>
      <c r="D34" s="5" t="s">
        <v>13</v>
      </c>
      <c r="E34" s="5"/>
      <c r="G34" s="5"/>
      <c r="H34" s="5"/>
    </row>
    <row r="35" spans="1:9" x14ac:dyDescent="0.2">
      <c r="A35" s="5"/>
      <c r="B35" s="5" t="s">
        <v>39</v>
      </c>
      <c r="C35" s="5"/>
      <c r="D35" s="5" t="s">
        <v>15</v>
      </c>
      <c r="E35" s="5"/>
      <c r="G35" s="5"/>
      <c r="H35" s="5"/>
    </row>
    <row r="36" spans="1:9" x14ac:dyDescent="0.2">
      <c r="A36" s="5" t="s">
        <v>54</v>
      </c>
      <c r="B36" s="5" t="s">
        <v>41</v>
      </c>
      <c r="C36" s="8">
        <v>863</v>
      </c>
      <c r="D36" s="5" t="s">
        <v>42</v>
      </c>
      <c r="E36" s="5"/>
      <c r="G36" s="5"/>
      <c r="H36" s="5"/>
    </row>
    <row r="37" spans="1:9" x14ac:dyDescent="0.2">
      <c r="A37" s="5" t="s">
        <v>55</v>
      </c>
      <c r="B37" s="5" t="s">
        <v>44</v>
      </c>
      <c r="C37" s="8">
        <v>795</v>
      </c>
      <c r="D37" s="5" t="s">
        <v>42</v>
      </c>
      <c r="E37" s="5"/>
      <c r="G37" s="5"/>
      <c r="H37" s="5"/>
    </row>
    <row r="38" spans="1:9" x14ac:dyDescent="0.2">
      <c r="A38" s="5" t="s">
        <v>56</v>
      </c>
      <c r="B38" s="5" t="s">
        <v>46</v>
      </c>
      <c r="C38" s="8">
        <v>793</v>
      </c>
      <c r="D38" s="5" t="s">
        <v>42</v>
      </c>
      <c r="E38" s="5"/>
      <c r="G38" s="5"/>
      <c r="H38" s="5"/>
    </row>
    <row r="39" spans="1:9" x14ac:dyDescent="0.2">
      <c r="A39" s="5" t="s">
        <v>57</v>
      </c>
      <c r="B39" s="5" t="s">
        <v>48</v>
      </c>
      <c r="C39" s="8">
        <v>141</v>
      </c>
      <c r="D39" s="5" t="s">
        <v>42</v>
      </c>
      <c r="E39" s="5"/>
      <c r="G39" s="5"/>
      <c r="H39" s="5"/>
    </row>
    <row r="40" spans="1:9" x14ac:dyDescent="0.2">
      <c r="A40" s="5"/>
      <c r="B40" s="5" t="s">
        <v>49</v>
      </c>
      <c r="C40" s="5"/>
      <c r="D40" s="5" t="s">
        <v>15</v>
      </c>
      <c r="E40" s="5"/>
      <c r="G40" s="5"/>
      <c r="H40" s="5"/>
    </row>
    <row r="41" spans="1:9" x14ac:dyDescent="0.2">
      <c r="A41" s="5" t="s">
        <v>58</v>
      </c>
      <c r="B41" s="5" t="s">
        <v>41</v>
      </c>
      <c r="C41" s="8">
        <v>146</v>
      </c>
      <c r="D41" s="5" t="s">
        <v>42</v>
      </c>
      <c r="E41" s="5"/>
      <c r="G41" s="5"/>
      <c r="H41" s="5"/>
    </row>
    <row r="42" spans="1:9" x14ac:dyDescent="0.2">
      <c r="A42" s="5" t="s">
        <v>59</v>
      </c>
      <c r="B42" s="5" t="s">
        <v>44</v>
      </c>
      <c r="C42" s="8">
        <v>116</v>
      </c>
      <c r="D42" s="5" t="s">
        <v>42</v>
      </c>
      <c r="E42" s="5"/>
      <c r="G42" s="5"/>
      <c r="H42" s="5"/>
    </row>
    <row r="43" spans="1:9" x14ac:dyDescent="0.2">
      <c r="A43" s="5" t="s">
        <v>60</v>
      </c>
      <c r="B43" s="5" t="s">
        <v>48</v>
      </c>
      <c r="C43" s="8">
        <v>642</v>
      </c>
      <c r="D43" s="5" t="s">
        <v>42</v>
      </c>
      <c r="E43" s="5"/>
      <c r="G43" s="5"/>
      <c r="H43" s="5"/>
    </row>
    <row r="44" spans="1:9" x14ac:dyDescent="0.2">
      <c r="B44" s="6" t="s">
        <v>61</v>
      </c>
      <c r="C44" s="6"/>
      <c r="D44" s="6"/>
      <c r="E44" s="6"/>
      <c r="F44" s="9">
        <f>ROUNDUP(SUM(H7:H44),0)</f>
        <v>0</v>
      </c>
      <c r="G44" s="6"/>
      <c r="I44" s="9">
        <f>PRODUCT(F44,G44)</f>
        <v>0</v>
      </c>
    </row>
    <row r="46" spans="1:9" x14ac:dyDescent="0.2">
      <c r="A46" s="6" t="s">
        <v>62</v>
      </c>
      <c r="B46" s="6" t="s">
        <v>63</v>
      </c>
    </row>
    <row r="47" spans="1:9" x14ac:dyDescent="0.2">
      <c r="A47" s="5"/>
      <c r="B47" s="5" t="s">
        <v>64</v>
      </c>
      <c r="C47" s="5"/>
      <c r="D47" s="5" t="s">
        <v>13</v>
      </c>
      <c r="E47" s="5"/>
      <c r="G47" s="5"/>
      <c r="H47" s="5"/>
    </row>
    <row r="48" spans="1:9" x14ac:dyDescent="0.2">
      <c r="A48" s="5" t="s">
        <v>65</v>
      </c>
      <c r="B48" s="5" t="s">
        <v>66</v>
      </c>
      <c r="C48" s="5"/>
      <c r="D48" s="5" t="s">
        <v>18</v>
      </c>
      <c r="E48" s="5"/>
      <c r="G48" s="5"/>
      <c r="H48" s="5"/>
    </row>
    <row r="49" spans="1:8" x14ac:dyDescent="0.2">
      <c r="A49" s="5" t="s">
        <v>67</v>
      </c>
      <c r="B49" s="5" t="s">
        <v>68</v>
      </c>
      <c r="C49" s="5"/>
      <c r="D49" s="5" t="s">
        <v>18</v>
      </c>
      <c r="E49" s="5"/>
      <c r="G49" s="5"/>
      <c r="H49" s="5"/>
    </row>
    <row r="50" spans="1:8" x14ac:dyDescent="0.2">
      <c r="A50" s="5" t="s">
        <v>69</v>
      </c>
      <c r="B50" s="5" t="s">
        <v>70</v>
      </c>
      <c r="C50" s="5"/>
      <c r="D50" s="5" t="s">
        <v>18</v>
      </c>
      <c r="E50" s="5"/>
      <c r="G50" s="5"/>
      <c r="H50" s="5"/>
    </row>
    <row r="51" spans="1:8" x14ac:dyDescent="0.2">
      <c r="A51" s="5"/>
      <c r="B51" s="5" t="s">
        <v>71</v>
      </c>
      <c r="C51" s="5"/>
      <c r="D51" s="5" t="s">
        <v>13</v>
      </c>
      <c r="E51" s="5"/>
      <c r="G51" s="5"/>
      <c r="H51" s="5"/>
    </row>
    <row r="52" spans="1:8" x14ac:dyDescent="0.2">
      <c r="A52" s="5" t="s">
        <v>72</v>
      </c>
      <c r="B52" s="5" t="s">
        <v>73</v>
      </c>
      <c r="C52" s="5"/>
      <c r="D52" s="5" t="s">
        <v>18</v>
      </c>
      <c r="E52" s="5"/>
      <c r="G52" s="5"/>
      <c r="H52" s="5"/>
    </row>
    <row r="53" spans="1:8" x14ac:dyDescent="0.2">
      <c r="A53" s="5" t="s">
        <v>74</v>
      </c>
      <c r="B53" s="5" t="s">
        <v>75</v>
      </c>
      <c r="C53" s="5"/>
      <c r="D53" s="5" t="s">
        <v>18</v>
      </c>
      <c r="E53" s="5"/>
      <c r="G53" s="5"/>
      <c r="H53" s="5"/>
    </row>
    <row r="54" spans="1:8" x14ac:dyDescent="0.2">
      <c r="A54" s="5"/>
      <c r="B54" s="5" t="s">
        <v>76</v>
      </c>
      <c r="C54" s="5"/>
      <c r="D54" s="5" t="s">
        <v>13</v>
      </c>
      <c r="E54" s="5"/>
      <c r="G54" s="5"/>
      <c r="H54" s="5"/>
    </row>
    <row r="55" spans="1:8" x14ac:dyDescent="0.2">
      <c r="A55" s="5"/>
      <c r="B55" s="5" t="s">
        <v>77</v>
      </c>
      <c r="C55" s="5"/>
      <c r="D55" s="5" t="s">
        <v>15</v>
      </c>
      <c r="E55" s="5"/>
      <c r="G55" s="5"/>
      <c r="H55" s="5"/>
    </row>
    <row r="56" spans="1:8" x14ac:dyDescent="0.2">
      <c r="A56" s="5" t="s">
        <v>78</v>
      </c>
      <c r="B56" s="5" t="s">
        <v>79</v>
      </c>
      <c r="C56" s="5"/>
      <c r="D56" s="5" t="s">
        <v>18</v>
      </c>
      <c r="E56" s="5"/>
      <c r="G56" s="5"/>
      <c r="H56" s="5"/>
    </row>
    <row r="57" spans="1:8" x14ac:dyDescent="0.2">
      <c r="A57" s="5" t="s">
        <v>80</v>
      </c>
      <c r="B57" s="5" t="s">
        <v>81</v>
      </c>
      <c r="C57" s="5"/>
      <c r="D57" s="5" t="s">
        <v>18</v>
      </c>
      <c r="E57" s="5"/>
      <c r="G57" s="5"/>
      <c r="H57" s="5"/>
    </row>
    <row r="58" spans="1:8" x14ac:dyDescent="0.2">
      <c r="A58" s="5" t="s">
        <v>82</v>
      </c>
      <c r="B58" s="5" t="s">
        <v>83</v>
      </c>
      <c r="C58" s="5"/>
      <c r="D58" s="5" t="s">
        <v>18</v>
      </c>
      <c r="E58" s="5"/>
      <c r="G58" s="5"/>
      <c r="H58" s="5"/>
    </row>
    <row r="59" spans="1:8" x14ac:dyDescent="0.2">
      <c r="A59" s="5" t="s">
        <v>84</v>
      </c>
      <c r="B59" s="5" t="s">
        <v>85</v>
      </c>
      <c r="C59" s="5"/>
      <c r="D59" s="5" t="s">
        <v>18</v>
      </c>
      <c r="E59" s="5"/>
      <c r="G59" s="5"/>
      <c r="H59" s="5"/>
    </row>
    <row r="60" spans="1:8" x14ac:dyDescent="0.2">
      <c r="A60" s="5" t="s">
        <v>86</v>
      </c>
      <c r="B60" s="5" t="s">
        <v>87</v>
      </c>
      <c r="C60" s="5"/>
      <c r="D60" s="5" t="s">
        <v>18</v>
      </c>
      <c r="E60" s="5"/>
      <c r="G60" s="5"/>
      <c r="H60" s="5"/>
    </row>
    <row r="61" spans="1:8" x14ac:dyDescent="0.2">
      <c r="A61" s="5" t="s">
        <v>88</v>
      </c>
      <c r="B61" s="5" t="s">
        <v>89</v>
      </c>
      <c r="C61" s="5"/>
      <c r="D61" s="5" t="s">
        <v>18</v>
      </c>
      <c r="E61" s="5"/>
      <c r="G61" s="5"/>
      <c r="H61" s="5"/>
    </row>
    <row r="62" spans="1:8" x14ac:dyDescent="0.2">
      <c r="A62" s="5" t="s">
        <v>90</v>
      </c>
      <c r="B62" s="5" t="s">
        <v>91</v>
      </c>
      <c r="C62" s="5"/>
      <c r="D62" s="5" t="s">
        <v>18</v>
      </c>
      <c r="E62" s="5"/>
      <c r="G62" s="5"/>
      <c r="H62" s="5"/>
    </row>
    <row r="63" spans="1:8" x14ac:dyDescent="0.2">
      <c r="A63" s="5" t="s">
        <v>92</v>
      </c>
      <c r="B63" s="5" t="s">
        <v>93</v>
      </c>
      <c r="C63" s="5"/>
      <c r="D63" s="5" t="s">
        <v>18</v>
      </c>
      <c r="E63" s="5"/>
      <c r="G63" s="5"/>
      <c r="H63" s="5"/>
    </row>
    <row r="64" spans="1:8" x14ac:dyDescent="0.2">
      <c r="A64" s="5"/>
      <c r="B64" s="5" t="s">
        <v>94</v>
      </c>
      <c r="C64" s="5"/>
      <c r="D64" s="5" t="s">
        <v>13</v>
      </c>
      <c r="E64" s="5"/>
      <c r="G64" s="5"/>
      <c r="H64" s="5"/>
    </row>
    <row r="65" spans="1:8" x14ac:dyDescent="0.2">
      <c r="A65" s="5" t="s">
        <v>95</v>
      </c>
      <c r="B65" s="5" t="s">
        <v>96</v>
      </c>
      <c r="C65" s="8">
        <v>1</v>
      </c>
      <c r="D65" s="5" t="s">
        <v>97</v>
      </c>
      <c r="E65" s="5"/>
      <c r="G65" s="5"/>
      <c r="H65" s="5"/>
    </row>
    <row r="66" spans="1:8" x14ac:dyDescent="0.2">
      <c r="A66" s="5" t="s">
        <v>98</v>
      </c>
      <c r="B66" s="5" t="s">
        <v>99</v>
      </c>
      <c r="C66" s="8">
        <v>1</v>
      </c>
      <c r="D66" s="5" t="s">
        <v>97</v>
      </c>
      <c r="E66" s="5"/>
      <c r="G66" s="5"/>
      <c r="H66" s="5"/>
    </row>
    <row r="67" spans="1:8" x14ac:dyDescent="0.2">
      <c r="A67" s="5" t="s">
        <v>100</v>
      </c>
      <c r="B67" s="5" t="s">
        <v>101</v>
      </c>
      <c r="C67" s="8">
        <v>1</v>
      </c>
      <c r="D67" s="5" t="s">
        <v>97</v>
      </c>
      <c r="E67" s="5"/>
      <c r="G67" s="5"/>
      <c r="H67" s="5"/>
    </row>
    <row r="68" spans="1:8" x14ac:dyDescent="0.2">
      <c r="A68" s="5" t="s">
        <v>102</v>
      </c>
      <c r="B68" s="5" t="s">
        <v>103</v>
      </c>
      <c r="C68" s="8">
        <v>1</v>
      </c>
      <c r="D68" s="5" t="s">
        <v>97</v>
      </c>
      <c r="E68" s="5"/>
      <c r="G68" s="5"/>
      <c r="H68" s="5"/>
    </row>
    <row r="69" spans="1:8" x14ac:dyDescent="0.2">
      <c r="A69" s="5" t="s">
        <v>104</v>
      </c>
      <c r="B69" s="5" t="s">
        <v>105</v>
      </c>
      <c r="C69" s="8">
        <v>1</v>
      </c>
      <c r="D69" s="5" t="s">
        <v>97</v>
      </c>
      <c r="E69" s="5"/>
      <c r="G69" s="5"/>
      <c r="H69" s="5"/>
    </row>
    <row r="70" spans="1:8" x14ac:dyDescent="0.2">
      <c r="A70" s="5" t="s">
        <v>106</v>
      </c>
      <c r="B70" s="5" t="s">
        <v>107</v>
      </c>
      <c r="C70" s="8">
        <v>1</v>
      </c>
      <c r="D70" s="5" t="s">
        <v>97</v>
      </c>
      <c r="E70" s="5"/>
      <c r="G70" s="5"/>
      <c r="H70" s="5"/>
    </row>
    <row r="71" spans="1:8" x14ac:dyDescent="0.2">
      <c r="A71" s="5" t="s">
        <v>108</v>
      </c>
      <c r="B71" s="5" t="s">
        <v>109</v>
      </c>
      <c r="C71" s="8">
        <v>1</v>
      </c>
      <c r="D71" s="5" t="s">
        <v>97</v>
      </c>
      <c r="E71" s="5"/>
      <c r="G71" s="5"/>
      <c r="H71" s="5"/>
    </row>
    <row r="72" spans="1:8" x14ac:dyDescent="0.2">
      <c r="A72" s="5" t="s">
        <v>110</v>
      </c>
      <c r="B72" s="5" t="s">
        <v>111</v>
      </c>
      <c r="C72" s="8">
        <v>1</v>
      </c>
      <c r="D72" s="5" t="s">
        <v>97</v>
      </c>
      <c r="E72" s="5"/>
      <c r="G72" s="5"/>
      <c r="H72" s="5"/>
    </row>
    <row r="73" spans="1:8" x14ac:dyDescent="0.2">
      <c r="A73" s="5" t="s">
        <v>112</v>
      </c>
      <c r="B73" s="5" t="s">
        <v>113</v>
      </c>
      <c r="C73" s="8">
        <v>1</v>
      </c>
      <c r="D73" s="5" t="s">
        <v>97</v>
      </c>
      <c r="E73" s="5"/>
      <c r="G73" s="5"/>
      <c r="H73" s="5"/>
    </row>
    <row r="74" spans="1:8" x14ac:dyDescent="0.2">
      <c r="A74" s="5" t="s">
        <v>114</v>
      </c>
      <c r="B74" s="5" t="s">
        <v>115</v>
      </c>
      <c r="C74" s="8">
        <v>1</v>
      </c>
      <c r="D74" s="5" t="s">
        <v>97</v>
      </c>
      <c r="E74" s="5"/>
      <c r="G74" s="5"/>
      <c r="H74" s="5"/>
    </row>
    <row r="75" spans="1:8" x14ac:dyDescent="0.2">
      <c r="A75" s="5" t="s">
        <v>116</v>
      </c>
      <c r="B75" s="5" t="s">
        <v>117</v>
      </c>
      <c r="C75" s="8">
        <v>1</v>
      </c>
      <c r="D75" s="5" t="s">
        <v>97</v>
      </c>
      <c r="E75" s="5"/>
      <c r="G75" s="5"/>
      <c r="H75" s="5"/>
    </row>
    <row r="76" spans="1:8" x14ac:dyDescent="0.2">
      <c r="A76" s="5" t="s">
        <v>118</v>
      </c>
      <c r="B76" s="5" t="s">
        <v>119</v>
      </c>
      <c r="C76" s="8">
        <v>1</v>
      </c>
      <c r="D76" s="5" t="s">
        <v>97</v>
      </c>
      <c r="E76" s="5"/>
      <c r="G76" s="5"/>
      <c r="H76" s="5"/>
    </row>
    <row r="77" spans="1:8" x14ac:dyDescent="0.2">
      <c r="A77" s="5" t="s">
        <v>120</v>
      </c>
      <c r="B77" s="5" t="s">
        <v>121</v>
      </c>
      <c r="C77" s="8">
        <v>1</v>
      </c>
      <c r="D77" s="5" t="s">
        <v>97</v>
      </c>
      <c r="E77" s="5"/>
      <c r="G77" s="5"/>
      <c r="H77" s="5"/>
    </row>
    <row r="78" spans="1:8" x14ac:dyDescent="0.2">
      <c r="A78" s="5" t="s">
        <v>122</v>
      </c>
      <c r="B78" s="5" t="s">
        <v>123</v>
      </c>
      <c r="C78" s="8">
        <v>1</v>
      </c>
      <c r="D78" s="5" t="s">
        <v>97</v>
      </c>
      <c r="E78" s="5"/>
      <c r="G78" s="5"/>
      <c r="H78" s="5"/>
    </row>
    <row r="79" spans="1:8" x14ac:dyDescent="0.2">
      <c r="A79" s="5" t="s">
        <v>124</v>
      </c>
      <c r="B79" s="5" t="s">
        <v>125</v>
      </c>
      <c r="C79" s="8">
        <v>1</v>
      </c>
      <c r="D79" s="5" t="s">
        <v>97</v>
      </c>
      <c r="E79" s="5"/>
      <c r="G79" s="5"/>
      <c r="H79" s="5"/>
    </row>
    <row r="80" spans="1:8" x14ac:dyDescent="0.2">
      <c r="A80" s="5" t="s">
        <v>126</v>
      </c>
      <c r="B80" s="5" t="s">
        <v>127</v>
      </c>
      <c r="C80" s="8">
        <v>1</v>
      </c>
      <c r="D80" s="5" t="s">
        <v>97</v>
      </c>
      <c r="E80" s="5"/>
      <c r="G80" s="5"/>
      <c r="H80" s="5"/>
    </row>
    <row r="81" spans="1:8" x14ac:dyDescent="0.2">
      <c r="A81" s="5" t="s">
        <v>128</v>
      </c>
      <c r="B81" s="5" t="s">
        <v>129</v>
      </c>
      <c r="C81" s="8">
        <v>1</v>
      </c>
      <c r="D81" s="5" t="s">
        <v>97</v>
      </c>
      <c r="E81" s="5"/>
      <c r="G81" s="5"/>
      <c r="H81" s="5"/>
    </row>
    <row r="82" spans="1:8" x14ac:dyDescent="0.2">
      <c r="A82" s="5" t="s">
        <v>130</v>
      </c>
      <c r="B82" s="5" t="s">
        <v>131</v>
      </c>
      <c r="C82" s="8">
        <v>1</v>
      </c>
      <c r="D82" s="5" t="s">
        <v>97</v>
      </c>
      <c r="E82" s="5"/>
      <c r="G82" s="5"/>
      <c r="H82" s="5"/>
    </row>
    <row r="83" spans="1:8" x14ac:dyDescent="0.2">
      <c r="A83" s="5" t="s">
        <v>132</v>
      </c>
      <c r="B83" s="5" t="s">
        <v>133</v>
      </c>
      <c r="C83" s="8">
        <v>1</v>
      </c>
      <c r="D83" s="5" t="s">
        <v>97</v>
      </c>
      <c r="E83" s="5"/>
      <c r="G83" s="5"/>
      <c r="H83" s="5"/>
    </row>
    <row r="84" spans="1:8" x14ac:dyDescent="0.2">
      <c r="A84" s="5" t="s">
        <v>134</v>
      </c>
      <c r="B84" s="5" t="s">
        <v>123</v>
      </c>
      <c r="C84" s="8">
        <v>1</v>
      </c>
      <c r="D84" s="5" t="s">
        <v>97</v>
      </c>
      <c r="E84" s="5"/>
      <c r="G84" s="5"/>
      <c r="H84" s="5"/>
    </row>
    <row r="85" spans="1:8" x14ac:dyDescent="0.2">
      <c r="A85" s="5"/>
      <c r="B85" s="5" t="s">
        <v>135</v>
      </c>
      <c r="C85" s="5"/>
      <c r="D85" s="5" t="s">
        <v>13</v>
      </c>
      <c r="E85" s="5"/>
      <c r="G85" s="5"/>
      <c r="H85" s="5"/>
    </row>
    <row r="86" spans="1:8" x14ac:dyDescent="0.2">
      <c r="A86" s="5" t="s">
        <v>136</v>
      </c>
      <c r="B86" s="5" t="s">
        <v>137</v>
      </c>
      <c r="C86" s="5"/>
      <c r="D86" s="5" t="s">
        <v>18</v>
      </c>
      <c r="E86" s="5"/>
      <c r="G86" s="5"/>
      <c r="H86" s="5"/>
    </row>
    <row r="87" spans="1:8" x14ac:dyDescent="0.2">
      <c r="A87" s="5"/>
      <c r="B87" s="5" t="s">
        <v>138</v>
      </c>
      <c r="C87" s="5"/>
      <c r="D87" s="5" t="s">
        <v>13</v>
      </c>
      <c r="E87" s="5"/>
      <c r="G87" s="5"/>
      <c r="H87" s="5"/>
    </row>
    <row r="88" spans="1:8" x14ac:dyDescent="0.2">
      <c r="A88" s="5" t="s">
        <v>139</v>
      </c>
      <c r="B88" s="5" t="s">
        <v>140</v>
      </c>
      <c r="C88" s="8">
        <v>87</v>
      </c>
      <c r="D88" s="5" t="s">
        <v>42</v>
      </c>
      <c r="E88" s="5"/>
      <c r="G88" s="5"/>
      <c r="H88" s="5"/>
    </row>
    <row r="89" spans="1:8" x14ac:dyDescent="0.2">
      <c r="A89" s="5" t="s">
        <v>141</v>
      </c>
      <c r="B89" s="5" t="s">
        <v>142</v>
      </c>
      <c r="C89" s="8">
        <v>371</v>
      </c>
      <c r="D89" s="5" t="s">
        <v>42</v>
      </c>
      <c r="E89" s="5"/>
      <c r="G89" s="5"/>
      <c r="H89" s="5"/>
    </row>
    <row r="90" spans="1:8" x14ac:dyDescent="0.2">
      <c r="A90" s="5" t="s">
        <v>143</v>
      </c>
      <c r="B90" s="5" t="s">
        <v>144</v>
      </c>
      <c r="C90" s="8">
        <v>42</v>
      </c>
      <c r="D90" s="5" t="s">
        <v>42</v>
      </c>
      <c r="E90" s="5"/>
      <c r="G90" s="5"/>
      <c r="H90" s="5"/>
    </row>
    <row r="91" spans="1:8" x14ac:dyDescent="0.2">
      <c r="A91" s="5" t="s">
        <v>145</v>
      </c>
      <c r="B91" s="5" t="s">
        <v>146</v>
      </c>
      <c r="C91" s="8">
        <v>588</v>
      </c>
      <c r="D91" s="5" t="s">
        <v>42</v>
      </c>
      <c r="E91" s="5"/>
      <c r="G91" s="5"/>
      <c r="H91" s="5"/>
    </row>
    <row r="92" spans="1:8" x14ac:dyDescent="0.2">
      <c r="A92" s="5" t="s">
        <v>147</v>
      </c>
      <c r="B92" s="5" t="s">
        <v>148</v>
      </c>
      <c r="C92" s="8">
        <v>893</v>
      </c>
      <c r="D92" s="5" t="s">
        <v>42</v>
      </c>
      <c r="E92" s="5"/>
      <c r="G92" s="5"/>
      <c r="H92" s="5"/>
    </row>
    <row r="93" spans="1:8" x14ac:dyDescent="0.2">
      <c r="A93" s="5" t="s">
        <v>149</v>
      </c>
      <c r="B93" s="5" t="s">
        <v>150</v>
      </c>
      <c r="C93" s="8">
        <v>46</v>
      </c>
      <c r="D93" s="5" t="s">
        <v>42</v>
      </c>
      <c r="E93" s="5"/>
      <c r="G93" s="5"/>
      <c r="H93" s="5"/>
    </row>
    <row r="94" spans="1:8" x14ac:dyDescent="0.2">
      <c r="A94" s="5" t="s">
        <v>151</v>
      </c>
      <c r="B94" s="5" t="s">
        <v>152</v>
      </c>
      <c r="C94" s="8">
        <v>10</v>
      </c>
      <c r="D94" s="5" t="s">
        <v>42</v>
      </c>
      <c r="E94" s="5"/>
      <c r="G94" s="5"/>
      <c r="H94" s="5"/>
    </row>
    <row r="95" spans="1:8" x14ac:dyDescent="0.2">
      <c r="A95" s="5" t="s">
        <v>153</v>
      </c>
      <c r="B95" s="5" t="s">
        <v>154</v>
      </c>
      <c r="C95" s="8">
        <v>51</v>
      </c>
      <c r="D95" s="5" t="s">
        <v>155</v>
      </c>
      <c r="E95" s="5"/>
      <c r="G95" s="5"/>
      <c r="H95" s="5"/>
    </row>
    <row r="96" spans="1:8" x14ac:dyDescent="0.2">
      <c r="A96" s="5" t="s">
        <v>156</v>
      </c>
      <c r="B96" s="5" t="s">
        <v>157</v>
      </c>
      <c r="C96" s="8">
        <v>7</v>
      </c>
      <c r="D96" s="5" t="s">
        <v>155</v>
      </c>
      <c r="E96" s="5"/>
      <c r="G96" s="5"/>
      <c r="H96" s="5"/>
    </row>
    <row r="97" spans="1:9" x14ac:dyDescent="0.2">
      <c r="A97" s="5" t="s">
        <v>158</v>
      </c>
      <c r="B97" s="5" t="s">
        <v>159</v>
      </c>
      <c r="C97" s="8">
        <v>2</v>
      </c>
      <c r="D97" s="5" t="s">
        <v>155</v>
      </c>
      <c r="E97" s="5"/>
      <c r="G97" s="5"/>
      <c r="H97" s="5"/>
    </row>
    <row r="98" spans="1:9" x14ac:dyDescent="0.2">
      <c r="A98" s="5" t="s">
        <v>160</v>
      </c>
      <c r="B98" s="5" t="s">
        <v>161</v>
      </c>
      <c r="C98" s="8">
        <v>9</v>
      </c>
      <c r="D98" s="5" t="s">
        <v>162</v>
      </c>
      <c r="E98" s="5"/>
      <c r="G98" s="5"/>
      <c r="H98" s="5"/>
    </row>
    <row r="99" spans="1:9" x14ac:dyDescent="0.2">
      <c r="A99" s="5"/>
      <c r="B99" s="5" t="s">
        <v>163</v>
      </c>
      <c r="C99" s="5"/>
      <c r="D99" s="5" t="s">
        <v>13</v>
      </c>
      <c r="E99" s="5"/>
      <c r="G99" s="5"/>
      <c r="H99" s="5"/>
    </row>
    <row r="100" spans="1:9" x14ac:dyDescent="0.2">
      <c r="A100" s="5" t="s">
        <v>164</v>
      </c>
      <c r="B100" s="5" t="s">
        <v>165</v>
      </c>
      <c r="C100" s="8">
        <v>5</v>
      </c>
      <c r="D100" s="5" t="s">
        <v>162</v>
      </c>
      <c r="E100" s="5"/>
      <c r="G100" s="5"/>
      <c r="H100" s="5"/>
    </row>
    <row r="101" spans="1:9" x14ac:dyDescent="0.2">
      <c r="A101" s="5" t="s">
        <v>166</v>
      </c>
      <c r="B101" s="5" t="s">
        <v>167</v>
      </c>
      <c r="C101" s="8">
        <v>170</v>
      </c>
      <c r="D101" s="5" t="s">
        <v>155</v>
      </c>
      <c r="E101" s="5"/>
      <c r="G101" s="5"/>
      <c r="H101" s="5"/>
    </row>
    <row r="102" spans="1:9" x14ac:dyDescent="0.2">
      <c r="A102" s="5" t="s">
        <v>168</v>
      </c>
      <c r="B102" s="5" t="s">
        <v>169</v>
      </c>
      <c r="C102" s="8">
        <v>1</v>
      </c>
      <c r="D102" s="5" t="s">
        <v>162</v>
      </c>
      <c r="E102" s="5"/>
      <c r="G102" s="5"/>
      <c r="H102" s="5"/>
    </row>
    <row r="103" spans="1:9" x14ac:dyDescent="0.2">
      <c r="A103" s="5"/>
      <c r="B103" s="5" t="s">
        <v>170</v>
      </c>
      <c r="C103" s="5"/>
      <c r="D103" s="5" t="s">
        <v>13</v>
      </c>
      <c r="E103" s="5"/>
      <c r="G103" s="5"/>
      <c r="H103" s="5"/>
    </row>
    <row r="104" spans="1:9" x14ac:dyDescent="0.2">
      <c r="A104" s="5" t="s">
        <v>171</v>
      </c>
      <c r="B104" s="5" t="s">
        <v>172</v>
      </c>
      <c r="C104" s="8">
        <v>1</v>
      </c>
      <c r="D104" s="5" t="s">
        <v>97</v>
      </c>
      <c r="E104" s="5"/>
      <c r="G104" s="5"/>
      <c r="H104" s="5"/>
    </row>
    <row r="105" spans="1:9" x14ac:dyDescent="0.2">
      <c r="A105" s="5" t="s">
        <v>173</v>
      </c>
      <c r="B105" s="5" t="s">
        <v>174</v>
      </c>
      <c r="C105" s="8">
        <v>1</v>
      </c>
      <c r="D105" s="5" t="s">
        <v>97</v>
      </c>
      <c r="E105" s="5"/>
      <c r="G105" s="5"/>
      <c r="H105" s="5"/>
    </row>
    <row r="106" spans="1:9" x14ac:dyDescent="0.2">
      <c r="A106" s="5" t="s">
        <v>175</v>
      </c>
      <c r="B106" s="5" t="s">
        <v>176</v>
      </c>
      <c r="C106" s="8">
        <v>1</v>
      </c>
      <c r="D106" s="5" t="s">
        <v>97</v>
      </c>
      <c r="E106" s="5"/>
      <c r="G106" s="5"/>
      <c r="H106" s="5"/>
    </row>
    <row r="107" spans="1:9" x14ac:dyDescent="0.2">
      <c r="B107" s="6" t="s">
        <v>177</v>
      </c>
      <c r="C107" s="6"/>
      <c r="D107" s="6"/>
      <c r="E107" s="6"/>
      <c r="F107" s="9">
        <f>SUM(H47:H107)</f>
        <v>0</v>
      </c>
      <c r="G107" s="6"/>
      <c r="I107" s="9">
        <f>PRODUCT(F107,G107)</f>
        <v>0</v>
      </c>
    </row>
    <row r="109" spans="1:9" x14ac:dyDescent="0.2">
      <c r="A109" s="6" t="s">
        <v>178</v>
      </c>
      <c r="B109" s="6" t="s">
        <v>179</v>
      </c>
    </row>
    <row r="110" spans="1:9" x14ac:dyDescent="0.2">
      <c r="A110" s="5"/>
      <c r="B110" s="5" t="s">
        <v>64</v>
      </c>
      <c r="C110" s="5"/>
      <c r="D110" s="5" t="s">
        <v>13</v>
      </c>
      <c r="E110" s="5"/>
      <c r="G110" s="5"/>
      <c r="H110" s="5"/>
    </row>
    <row r="111" spans="1:9" x14ac:dyDescent="0.2">
      <c r="A111" s="5" t="s">
        <v>180</v>
      </c>
      <c r="B111" s="5" t="s">
        <v>66</v>
      </c>
      <c r="C111" s="5"/>
      <c r="D111" s="5" t="s">
        <v>18</v>
      </c>
      <c r="E111" s="5"/>
      <c r="G111" s="5"/>
      <c r="H111" s="5"/>
    </row>
    <row r="112" spans="1:9" x14ac:dyDescent="0.2">
      <c r="A112" s="5" t="s">
        <v>181</v>
      </c>
      <c r="B112" s="5" t="s">
        <v>68</v>
      </c>
      <c r="C112" s="5"/>
      <c r="D112" s="5" t="s">
        <v>18</v>
      </c>
      <c r="E112" s="5"/>
      <c r="G112" s="5"/>
      <c r="H112" s="5"/>
    </row>
    <row r="113" spans="1:8" x14ac:dyDescent="0.2">
      <c r="A113" s="5"/>
      <c r="B113" s="5" t="s">
        <v>71</v>
      </c>
      <c r="C113" s="5"/>
      <c r="D113" s="5" t="s">
        <v>13</v>
      </c>
      <c r="E113" s="5"/>
      <c r="G113" s="5"/>
      <c r="H113" s="5"/>
    </row>
    <row r="114" spans="1:8" x14ac:dyDescent="0.2">
      <c r="A114" s="5" t="s">
        <v>182</v>
      </c>
      <c r="B114" s="5" t="s">
        <v>183</v>
      </c>
      <c r="C114" s="5"/>
      <c r="D114" s="5" t="s">
        <v>18</v>
      </c>
      <c r="E114" s="5"/>
      <c r="G114" s="5"/>
      <c r="H114" s="5"/>
    </row>
    <row r="115" spans="1:8" x14ac:dyDescent="0.2">
      <c r="A115" s="5" t="s">
        <v>184</v>
      </c>
      <c r="B115" s="5" t="s">
        <v>185</v>
      </c>
      <c r="C115" s="5"/>
      <c r="D115" s="5" t="s">
        <v>18</v>
      </c>
      <c r="E115" s="5"/>
      <c r="G115" s="5"/>
      <c r="H115" s="5"/>
    </row>
    <row r="116" spans="1:8" x14ac:dyDescent="0.2">
      <c r="A116" s="5" t="s">
        <v>186</v>
      </c>
      <c r="B116" s="5" t="s">
        <v>187</v>
      </c>
      <c r="C116" s="5"/>
      <c r="D116" s="5" t="s">
        <v>18</v>
      </c>
      <c r="E116" s="5"/>
      <c r="G116" s="5"/>
      <c r="H116" s="5"/>
    </row>
    <row r="117" spans="1:8" x14ac:dyDescent="0.2">
      <c r="A117" s="5"/>
      <c r="B117" s="5" t="s">
        <v>76</v>
      </c>
      <c r="C117" s="5"/>
      <c r="D117" s="5" t="s">
        <v>13</v>
      </c>
      <c r="E117" s="5"/>
      <c r="G117" s="5"/>
      <c r="H117" s="5"/>
    </row>
    <row r="118" spans="1:8" x14ac:dyDescent="0.2">
      <c r="A118" s="5"/>
      <c r="B118" s="5" t="s">
        <v>77</v>
      </c>
      <c r="C118" s="5"/>
      <c r="D118" s="5" t="s">
        <v>15</v>
      </c>
      <c r="E118" s="5"/>
      <c r="G118" s="5"/>
      <c r="H118" s="5"/>
    </row>
    <row r="119" spans="1:8" x14ac:dyDescent="0.2">
      <c r="A119" s="5" t="s">
        <v>188</v>
      </c>
      <c r="B119" s="5" t="s">
        <v>189</v>
      </c>
      <c r="C119" s="5"/>
      <c r="D119" s="5" t="s">
        <v>18</v>
      </c>
      <c r="E119" s="5"/>
      <c r="G119" s="5"/>
      <c r="H119" s="5"/>
    </row>
    <row r="120" spans="1:8" x14ac:dyDescent="0.2">
      <c r="A120" s="5" t="s">
        <v>190</v>
      </c>
      <c r="B120" s="5" t="s">
        <v>191</v>
      </c>
      <c r="C120" s="5"/>
      <c r="D120" s="5" t="s">
        <v>18</v>
      </c>
      <c r="E120" s="5"/>
      <c r="G120" s="5"/>
      <c r="H120" s="5"/>
    </row>
    <row r="121" spans="1:8" x14ac:dyDescent="0.2">
      <c r="A121" s="5" t="s">
        <v>192</v>
      </c>
      <c r="B121" s="5" t="s">
        <v>193</v>
      </c>
      <c r="C121" s="5"/>
      <c r="D121" s="5" t="s">
        <v>18</v>
      </c>
      <c r="E121" s="5"/>
      <c r="G121" s="5"/>
      <c r="H121" s="5"/>
    </row>
    <row r="122" spans="1:8" x14ac:dyDescent="0.2">
      <c r="A122" s="5" t="s">
        <v>194</v>
      </c>
      <c r="B122" s="5" t="s">
        <v>195</v>
      </c>
      <c r="C122" s="5"/>
      <c r="D122" s="5" t="s">
        <v>18</v>
      </c>
      <c r="E122" s="5"/>
      <c r="G122" s="5"/>
      <c r="H122" s="5"/>
    </row>
    <row r="123" spans="1:8" x14ac:dyDescent="0.2">
      <c r="A123" s="5" t="s">
        <v>196</v>
      </c>
      <c r="B123" s="5" t="s">
        <v>197</v>
      </c>
      <c r="C123" s="5"/>
      <c r="D123" s="5" t="s">
        <v>18</v>
      </c>
      <c r="E123" s="5"/>
      <c r="G123" s="5"/>
      <c r="H123" s="5"/>
    </row>
    <row r="124" spans="1:8" x14ac:dyDescent="0.2">
      <c r="A124" s="5" t="s">
        <v>198</v>
      </c>
      <c r="B124" s="5" t="s">
        <v>199</v>
      </c>
      <c r="C124" s="5"/>
      <c r="D124" s="5" t="s">
        <v>18</v>
      </c>
      <c r="E124" s="5"/>
      <c r="G124" s="5"/>
      <c r="H124" s="5"/>
    </row>
    <row r="125" spans="1:8" x14ac:dyDescent="0.2">
      <c r="A125" s="5" t="s">
        <v>200</v>
      </c>
      <c r="B125" s="5" t="s">
        <v>201</v>
      </c>
      <c r="C125" s="5"/>
      <c r="D125" s="5" t="s">
        <v>18</v>
      </c>
      <c r="E125" s="5"/>
      <c r="G125" s="5"/>
      <c r="H125" s="5"/>
    </row>
    <row r="126" spans="1:8" x14ac:dyDescent="0.2">
      <c r="A126" s="5" t="s">
        <v>202</v>
      </c>
      <c r="B126" s="5" t="s">
        <v>203</v>
      </c>
      <c r="C126" s="5"/>
      <c r="D126" s="5" t="s">
        <v>18</v>
      </c>
      <c r="E126" s="5"/>
      <c r="G126" s="5"/>
      <c r="H126" s="5"/>
    </row>
    <row r="127" spans="1:8" x14ac:dyDescent="0.2">
      <c r="A127" s="5" t="s">
        <v>204</v>
      </c>
      <c r="B127" s="5" t="s">
        <v>205</v>
      </c>
      <c r="C127" s="5"/>
      <c r="D127" s="5" t="s">
        <v>18</v>
      </c>
      <c r="E127" s="5"/>
      <c r="G127" s="5"/>
      <c r="H127" s="5"/>
    </row>
    <row r="128" spans="1:8" x14ac:dyDescent="0.2">
      <c r="A128" s="5" t="s">
        <v>206</v>
      </c>
      <c r="B128" s="5" t="s">
        <v>91</v>
      </c>
      <c r="C128" s="5"/>
      <c r="D128" s="5" t="s">
        <v>18</v>
      </c>
      <c r="E128" s="5"/>
      <c r="G128" s="5"/>
      <c r="H128" s="5"/>
    </row>
    <row r="129" spans="1:8" x14ac:dyDescent="0.2">
      <c r="A129" s="5" t="s">
        <v>207</v>
      </c>
      <c r="B129" s="5" t="s">
        <v>208</v>
      </c>
      <c r="C129" s="5"/>
      <c r="D129" s="5" t="s">
        <v>18</v>
      </c>
      <c r="E129" s="5"/>
      <c r="G129" s="5"/>
      <c r="H129" s="5"/>
    </row>
    <row r="130" spans="1:8" x14ac:dyDescent="0.2">
      <c r="A130" s="5"/>
      <c r="B130" s="5" t="s">
        <v>94</v>
      </c>
      <c r="C130" s="5"/>
      <c r="D130" s="5" t="s">
        <v>13</v>
      </c>
      <c r="E130" s="5"/>
      <c r="G130" s="5"/>
      <c r="H130" s="5"/>
    </row>
    <row r="131" spans="1:8" x14ac:dyDescent="0.2">
      <c r="A131" s="5" t="s">
        <v>209</v>
      </c>
      <c r="B131" s="5" t="s">
        <v>111</v>
      </c>
      <c r="C131" s="8">
        <v>1</v>
      </c>
      <c r="D131" s="5" t="s">
        <v>97</v>
      </c>
      <c r="E131" s="5"/>
      <c r="G131" s="5"/>
      <c r="H131" s="5"/>
    </row>
    <row r="132" spans="1:8" x14ac:dyDescent="0.2">
      <c r="A132" s="5" t="s">
        <v>210</v>
      </c>
      <c r="B132" s="5" t="s">
        <v>113</v>
      </c>
      <c r="C132" s="8">
        <v>1</v>
      </c>
      <c r="D132" s="5" t="s">
        <v>97</v>
      </c>
      <c r="E132" s="5"/>
      <c r="G132" s="5"/>
      <c r="H132" s="5"/>
    </row>
    <row r="133" spans="1:8" x14ac:dyDescent="0.2">
      <c r="A133" s="5" t="s">
        <v>211</v>
      </c>
      <c r="B133" s="5" t="s">
        <v>212</v>
      </c>
      <c r="C133" s="8">
        <v>1</v>
      </c>
      <c r="D133" s="5" t="s">
        <v>97</v>
      </c>
      <c r="E133" s="5"/>
      <c r="G133" s="5"/>
      <c r="H133" s="5"/>
    </row>
    <row r="134" spans="1:8" x14ac:dyDescent="0.2">
      <c r="A134" s="5" t="s">
        <v>213</v>
      </c>
      <c r="B134" s="5" t="s">
        <v>214</v>
      </c>
      <c r="C134" s="8">
        <v>1</v>
      </c>
      <c r="D134" s="5" t="s">
        <v>97</v>
      </c>
      <c r="E134" s="5"/>
      <c r="G134" s="5"/>
      <c r="H134" s="5"/>
    </row>
    <row r="135" spans="1:8" x14ac:dyDescent="0.2">
      <c r="A135" s="5" t="s">
        <v>215</v>
      </c>
      <c r="B135" s="5" t="s">
        <v>216</v>
      </c>
      <c r="C135" s="8">
        <v>1</v>
      </c>
      <c r="D135" s="5" t="s">
        <v>97</v>
      </c>
      <c r="E135" s="5"/>
      <c r="G135" s="5"/>
      <c r="H135" s="5"/>
    </row>
    <row r="136" spans="1:8" x14ac:dyDescent="0.2">
      <c r="A136" s="5" t="s">
        <v>217</v>
      </c>
      <c r="B136" s="5" t="s">
        <v>218</v>
      </c>
      <c r="C136" s="8">
        <v>1</v>
      </c>
      <c r="D136" s="5" t="s">
        <v>97</v>
      </c>
      <c r="E136" s="5"/>
      <c r="G136" s="5"/>
      <c r="H136" s="5"/>
    </row>
    <row r="137" spans="1:8" x14ac:dyDescent="0.2">
      <c r="A137" s="5" t="s">
        <v>219</v>
      </c>
      <c r="B137" s="5" t="s">
        <v>220</v>
      </c>
      <c r="C137" s="8">
        <v>1</v>
      </c>
      <c r="D137" s="5" t="s">
        <v>97</v>
      </c>
      <c r="E137" s="5"/>
      <c r="G137" s="5"/>
      <c r="H137" s="5"/>
    </row>
    <row r="138" spans="1:8" x14ac:dyDescent="0.2">
      <c r="A138" s="5" t="s">
        <v>221</v>
      </c>
      <c r="B138" s="5" t="s">
        <v>121</v>
      </c>
      <c r="C138" s="8">
        <v>1</v>
      </c>
      <c r="D138" s="5" t="s">
        <v>97</v>
      </c>
      <c r="E138" s="5"/>
      <c r="G138" s="5"/>
      <c r="H138" s="5"/>
    </row>
    <row r="139" spans="1:8" x14ac:dyDescent="0.2">
      <c r="A139" s="5" t="s">
        <v>222</v>
      </c>
      <c r="B139" s="5" t="s">
        <v>223</v>
      </c>
      <c r="C139" s="8">
        <v>1</v>
      </c>
      <c r="D139" s="5" t="s">
        <v>97</v>
      </c>
      <c r="E139" s="5"/>
      <c r="G139" s="5"/>
      <c r="H139" s="5"/>
    </row>
    <row r="140" spans="1:8" x14ac:dyDescent="0.2">
      <c r="A140" s="5" t="s">
        <v>224</v>
      </c>
      <c r="B140" s="5" t="s">
        <v>225</v>
      </c>
      <c r="C140" s="8">
        <v>1</v>
      </c>
      <c r="D140" s="5" t="s">
        <v>97</v>
      </c>
      <c r="E140" s="5"/>
      <c r="G140" s="5"/>
      <c r="H140" s="5"/>
    </row>
    <row r="141" spans="1:8" x14ac:dyDescent="0.2">
      <c r="A141" s="5" t="s">
        <v>226</v>
      </c>
      <c r="B141" s="5" t="s">
        <v>227</v>
      </c>
      <c r="C141" s="8">
        <v>1</v>
      </c>
      <c r="D141" s="5" t="s">
        <v>97</v>
      </c>
      <c r="E141" s="5"/>
      <c r="G141" s="5"/>
      <c r="H141" s="5"/>
    </row>
    <row r="142" spans="1:8" x14ac:dyDescent="0.2">
      <c r="A142" s="5" t="s">
        <v>228</v>
      </c>
      <c r="B142" s="5" t="s">
        <v>229</v>
      </c>
      <c r="C142" s="8">
        <v>1</v>
      </c>
      <c r="D142" s="5" t="s">
        <v>97</v>
      </c>
      <c r="E142" s="5"/>
      <c r="G142" s="5"/>
      <c r="H142" s="5"/>
    </row>
    <row r="143" spans="1:8" x14ac:dyDescent="0.2">
      <c r="A143" s="5" t="s">
        <v>230</v>
      </c>
      <c r="B143" s="5" t="s">
        <v>123</v>
      </c>
      <c r="C143" s="8">
        <v>1</v>
      </c>
      <c r="D143" s="5" t="s">
        <v>97</v>
      </c>
      <c r="E143" s="5"/>
      <c r="G143" s="5"/>
      <c r="H143" s="5"/>
    </row>
    <row r="144" spans="1:8" x14ac:dyDescent="0.2">
      <c r="A144" s="5" t="s">
        <v>231</v>
      </c>
      <c r="B144" s="5" t="s">
        <v>232</v>
      </c>
      <c r="C144" s="8">
        <v>1</v>
      </c>
      <c r="D144" s="5" t="s">
        <v>97</v>
      </c>
      <c r="E144" s="5"/>
      <c r="G144" s="5"/>
      <c r="H144" s="5"/>
    </row>
    <row r="145" spans="1:8" x14ac:dyDescent="0.2">
      <c r="A145" s="5" t="s">
        <v>233</v>
      </c>
      <c r="B145" s="5" t="s">
        <v>234</v>
      </c>
      <c r="C145" s="8">
        <v>1</v>
      </c>
      <c r="D145" s="5" t="s">
        <v>97</v>
      </c>
      <c r="E145" s="5"/>
      <c r="G145" s="5"/>
      <c r="H145" s="5"/>
    </row>
    <row r="146" spans="1:8" x14ac:dyDescent="0.2">
      <c r="A146" s="5" t="s">
        <v>235</v>
      </c>
      <c r="B146" s="5" t="s">
        <v>236</v>
      </c>
      <c r="C146" s="8">
        <v>1</v>
      </c>
      <c r="D146" s="5" t="s">
        <v>97</v>
      </c>
      <c r="E146" s="5"/>
      <c r="G146" s="5"/>
      <c r="H146" s="5"/>
    </row>
    <row r="147" spans="1:8" x14ac:dyDescent="0.2">
      <c r="A147" s="5" t="s">
        <v>237</v>
      </c>
      <c r="B147" s="5" t="s">
        <v>238</v>
      </c>
      <c r="C147" s="8">
        <v>1</v>
      </c>
      <c r="D147" s="5" t="s">
        <v>97</v>
      </c>
      <c r="E147" s="5"/>
      <c r="G147" s="5"/>
      <c r="H147" s="5"/>
    </row>
    <row r="148" spans="1:8" x14ac:dyDescent="0.2">
      <c r="A148" s="5" t="s">
        <v>239</v>
      </c>
      <c r="B148" s="5" t="s">
        <v>240</v>
      </c>
      <c r="C148" s="8">
        <v>1</v>
      </c>
      <c r="D148" s="5" t="s">
        <v>97</v>
      </c>
      <c r="E148" s="5"/>
      <c r="G148" s="5"/>
      <c r="H148" s="5"/>
    </row>
    <row r="149" spans="1:8" x14ac:dyDescent="0.2">
      <c r="A149" s="5"/>
      <c r="B149" s="5" t="s">
        <v>241</v>
      </c>
      <c r="C149" s="5"/>
      <c r="D149" s="5" t="s">
        <v>13</v>
      </c>
      <c r="E149" s="5"/>
      <c r="G149" s="5"/>
      <c r="H149" s="5"/>
    </row>
    <row r="150" spans="1:8" x14ac:dyDescent="0.2">
      <c r="A150" s="5" t="s">
        <v>242</v>
      </c>
      <c r="B150" s="5" t="s">
        <v>243</v>
      </c>
      <c r="C150" s="8">
        <v>1</v>
      </c>
      <c r="D150" s="5" t="s">
        <v>97</v>
      </c>
      <c r="E150" s="5"/>
      <c r="G150" s="5"/>
      <c r="H150" s="5"/>
    </row>
    <row r="151" spans="1:8" x14ac:dyDescent="0.2">
      <c r="A151" s="5" t="s">
        <v>244</v>
      </c>
      <c r="B151" s="5" t="s">
        <v>245</v>
      </c>
      <c r="C151" s="8">
        <v>1</v>
      </c>
      <c r="D151" s="5" t="s">
        <v>97</v>
      </c>
      <c r="E151" s="5"/>
      <c r="G151" s="5"/>
      <c r="H151" s="5"/>
    </row>
    <row r="152" spans="1:8" x14ac:dyDescent="0.2">
      <c r="A152" s="5"/>
      <c r="B152" s="5" t="s">
        <v>38</v>
      </c>
      <c r="C152" s="5"/>
      <c r="D152" s="5" t="s">
        <v>13</v>
      </c>
      <c r="E152" s="5"/>
      <c r="G152" s="5"/>
      <c r="H152" s="5"/>
    </row>
    <row r="153" spans="1:8" x14ac:dyDescent="0.2">
      <c r="A153" s="5"/>
      <c r="B153" s="5" t="s">
        <v>246</v>
      </c>
      <c r="C153" s="5"/>
      <c r="D153" s="5" t="s">
        <v>15</v>
      </c>
      <c r="E153" s="5"/>
      <c r="G153" s="5"/>
      <c r="H153" s="5"/>
    </row>
    <row r="154" spans="1:8" x14ac:dyDescent="0.2">
      <c r="A154" s="5" t="s">
        <v>247</v>
      </c>
      <c r="B154" s="5" t="s">
        <v>248</v>
      </c>
      <c r="C154" s="8">
        <v>244</v>
      </c>
      <c r="D154" s="5" t="s">
        <v>155</v>
      </c>
      <c r="E154" s="5"/>
      <c r="G154" s="5"/>
      <c r="H154" s="5"/>
    </row>
    <row r="155" spans="1:8" x14ac:dyDescent="0.2">
      <c r="A155" s="5" t="s">
        <v>249</v>
      </c>
      <c r="B155" s="5" t="s">
        <v>250</v>
      </c>
      <c r="C155" s="8">
        <v>41</v>
      </c>
      <c r="D155" s="5" t="s">
        <v>162</v>
      </c>
      <c r="E155" s="5"/>
      <c r="G155" s="5"/>
      <c r="H155" s="5"/>
    </row>
    <row r="156" spans="1:8" x14ac:dyDescent="0.2">
      <c r="A156" s="5" t="s">
        <v>251</v>
      </c>
      <c r="B156" s="5" t="s">
        <v>252</v>
      </c>
      <c r="C156" s="8">
        <v>1</v>
      </c>
      <c r="D156" s="5" t="s">
        <v>162</v>
      </c>
      <c r="E156" s="5"/>
      <c r="G156" s="5"/>
      <c r="H156" s="5"/>
    </row>
    <row r="157" spans="1:8" x14ac:dyDescent="0.2">
      <c r="A157" s="5" t="s">
        <v>253</v>
      </c>
      <c r="B157" s="5" t="s">
        <v>254</v>
      </c>
      <c r="C157" s="8">
        <v>1</v>
      </c>
      <c r="D157" s="5" t="s">
        <v>162</v>
      </c>
      <c r="E157" s="5"/>
      <c r="G157" s="5"/>
      <c r="H157" s="5"/>
    </row>
    <row r="158" spans="1:8" x14ac:dyDescent="0.2">
      <c r="A158" s="5" t="s">
        <v>255</v>
      </c>
      <c r="B158" s="5" t="s">
        <v>256</v>
      </c>
      <c r="C158" s="8">
        <v>133</v>
      </c>
      <c r="D158" s="5" t="s">
        <v>155</v>
      </c>
      <c r="E158" s="5"/>
      <c r="G158" s="5"/>
      <c r="H158" s="5"/>
    </row>
    <row r="159" spans="1:8" x14ac:dyDescent="0.2">
      <c r="A159" s="5" t="s">
        <v>257</v>
      </c>
      <c r="B159" s="5" t="s">
        <v>258</v>
      </c>
      <c r="C159" s="8">
        <v>167</v>
      </c>
      <c r="D159" s="5" t="s">
        <v>42</v>
      </c>
      <c r="E159" s="5"/>
      <c r="G159" s="5"/>
      <c r="H159" s="5"/>
    </row>
    <row r="160" spans="1:8" x14ac:dyDescent="0.2">
      <c r="A160" s="5" t="s">
        <v>259</v>
      </c>
      <c r="B160" s="5" t="s">
        <v>260</v>
      </c>
      <c r="C160" s="8">
        <v>723</v>
      </c>
      <c r="D160" s="5" t="s">
        <v>42</v>
      </c>
      <c r="E160" s="5"/>
      <c r="G160" s="5"/>
      <c r="H160" s="5"/>
    </row>
    <row r="161" spans="1:9" x14ac:dyDescent="0.2">
      <c r="A161" s="5"/>
      <c r="B161" s="5" t="s">
        <v>53</v>
      </c>
      <c r="C161" s="5"/>
      <c r="D161" s="5" t="s">
        <v>13</v>
      </c>
      <c r="E161" s="5"/>
      <c r="G161" s="5"/>
      <c r="H161" s="5"/>
    </row>
    <row r="162" spans="1:9" x14ac:dyDescent="0.2">
      <c r="A162" s="5"/>
      <c r="B162" s="5" t="s">
        <v>246</v>
      </c>
      <c r="C162" s="5"/>
      <c r="D162" s="5" t="s">
        <v>15</v>
      </c>
      <c r="E162" s="5"/>
      <c r="G162" s="5"/>
      <c r="H162" s="5"/>
    </row>
    <row r="163" spans="1:9" x14ac:dyDescent="0.2">
      <c r="A163" s="5" t="s">
        <v>261</v>
      </c>
      <c r="B163" s="5" t="s">
        <v>248</v>
      </c>
      <c r="C163" s="8">
        <v>183</v>
      </c>
      <c r="D163" s="5" t="s">
        <v>155</v>
      </c>
      <c r="E163" s="5"/>
      <c r="G163" s="5"/>
      <c r="H163" s="5"/>
    </row>
    <row r="164" spans="1:9" x14ac:dyDescent="0.2">
      <c r="A164" s="5" t="s">
        <v>262</v>
      </c>
      <c r="B164" s="5" t="s">
        <v>256</v>
      </c>
      <c r="C164" s="8">
        <v>14</v>
      </c>
      <c r="D164" s="5" t="s">
        <v>155</v>
      </c>
      <c r="E164" s="5"/>
      <c r="G164" s="5"/>
      <c r="H164" s="5"/>
    </row>
    <row r="165" spans="1:9" x14ac:dyDescent="0.2">
      <c r="B165" s="6" t="s">
        <v>263</v>
      </c>
      <c r="C165" s="6"/>
      <c r="D165" s="6"/>
      <c r="E165" s="6"/>
      <c r="F165" s="9">
        <f>ROUNDUP(SUM(H110:H165),0)</f>
        <v>0</v>
      </c>
      <c r="G165" s="6"/>
      <c r="I165" s="9">
        <f>PRODUCT(F165,G165)</f>
        <v>0</v>
      </c>
    </row>
    <row r="167" spans="1:9" x14ac:dyDescent="0.2">
      <c r="A167" s="6" t="s">
        <v>264</v>
      </c>
      <c r="B167" s="6" t="s">
        <v>265</v>
      </c>
    </row>
    <row r="168" spans="1:9" x14ac:dyDescent="0.2">
      <c r="A168" s="5"/>
      <c r="B168" s="5" t="s">
        <v>64</v>
      </c>
      <c r="C168" s="5"/>
      <c r="D168" s="5" t="s">
        <v>13</v>
      </c>
      <c r="E168" s="5"/>
      <c r="G168" s="5"/>
      <c r="H168" s="5"/>
    </row>
    <row r="169" spans="1:9" x14ac:dyDescent="0.2">
      <c r="A169" s="5" t="s">
        <v>266</v>
      </c>
      <c r="B169" s="5" t="s">
        <v>66</v>
      </c>
      <c r="C169" s="5"/>
      <c r="D169" s="5" t="s">
        <v>18</v>
      </c>
      <c r="E169" s="5"/>
      <c r="G169" s="5"/>
      <c r="H169" s="5"/>
    </row>
    <row r="170" spans="1:9" x14ac:dyDescent="0.2">
      <c r="A170" s="5" t="s">
        <v>267</v>
      </c>
      <c r="B170" s="5" t="s">
        <v>68</v>
      </c>
      <c r="C170" s="5"/>
      <c r="D170" s="5" t="s">
        <v>18</v>
      </c>
      <c r="E170" s="5"/>
      <c r="G170" s="5"/>
      <c r="H170" s="5"/>
    </row>
    <row r="171" spans="1:9" x14ac:dyDescent="0.2">
      <c r="A171" s="5"/>
      <c r="B171" s="5" t="s">
        <v>71</v>
      </c>
      <c r="C171" s="5"/>
      <c r="D171" s="5" t="s">
        <v>13</v>
      </c>
      <c r="E171" s="5"/>
      <c r="G171" s="5"/>
      <c r="H171" s="5"/>
    </row>
    <row r="172" spans="1:9" x14ac:dyDescent="0.2">
      <c r="A172" s="5" t="s">
        <v>268</v>
      </c>
      <c r="B172" s="5" t="s">
        <v>269</v>
      </c>
      <c r="C172" s="5"/>
      <c r="D172" s="5" t="s">
        <v>18</v>
      </c>
      <c r="E172" s="5"/>
      <c r="G172" s="5"/>
      <c r="H172" s="5"/>
    </row>
    <row r="173" spans="1:9" x14ac:dyDescent="0.2">
      <c r="A173" s="5" t="s">
        <v>270</v>
      </c>
      <c r="B173" s="5" t="s">
        <v>271</v>
      </c>
      <c r="C173" s="5"/>
      <c r="D173" s="5" t="s">
        <v>18</v>
      </c>
      <c r="E173" s="5"/>
      <c r="G173" s="5"/>
      <c r="H173" s="5"/>
    </row>
    <row r="174" spans="1:9" x14ac:dyDescent="0.2">
      <c r="A174" s="5"/>
      <c r="B174" s="5" t="s">
        <v>76</v>
      </c>
      <c r="C174" s="5"/>
      <c r="D174" s="5" t="s">
        <v>13</v>
      </c>
      <c r="E174" s="5"/>
      <c r="G174" s="5"/>
      <c r="H174" s="5"/>
    </row>
    <row r="175" spans="1:9" x14ac:dyDescent="0.2">
      <c r="A175" s="5"/>
      <c r="B175" s="5" t="s">
        <v>77</v>
      </c>
      <c r="C175" s="5"/>
      <c r="D175" s="5" t="s">
        <v>15</v>
      </c>
      <c r="E175" s="5"/>
      <c r="G175" s="5"/>
      <c r="H175" s="5"/>
    </row>
    <row r="176" spans="1:9" x14ac:dyDescent="0.2">
      <c r="A176" s="5" t="s">
        <v>272</v>
      </c>
      <c r="B176" s="5" t="s">
        <v>273</v>
      </c>
      <c r="C176" s="5"/>
      <c r="D176" s="5" t="s">
        <v>18</v>
      </c>
      <c r="E176" s="5"/>
      <c r="G176" s="5"/>
      <c r="H176" s="5"/>
    </row>
    <row r="177" spans="1:8" x14ac:dyDescent="0.2">
      <c r="A177" s="5" t="s">
        <v>274</v>
      </c>
      <c r="B177" s="5" t="s">
        <v>275</v>
      </c>
      <c r="C177" s="5"/>
      <c r="D177" s="5" t="s">
        <v>18</v>
      </c>
      <c r="E177" s="5"/>
      <c r="G177" s="5"/>
      <c r="H177" s="5"/>
    </row>
    <row r="178" spans="1:8" x14ac:dyDescent="0.2">
      <c r="A178" s="5" t="s">
        <v>276</v>
      </c>
      <c r="B178" s="5" t="s">
        <v>277</v>
      </c>
      <c r="C178" s="5"/>
      <c r="D178" s="5" t="s">
        <v>18</v>
      </c>
      <c r="E178" s="5"/>
      <c r="G178" s="5"/>
      <c r="H178" s="5"/>
    </row>
    <row r="179" spans="1:8" x14ac:dyDescent="0.2">
      <c r="A179" s="5" t="s">
        <v>278</v>
      </c>
      <c r="B179" s="5" t="s">
        <v>279</v>
      </c>
      <c r="C179" s="5"/>
      <c r="D179" s="5" t="s">
        <v>18</v>
      </c>
      <c r="E179" s="5"/>
      <c r="G179" s="5"/>
      <c r="H179" s="5"/>
    </row>
    <row r="180" spans="1:8" x14ac:dyDescent="0.2">
      <c r="A180" s="5" t="s">
        <v>280</v>
      </c>
      <c r="B180" s="5" t="s">
        <v>281</v>
      </c>
      <c r="C180" s="5"/>
      <c r="D180" s="5" t="s">
        <v>18</v>
      </c>
      <c r="E180" s="5"/>
      <c r="G180" s="5"/>
      <c r="H180" s="5"/>
    </row>
    <row r="181" spans="1:8" x14ac:dyDescent="0.2">
      <c r="A181" s="5" t="s">
        <v>282</v>
      </c>
      <c r="B181" s="5" t="s">
        <v>283</v>
      </c>
      <c r="C181" s="5"/>
      <c r="D181" s="5" t="s">
        <v>18</v>
      </c>
      <c r="E181" s="5"/>
      <c r="G181" s="5"/>
      <c r="H181" s="5"/>
    </row>
    <row r="182" spans="1:8" x14ac:dyDescent="0.2">
      <c r="A182" s="5" t="s">
        <v>284</v>
      </c>
      <c r="B182" s="5" t="s">
        <v>285</v>
      </c>
      <c r="C182" s="5"/>
      <c r="D182" s="5" t="s">
        <v>18</v>
      </c>
      <c r="E182" s="5"/>
      <c r="G182" s="5"/>
      <c r="H182" s="5"/>
    </row>
    <row r="183" spans="1:8" x14ac:dyDescent="0.2">
      <c r="A183" s="5" t="s">
        <v>286</v>
      </c>
      <c r="B183" s="5" t="s">
        <v>287</v>
      </c>
      <c r="C183" s="5"/>
      <c r="D183" s="5" t="s">
        <v>18</v>
      </c>
      <c r="E183" s="5"/>
      <c r="G183" s="5"/>
      <c r="H183" s="5"/>
    </row>
    <row r="184" spans="1:8" x14ac:dyDescent="0.2">
      <c r="A184" s="5" t="s">
        <v>288</v>
      </c>
      <c r="B184" s="5" t="s">
        <v>289</v>
      </c>
      <c r="C184" s="5"/>
      <c r="D184" s="5" t="s">
        <v>18</v>
      </c>
      <c r="E184" s="5"/>
      <c r="G184" s="5"/>
      <c r="H184" s="5"/>
    </row>
    <row r="185" spans="1:8" x14ac:dyDescent="0.2">
      <c r="A185" s="5" t="s">
        <v>290</v>
      </c>
      <c r="B185" s="5" t="s">
        <v>291</v>
      </c>
      <c r="C185" s="5"/>
      <c r="D185" s="5" t="s">
        <v>18</v>
      </c>
      <c r="E185" s="5"/>
      <c r="G185" s="5"/>
      <c r="H185" s="5"/>
    </row>
    <row r="186" spans="1:8" x14ac:dyDescent="0.2">
      <c r="A186" s="5" t="s">
        <v>292</v>
      </c>
      <c r="B186" s="5" t="s">
        <v>293</v>
      </c>
      <c r="C186" s="5"/>
      <c r="D186" s="5" t="s">
        <v>18</v>
      </c>
      <c r="E186" s="5"/>
      <c r="G186" s="5"/>
      <c r="H186" s="5"/>
    </row>
    <row r="187" spans="1:8" x14ac:dyDescent="0.2">
      <c r="A187" s="5" t="s">
        <v>294</v>
      </c>
      <c r="B187" s="5" t="s">
        <v>295</v>
      </c>
      <c r="C187" s="5"/>
      <c r="D187" s="5" t="s">
        <v>18</v>
      </c>
      <c r="E187" s="5"/>
      <c r="G187" s="5"/>
      <c r="H187" s="5"/>
    </row>
    <row r="188" spans="1:8" x14ac:dyDescent="0.2">
      <c r="A188" s="5" t="s">
        <v>296</v>
      </c>
      <c r="B188" s="5" t="s">
        <v>297</v>
      </c>
      <c r="C188" s="5"/>
      <c r="D188" s="5" t="s">
        <v>18</v>
      </c>
      <c r="E188" s="5"/>
      <c r="G188" s="5"/>
      <c r="H188" s="5"/>
    </row>
    <row r="189" spans="1:8" x14ac:dyDescent="0.2">
      <c r="A189" s="5" t="s">
        <v>298</v>
      </c>
      <c r="B189" s="5" t="s">
        <v>299</v>
      </c>
      <c r="C189" s="5"/>
      <c r="D189" s="5" t="s">
        <v>18</v>
      </c>
      <c r="E189" s="5"/>
      <c r="G189" s="5"/>
      <c r="H189" s="5"/>
    </row>
    <row r="190" spans="1:8" x14ac:dyDescent="0.2">
      <c r="A190" s="5"/>
      <c r="B190" s="5" t="s">
        <v>94</v>
      </c>
      <c r="C190" s="5"/>
      <c r="D190" s="5" t="s">
        <v>13</v>
      </c>
      <c r="E190" s="5"/>
      <c r="G190" s="5"/>
      <c r="H190" s="5"/>
    </row>
    <row r="191" spans="1:8" x14ac:dyDescent="0.2">
      <c r="A191" s="5" t="s">
        <v>300</v>
      </c>
      <c r="B191" s="5" t="s">
        <v>301</v>
      </c>
      <c r="C191" s="8">
        <v>1</v>
      </c>
      <c r="D191" s="5" t="s">
        <v>97</v>
      </c>
      <c r="E191" s="5"/>
      <c r="G191" s="5"/>
      <c r="H191" s="5"/>
    </row>
    <row r="192" spans="1:8" x14ac:dyDescent="0.2">
      <c r="A192" s="5" t="s">
        <v>302</v>
      </c>
      <c r="B192" s="5" t="s">
        <v>303</v>
      </c>
      <c r="C192" s="8">
        <v>1</v>
      </c>
      <c r="D192" s="5" t="s">
        <v>97</v>
      </c>
      <c r="E192" s="5"/>
      <c r="G192" s="5"/>
      <c r="H192" s="5"/>
    </row>
    <row r="193" spans="1:8" x14ac:dyDescent="0.2">
      <c r="A193" s="5" t="s">
        <v>304</v>
      </c>
      <c r="B193" s="5" t="s">
        <v>305</v>
      </c>
      <c r="C193" s="8">
        <v>1</v>
      </c>
      <c r="D193" s="5" t="s">
        <v>97</v>
      </c>
      <c r="E193" s="5"/>
      <c r="G193" s="5"/>
      <c r="H193" s="5"/>
    </row>
    <row r="194" spans="1:8" x14ac:dyDescent="0.2">
      <c r="A194" s="5" t="s">
        <v>306</v>
      </c>
      <c r="B194" s="5" t="s">
        <v>111</v>
      </c>
      <c r="C194" s="8">
        <v>1</v>
      </c>
      <c r="D194" s="5" t="s">
        <v>97</v>
      </c>
      <c r="E194" s="5"/>
      <c r="G194" s="5"/>
      <c r="H194" s="5"/>
    </row>
    <row r="195" spans="1:8" x14ac:dyDescent="0.2">
      <c r="A195" s="5" t="s">
        <v>307</v>
      </c>
      <c r="B195" s="5" t="s">
        <v>113</v>
      </c>
      <c r="C195" s="8">
        <v>1</v>
      </c>
      <c r="D195" s="5" t="s">
        <v>97</v>
      </c>
      <c r="E195" s="5"/>
      <c r="G195" s="5"/>
      <c r="H195" s="5"/>
    </row>
    <row r="196" spans="1:8" x14ac:dyDescent="0.2">
      <c r="A196" s="5" t="s">
        <v>308</v>
      </c>
      <c r="B196" s="5" t="s">
        <v>309</v>
      </c>
      <c r="C196" s="8">
        <v>1</v>
      </c>
      <c r="D196" s="5" t="s">
        <v>97</v>
      </c>
      <c r="E196" s="5"/>
      <c r="G196" s="5"/>
      <c r="H196" s="5"/>
    </row>
    <row r="197" spans="1:8" x14ac:dyDescent="0.2">
      <c r="A197" s="5" t="s">
        <v>310</v>
      </c>
      <c r="B197" s="5" t="s">
        <v>311</v>
      </c>
      <c r="C197" s="8">
        <v>1</v>
      </c>
      <c r="D197" s="5" t="s">
        <v>97</v>
      </c>
      <c r="E197" s="5"/>
      <c r="G197" s="5"/>
      <c r="H197" s="5"/>
    </row>
    <row r="198" spans="1:8" x14ac:dyDescent="0.2">
      <c r="A198" s="5" t="s">
        <v>312</v>
      </c>
      <c r="B198" s="5" t="s">
        <v>313</v>
      </c>
      <c r="C198" s="8">
        <v>1</v>
      </c>
      <c r="D198" s="5" t="s">
        <v>97</v>
      </c>
      <c r="E198" s="5"/>
      <c r="G198" s="5"/>
      <c r="H198" s="5"/>
    </row>
    <row r="199" spans="1:8" x14ac:dyDescent="0.2">
      <c r="A199" s="5" t="s">
        <v>314</v>
      </c>
      <c r="B199" s="5" t="s">
        <v>315</v>
      </c>
      <c r="C199" s="8">
        <v>1</v>
      </c>
      <c r="D199" s="5" t="s">
        <v>97</v>
      </c>
      <c r="E199" s="5"/>
      <c r="G199" s="5"/>
      <c r="H199" s="5"/>
    </row>
    <row r="200" spans="1:8" x14ac:dyDescent="0.2">
      <c r="A200" s="5" t="s">
        <v>316</v>
      </c>
      <c r="B200" s="5" t="s">
        <v>317</v>
      </c>
      <c r="C200" s="8">
        <v>1</v>
      </c>
      <c r="D200" s="5" t="s">
        <v>97</v>
      </c>
      <c r="E200" s="5"/>
      <c r="G200" s="5"/>
      <c r="H200" s="5"/>
    </row>
    <row r="201" spans="1:8" x14ac:dyDescent="0.2">
      <c r="A201" s="5"/>
      <c r="B201" s="5" t="s">
        <v>135</v>
      </c>
      <c r="C201" s="5"/>
      <c r="D201" s="5" t="s">
        <v>13</v>
      </c>
      <c r="E201" s="5"/>
      <c r="G201" s="5"/>
      <c r="H201" s="5"/>
    </row>
    <row r="202" spans="1:8" x14ac:dyDescent="0.2">
      <c r="A202" s="5" t="s">
        <v>318</v>
      </c>
      <c r="B202" s="5" t="s">
        <v>319</v>
      </c>
      <c r="C202" s="5"/>
      <c r="D202" s="5" t="s">
        <v>18</v>
      </c>
      <c r="E202" s="5"/>
      <c r="G202" s="5"/>
      <c r="H202" s="5"/>
    </row>
    <row r="203" spans="1:8" x14ac:dyDescent="0.2">
      <c r="A203" s="5"/>
      <c r="B203" s="5" t="s">
        <v>38</v>
      </c>
      <c r="C203" s="5"/>
      <c r="D203" s="5" t="s">
        <v>13</v>
      </c>
      <c r="E203" s="5"/>
      <c r="G203" s="5"/>
      <c r="H203" s="5"/>
    </row>
    <row r="204" spans="1:8" x14ac:dyDescent="0.2">
      <c r="A204" s="5"/>
      <c r="B204" s="5" t="s">
        <v>320</v>
      </c>
      <c r="C204" s="5"/>
      <c r="D204" s="5" t="s">
        <v>15</v>
      </c>
      <c r="E204" s="5"/>
      <c r="G204" s="5"/>
      <c r="H204" s="5"/>
    </row>
    <row r="205" spans="1:8" x14ac:dyDescent="0.2">
      <c r="A205" s="5"/>
      <c r="B205" s="5" t="s">
        <v>321</v>
      </c>
      <c r="C205" s="5"/>
      <c r="D205" s="5" t="s">
        <v>322</v>
      </c>
      <c r="E205" s="5"/>
      <c r="G205" s="5"/>
      <c r="H205" s="5"/>
    </row>
    <row r="206" spans="1:8" x14ac:dyDescent="0.2">
      <c r="A206" s="5" t="s">
        <v>323</v>
      </c>
      <c r="B206" s="5" t="s">
        <v>324</v>
      </c>
      <c r="C206" s="8">
        <v>21</v>
      </c>
      <c r="D206" s="5" t="s">
        <v>162</v>
      </c>
      <c r="E206" s="5"/>
      <c r="G206" s="5"/>
      <c r="H206" s="5"/>
    </row>
    <row r="207" spans="1:8" x14ac:dyDescent="0.2">
      <c r="A207" s="5" t="s">
        <v>325</v>
      </c>
      <c r="B207" s="5" t="s">
        <v>326</v>
      </c>
      <c r="C207" s="8">
        <v>34</v>
      </c>
      <c r="D207" s="5" t="s">
        <v>162</v>
      </c>
      <c r="E207" s="5"/>
      <c r="G207" s="5"/>
      <c r="H207" s="5"/>
    </row>
    <row r="208" spans="1:8" x14ac:dyDescent="0.2">
      <c r="A208" s="5" t="s">
        <v>327</v>
      </c>
      <c r="B208" s="5" t="s">
        <v>328</v>
      </c>
      <c r="C208" s="8">
        <v>7</v>
      </c>
      <c r="D208" s="5" t="s">
        <v>162</v>
      </c>
      <c r="E208" s="5"/>
      <c r="G208" s="5"/>
      <c r="H208" s="5"/>
    </row>
    <row r="209" spans="1:8" x14ac:dyDescent="0.2">
      <c r="A209" s="5" t="s">
        <v>329</v>
      </c>
      <c r="B209" s="5" t="s">
        <v>330</v>
      </c>
      <c r="C209" s="8">
        <v>7</v>
      </c>
      <c r="D209" s="5" t="s">
        <v>162</v>
      </c>
      <c r="E209" s="5"/>
      <c r="G209" s="5"/>
      <c r="H209" s="5"/>
    </row>
    <row r="210" spans="1:8" x14ac:dyDescent="0.2">
      <c r="A210" s="5" t="s">
        <v>331</v>
      </c>
      <c r="B210" s="5" t="s">
        <v>332</v>
      </c>
      <c r="C210" s="8">
        <v>16</v>
      </c>
      <c r="D210" s="5" t="s">
        <v>162</v>
      </c>
      <c r="E210" s="5"/>
      <c r="G210" s="5"/>
      <c r="H210" s="5"/>
    </row>
    <row r="211" spans="1:8" x14ac:dyDescent="0.2">
      <c r="A211" s="5" t="s">
        <v>333</v>
      </c>
      <c r="B211" s="5" t="s">
        <v>334</v>
      </c>
      <c r="C211" s="8">
        <v>16</v>
      </c>
      <c r="D211" s="5" t="s">
        <v>162</v>
      </c>
      <c r="E211" s="5"/>
      <c r="G211" s="5"/>
      <c r="H211" s="5"/>
    </row>
    <row r="212" spans="1:8" x14ac:dyDescent="0.2">
      <c r="A212" s="5" t="s">
        <v>335</v>
      </c>
      <c r="B212" s="5" t="s">
        <v>336</v>
      </c>
      <c r="C212" s="8">
        <v>21</v>
      </c>
      <c r="D212" s="5" t="s">
        <v>162</v>
      </c>
      <c r="E212" s="5"/>
      <c r="G212" s="5"/>
      <c r="H212" s="5"/>
    </row>
    <row r="213" spans="1:8" x14ac:dyDescent="0.2">
      <c r="A213" s="5" t="s">
        <v>337</v>
      </c>
      <c r="B213" s="5" t="s">
        <v>338</v>
      </c>
      <c r="C213" s="8">
        <v>2</v>
      </c>
      <c r="D213" s="5" t="s">
        <v>162</v>
      </c>
      <c r="E213" s="5"/>
      <c r="G213" s="5"/>
      <c r="H213" s="5"/>
    </row>
    <row r="214" spans="1:8" x14ac:dyDescent="0.2">
      <c r="A214" s="5" t="s">
        <v>339</v>
      </c>
      <c r="B214" s="5" t="s">
        <v>340</v>
      </c>
      <c r="C214" s="8">
        <v>4</v>
      </c>
      <c r="D214" s="5" t="s">
        <v>162</v>
      </c>
      <c r="E214" s="5"/>
      <c r="G214" s="5"/>
      <c r="H214" s="5"/>
    </row>
    <row r="215" spans="1:8" x14ac:dyDescent="0.2">
      <c r="A215" s="5" t="s">
        <v>341</v>
      </c>
      <c r="B215" s="5" t="s">
        <v>342</v>
      </c>
      <c r="C215" s="8">
        <v>10</v>
      </c>
      <c r="D215" s="5" t="s">
        <v>162</v>
      </c>
      <c r="E215" s="5"/>
      <c r="G215" s="5"/>
      <c r="H215" s="5"/>
    </row>
    <row r="216" spans="1:8" x14ac:dyDescent="0.2">
      <c r="A216" s="5"/>
      <c r="B216" s="5" t="s">
        <v>343</v>
      </c>
      <c r="C216" s="5"/>
      <c r="D216" s="5" t="s">
        <v>322</v>
      </c>
      <c r="E216" s="5"/>
      <c r="G216" s="5"/>
      <c r="H216" s="5"/>
    </row>
    <row r="217" spans="1:8" x14ac:dyDescent="0.2">
      <c r="A217" s="5" t="s">
        <v>344</v>
      </c>
      <c r="B217" s="5" t="s">
        <v>345</v>
      </c>
      <c r="C217" s="8">
        <v>21</v>
      </c>
      <c r="D217" s="5" t="s">
        <v>162</v>
      </c>
      <c r="E217" s="5"/>
      <c r="G217" s="5"/>
      <c r="H217" s="5"/>
    </row>
    <row r="218" spans="1:8" x14ac:dyDescent="0.2">
      <c r="A218" s="5" t="s">
        <v>346</v>
      </c>
      <c r="B218" s="5" t="s">
        <v>347</v>
      </c>
      <c r="C218" s="8">
        <v>34</v>
      </c>
      <c r="D218" s="5" t="s">
        <v>162</v>
      </c>
      <c r="E218" s="5"/>
      <c r="G218" s="5"/>
      <c r="H218" s="5"/>
    </row>
    <row r="219" spans="1:8" x14ac:dyDescent="0.2">
      <c r="A219" s="5" t="s">
        <v>348</v>
      </c>
      <c r="B219" s="5" t="s">
        <v>349</v>
      </c>
      <c r="C219" s="8">
        <v>7</v>
      </c>
      <c r="D219" s="5" t="s">
        <v>162</v>
      </c>
      <c r="E219" s="5"/>
      <c r="G219" s="5"/>
      <c r="H219" s="5"/>
    </row>
    <row r="220" spans="1:8" x14ac:dyDescent="0.2">
      <c r="A220" s="5" t="s">
        <v>350</v>
      </c>
      <c r="B220" s="5" t="s">
        <v>351</v>
      </c>
      <c r="C220" s="8">
        <v>7</v>
      </c>
      <c r="D220" s="5" t="s">
        <v>162</v>
      </c>
      <c r="E220" s="5"/>
      <c r="G220" s="5"/>
      <c r="H220" s="5"/>
    </row>
    <row r="221" spans="1:8" x14ac:dyDescent="0.2">
      <c r="A221" s="5" t="s">
        <v>352</v>
      </c>
      <c r="B221" s="5" t="s">
        <v>353</v>
      </c>
      <c r="C221" s="8">
        <v>16</v>
      </c>
      <c r="D221" s="5" t="s">
        <v>162</v>
      </c>
      <c r="E221" s="5"/>
      <c r="G221" s="5"/>
      <c r="H221" s="5"/>
    </row>
    <row r="222" spans="1:8" x14ac:dyDescent="0.2">
      <c r="A222" s="5" t="s">
        <v>354</v>
      </c>
      <c r="B222" s="5" t="s">
        <v>355</v>
      </c>
      <c r="C222" s="8">
        <v>16</v>
      </c>
      <c r="D222" s="5" t="s">
        <v>162</v>
      </c>
      <c r="E222" s="5"/>
      <c r="G222" s="5"/>
      <c r="H222" s="5"/>
    </row>
    <row r="223" spans="1:8" x14ac:dyDescent="0.2">
      <c r="A223" s="5" t="s">
        <v>356</v>
      </c>
      <c r="B223" s="5" t="s">
        <v>357</v>
      </c>
      <c r="C223" s="8">
        <v>21</v>
      </c>
      <c r="D223" s="5" t="s">
        <v>162</v>
      </c>
      <c r="E223" s="5"/>
      <c r="G223" s="5"/>
      <c r="H223" s="5"/>
    </row>
    <row r="224" spans="1:8" x14ac:dyDescent="0.2">
      <c r="A224" s="5" t="s">
        <v>358</v>
      </c>
      <c r="B224" s="5" t="s">
        <v>359</v>
      </c>
      <c r="C224" s="8">
        <v>2</v>
      </c>
      <c r="D224" s="5" t="s">
        <v>162</v>
      </c>
      <c r="E224" s="5"/>
      <c r="G224" s="5"/>
      <c r="H224" s="5"/>
    </row>
    <row r="225" spans="1:8" x14ac:dyDescent="0.2">
      <c r="A225" s="5" t="s">
        <v>360</v>
      </c>
      <c r="B225" s="5" t="s">
        <v>361</v>
      </c>
      <c r="C225" s="8">
        <v>4</v>
      </c>
      <c r="D225" s="5" t="s">
        <v>162</v>
      </c>
      <c r="E225" s="5"/>
      <c r="G225" s="5"/>
      <c r="H225" s="5"/>
    </row>
    <row r="226" spans="1:8" x14ac:dyDescent="0.2">
      <c r="A226" s="5" t="s">
        <v>362</v>
      </c>
      <c r="B226" s="5" t="s">
        <v>363</v>
      </c>
      <c r="C226" s="8">
        <v>10</v>
      </c>
      <c r="D226" s="5" t="s">
        <v>162</v>
      </c>
      <c r="E226" s="5"/>
      <c r="G226" s="5"/>
      <c r="H226" s="5"/>
    </row>
    <row r="227" spans="1:8" x14ac:dyDescent="0.2">
      <c r="A227" s="5"/>
      <c r="B227" s="5" t="s">
        <v>364</v>
      </c>
      <c r="C227" s="5"/>
      <c r="D227" s="5" t="s">
        <v>322</v>
      </c>
      <c r="E227" s="5"/>
      <c r="G227" s="5"/>
      <c r="H227" s="5"/>
    </row>
    <row r="228" spans="1:8" x14ac:dyDescent="0.2">
      <c r="A228" s="5"/>
      <c r="B228" s="5" t="s">
        <v>365</v>
      </c>
      <c r="C228" s="5"/>
      <c r="D228" s="5" t="s">
        <v>366</v>
      </c>
      <c r="E228" s="5"/>
      <c r="G228" s="5"/>
      <c r="H228" s="5"/>
    </row>
    <row r="229" spans="1:8" x14ac:dyDescent="0.2">
      <c r="A229" s="5" t="s">
        <v>367</v>
      </c>
      <c r="B229" s="5" t="s">
        <v>345</v>
      </c>
      <c r="C229" s="8">
        <v>10</v>
      </c>
      <c r="D229" s="5" t="s">
        <v>368</v>
      </c>
      <c r="E229" s="5"/>
      <c r="G229" s="5"/>
      <c r="H229" s="5"/>
    </row>
    <row r="230" spans="1:8" x14ac:dyDescent="0.2">
      <c r="A230" s="5" t="s">
        <v>369</v>
      </c>
      <c r="B230" s="5" t="s">
        <v>347</v>
      </c>
      <c r="C230" s="8">
        <v>18</v>
      </c>
      <c r="D230" s="5" t="s">
        <v>368</v>
      </c>
      <c r="E230" s="5"/>
      <c r="G230" s="5"/>
      <c r="H230" s="5"/>
    </row>
    <row r="231" spans="1:8" x14ac:dyDescent="0.2">
      <c r="A231" s="5" t="s">
        <v>370</v>
      </c>
      <c r="B231" s="5" t="s">
        <v>349</v>
      </c>
      <c r="C231" s="8">
        <v>6</v>
      </c>
      <c r="D231" s="5" t="s">
        <v>368</v>
      </c>
      <c r="E231" s="5"/>
      <c r="G231" s="5"/>
      <c r="H231" s="5"/>
    </row>
    <row r="232" spans="1:8" x14ac:dyDescent="0.2">
      <c r="A232" s="5" t="s">
        <v>371</v>
      </c>
      <c r="B232" s="5" t="s">
        <v>351</v>
      </c>
      <c r="C232" s="8">
        <v>9</v>
      </c>
      <c r="D232" s="5" t="s">
        <v>368</v>
      </c>
      <c r="E232" s="5"/>
      <c r="G232" s="5"/>
      <c r="H232" s="5"/>
    </row>
    <row r="233" spans="1:8" x14ac:dyDescent="0.2">
      <c r="A233" s="5" t="s">
        <v>372</v>
      </c>
      <c r="B233" s="5" t="s">
        <v>353</v>
      </c>
      <c r="C233" s="8">
        <v>25</v>
      </c>
      <c r="D233" s="5" t="s">
        <v>368</v>
      </c>
      <c r="E233" s="5"/>
      <c r="G233" s="5"/>
      <c r="H233" s="5"/>
    </row>
    <row r="234" spans="1:8" x14ac:dyDescent="0.2">
      <c r="A234" s="5" t="s">
        <v>373</v>
      </c>
      <c r="B234" s="5" t="s">
        <v>355</v>
      </c>
      <c r="C234" s="8">
        <v>56</v>
      </c>
      <c r="D234" s="5" t="s">
        <v>368</v>
      </c>
      <c r="E234" s="5"/>
      <c r="G234" s="5"/>
      <c r="H234" s="5"/>
    </row>
    <row r="235" spans="1:8" x14ac:dyDescent="0.2">
      <c r="A235" s="5" t="s">
        <v>374</v>
      </c>
      <c r="B235" s="5" t="s">
        <v>357</v>
      </c>
      <c r="C235" s="8">
        <v>95</v>
      </c>
      <c r="D235" s="5" t="s">
        <v>368</v>
      </c>
      <c r="E235" s="5"/>
      <c r="G235" s="5"/>
      <c r="H235" s="5"/>
    </row>
    <row r="236" spans="1:8" x14ac:dyDescent="0.2">
      <c r="A236" s="5" t="s">
        <v>375</v>
      </c>
      <c r="B236" s="5" t="s">
        <v>359</v>
      </c>
      <c r="C236" s="8">
        <v>14</v>
      </c>
      <c r="D236" s="5" t="s">
        <v>368</v>
      </c>
      <c r="E236" s="5"/>
      <c r="G236" s="5"/>
      <c r="H236" s="5"/>
    </row>
    <row r="237" spans="1:8" x14ac:dyDescent="0.2">
      <c r="A237" s="5" t="s">
        <v>376</v>
      </c>
      <c r="B237" s="5" t="s">
        <v>361</v>
      </c>
      <c r="C237" s="8">
        <v>30</v>
      </c>
      <c r="D237" s="5" t="s">
        <v>368</v>
      </c>
      <c r="E237" s="5"/>
      <c r="G237" s="5"/>
      <c r="H237" s="5"/>
    </row>
    <row r="238" spans="1:8" x14ac:dyDescent="0.2">
      <c r="A238" s="5" t="s">
        <v>377</v>
      </c>
      <c r="B238" s="5" t="s">
        <v>363</v>
      </c>
      <c r="C238" s="8">
        <v>108</v>
      </c>
      <c r="D238" s="5" t="s">
        <v>368</v>
      </c>
      <c r="E238" s="5"/>
      <c r="G238" s="5"/>
      <c r="H238" s="5"/>
    </row>
    <row r="239" spans="1:8" x14ac:dyDescent="0.2">
      <c r="A239" s="5"/>
      <c r="B239" s="5" t="s">
        <v>378</v>
      </c>
      <c r="C239" s="5"/>
      <c r="D239" s="5" t="s">
        <v>322</v>
      </c>
      <c r="E239" s="5"/>
      <c r="G239" s="5"/>
      <c r="H239" s="5"/>
    </row>
    <row r="240" spans="1:8" x14ac:dyDescent="0.2">
      <c r="A240" s="5"/>
      <c r="B240" s="5" t="s">
        <v>379</v>
      </c>
      <c r="C240" s="5"/>
      <c r="D240" s="5" t="s">
        <v>366</v>
      </c>
      <c r="E240" s="5"/>
      <c r="G240" s="5"/>
      <c r="H240" s="5"/>
    </row>
    <row r="241" spans="1:8" x14ac:dyDescent="0.2">
      <c r="A241" s="5" t="s">
        <v>380</v>
      </c>
      <c r="B241" s="5" t="s">
        <v>381</v>
      </c>
      <c r="C241" s="8">
        <v>1</v>
      </c>
      <c r="D241" s="5" t="s">
        <v>382</v>
      </c>
      <c r="E241" s="5"/>
      <c r="G241" s="5"/>
      <c r="H241" s="5"/>
    </row>
    <row r="242" spans="1:8" x14ac:dyDescent="0.2">
      <c r="A242" s="5" t="s">
        <v>383</v>
      </c>
      <c r="B242" s="5" t="s">
        <v>384</v>
      </c>
      <c r="C242" s="8">
        <v>5.94</v>
      </c>
      <c r="D242" s="5" t="s">
        <v>382</v>
      </c>
      <c r="E242" s="5"/>
      <c r="G242" s="5"/>
      <c r="H242" s="5"/>
    </row>
    <row r="243" spans="1:8" x14ac:dyDescent="0.2">
      <c r="A243" s="5" t="s">
        <v>385</v>
      </c>
      <c r="B243" s="5" t="s">
        <v>386</v>
      </c>
      <c r="C243" s="8">
        <v>1.95</v>
      </c>
      <c r="D243" s="5" t="s">
        <v>382</v>
      </c>
      <c r="E243" s="5"/>
      <c r="G243" s="5"/>
      <c r="H243" s="5"/>
    </row>
    <row r="244" spans="1:8" x14ac:dyDescent="0.2">
      <c r="A244" s="5" t="s">
        <v>387</v>
      </c>
      <c r="B244" s="5" t="s">
        <v>388</v>
      </c>
      <c r="C244" s="8">
        <v>0.09</v>
      </c>
      <c r="D244" s="5" t="s">
        <v>382</v>
      </c>
      <c r="E244" s="5"/>
      <c r="G244" s="5"/>
      <c r="H244" s="5"/>
    </row>
    <row r="245" spans="1:8" x14ac:dyDescent="0.2">
      <c r="A245" s="5" t="s">
        <v>389</v>
      </c>
      <c r="B245" s="5" t="s">
        <v>390</v>
      </c>
      <c r="C245" s="8">
        <v>0.33</v>
      </c>
      <c r="D245" s="5" t="s">
        <v>382</v>
      </c>
      <c r="E245" s="5"/>
      <c r="G245" s="5"/>
      <c r="H245" s="5"/>
    </row>
    <row r="246" spans="1:8" x14ac:dyDescent="0.2">
      <c r="A246" s="5" t="s">
        <v>391</v>
      </c>
      <c r="B246" s="5" t="s">
        <v>392</v>
      </c>
      <c r="C246" s="8">
        <v>2.19</v>
      </c>
      <c r="D246" s="5" t="s">
        <v>382</v>
      </c>
      <c r="E246" s="5"/>
      <c r="G246" s="5"/>
      <c r="H246" s="5"/>
    </row>
    <row r="247" spans="1:8" x14ac:dyDescent="0.2">
      <c r="A247" s="5" t="s">
        <v>393</v>
      </c>
      <c r="B247" s="5" t="s">
        <v>394</v>
      </c>
      <c r="C247" s="8">
        <v>2.19</v>
      </c>
      <c r="D247" s="5" t="s">
        <v>382</v>
      </c>
      <c r="E247" s="5"/>
      <c r="G247" s="5"/>
      <c r="H247" s="5"/>
    </row>
    <row r="248" spans="1:8" x14ac:dyDescent="0.2">
      <c r="A248" s="5" t="s">
        <v>395</v>
      </c>
      <c r="B248" s="5" t="s">
        <v>396</v>
      </c>
      <c r="C248" s="8">
        <v>3.04</v>
      </c>
      <c r="D248" s="5" t="s">
        <v>382</v>
      </c>
      <c r="E248" s="5"/>
      <c r="G248" s="5"/>
      <c r="H248" s="5"/>
    </row>
    <row r="249" spans="1:8" x14ac:dyDescent="0.2">
      <c r="A249" s="5" t="s">
        <v>397</v>
      </c>
      <c r="B249" s="5" t="s">
        <v>398</v>
      </c>
      <c r="C249" s="8">
        <v>0.28999999999999998</v>
      </c>
      <c r="D249" s="5" t="s">
        <v>382</v>
      </c>
      <c r="E249" s="5"/>
      <c r="G249" s="5"/>
      <c r="H249" s="5"/>
    </row>
    <row r="250" spans="1:8" x14ac:dyDescent="0.2">
      <c r="A250" s="5" t="s">
        <v>399</v>
      </c>
      <c r="B250" s="5" t="s">
        <v>400</v>
      </c>
      <c r="C250" s="8">
        <v>1.64</v>
      </c>
      <c r="D250" s="5" t="s">
        <v>382</v>
      </c>
      <c r="E250" s="5"/>
      <c r="G250" s="5"/>
      <c r="H250" s="5"/>
    </row>
    <row r="251" spans="1:8" x14ac:dyDescent="0.2">
      <c r="A251" s="5"/>
      <c r="B251" s="5" t="s">
        <v>401</v>
      </c>
      <c r="C251" s="5"/>
      <c r="D251" s="5" t="s">
        <v>322</v>
      </c>
      <c r="E251" s="5"/>
      <c r="G251" s="5"/>
      <c r="H251" s="5"/>
    </row>
    <row r="252" spans="1:8" x14ac:dyDescent="0.2">
      <c r="A252" s="5" t="s">
        <v>402</v>
      </c>
      <c r="B252" s="5" t="s">
        <v>403</v>
      </c>
      <c r="C252" s="8">
        <v>10</v>
      </c>
      <c r="D252" s="5" t="s">
        <v>368</v>
      </c>
      <c r="E252" s="5"/>
      <c r="G252" s="5"/>
      <c r="H252" s="5"/>
    </row>
    <row r="253" spans="1:8" x14ac:dyDescent="0.2">
      <c r="A253" s="5" t="s">
        <v>404</v>
      </c>
      <c r="B253" s="5" t="s">
        <v>405</v>
      </c>
      <c r="C253" s="8">
        <v>18</v>
      </c>
      <c r="D253" s="5" t="s">
        <v>368</v>
      </c>
      <c r="E253" s="5"/>
      <c r="G253" s="5"/>
      <c r="H253" s="5"/>
    </row>
    <row r="254" spans="1:8" x14ac:dyDescent="0.2">
      <c r="A254" s="5" t="s">
        <v>406</v>
      </c>
      <c r="B254" s="5" t="s">
        <v>407</v>
      </c>
      <c r="C254" s="8">
        <v>6</v>
      </c>
      <c r="D254" s="5" t="s">
        <v>368</v>
      </c>
      <c r="E254" s="5"/>
      <c r="G254" s="5"/>
      <c r="H254" s="5"/>
    </row>
    <row r="255" spans="1:8" x14ac:dyDescent="0.2">
      <c r="A255" s="5" t="s">
        <v>408</v>
      </c>
      <c r="B255" s="5" t="s">
        <v>409</v>
      </c>
      <c r="C255" s="8">
        <v>9</v>
      </c>
      <c r="D255" s="5" t="s">
        <v>368</v>
      </c>
      <c r="E255" s="5"/>
      <c r="G255" s="5"/>
      <c r="H255" s="5"/>
    </row>
    <row r="256" spans="1:8" x14ac:dyDescent="0.2">
      <c r="A256" s="5" t="s">
        <v>410</v>
      </c>
      <c r="B256" s="5" t="s">
        <v>411</v>
      </c>
      <c r="C256" s="8">
        <v>25</v>
      </c>
      <c r="D256" s="5" t="s">
        <v>368</v>
      </c>
      <c r="E256" s="5"/>
      <c r="G256" s="5"/>
      <c r="H256" s="5"/>
    </row>
    <row r="257" spans="1:8" x14ac:dyDescent="0.2">
      <c r="A257" s="5" t="s">
        <v>412</v>
      </c>
      <c r="B257" s="5" t="s">
        <v>413</v>
      </c>
      <c r="C257" s="8">
        <v>56</v>
      </c>
      <c r="D257" s="5" t="s">
        <v>368</v>
      </c>
      <c r="E257" s="5"/>
      <c r="G257" s="5"/>
      <c r="H257" s="5"/>
    </row>
    <row r="258" spans="1:8" x14ac:dyDescent="0.2">
      <c r="A258" s="5" t="s">
        <v>414</v>
      </c>
      <c r="B258" s="5" t="s">
        <v>415</v>
      </c>
      <c r="C258" s="8">
        <v>95</v>
      </c>
      <c r="D258" s="5" t="s">
        <v>368</v>
      </c>
      <c r="E258" s="5"/>
      <c r="G258" s="5"/>
      <c r="H258" s="5"/>
    </row>
    <row r="259" spans="1:8" x14ac:dyDescent="0.2">
      <c r="A259" s="5" t="s">
        <v>416</v>
      </c>
      <c r="B259" s="5" t="s">
        <v>417</v>
      </c>
      <c r="C259" s="8">
        <v>14</v>
      </c>
      <c r="D259" s="5" t="s">
        <v>368</v>
      </c>
      <c r="E259" s="5"/>
      <c r="G259" s="5"/>
      <c r="H259" s="5"/>
    </row>
    <row r="260" spans="1:8" x14ac:dyDescent="0.2">
      <c r="A260" s="5" t="s">
        <v>418</v>
      </c>
      <c r="B260" s="5" t="s">
        <v>419</v>
      </c>
      <c r="C260" s="8">
        <v>30</v>
      </c>
      <c r="D260" s="5" t="s">
        <v>368</v>
      </c>
      <c r="E260" s="5"/>
      <c r="G260" s="5"/>
      <c r="H260" s="5"/>
    </row>
    <row r="261" spans="1:8" x14ac:dyDescent="0.2">
      <c r="A261" s="5" t="s">
        <v>420</v>
      </c>
      <c r="B261" s="5" t="s">
        <v>421</v>
      </c>
      <c r="C261" s="8">
        <v>108</v>
      </c>
      <c r="D261" s="5" t="s">
        <v>368</v>
      </c>
      <c r="E261" s="5"/>
      <c r="G261" s="5"/>
      <c r="H261" s="5"/>
    </row>
    <row r="262" spans="1:8" x14ac:dyDescent="0.2">
      <c r="A262" s="5"/>
      <c r="B262" s="5" t="s">
        <v>422</v>
      </c>
      <c r="C262" s="5"/>
      <c r="D262" s="5" t="s">
        <v>322</v>
      </c>
      <c r="E262" s="5"/>
      <c r="G262" s="5"/>
      <c r="H262" s="5"/>
    </row>
    <row r="263" spans="1:8" x14ac:dyDescent="0.2">
      <c r="A263" s="5"/>
      <c r="B263" s="5" t="s">
        <v>423</v>
      </c>
      <c r="C263" s="5"/>
      <c r="D263" s="5" t="s">
        <v>366</v>
      </c>
      <c r="E263" s="5"/>
      <c r="G263" s="5"/>
      <c r="H263" s="5"/>
    </row>
    <row r="264" spans="1:8" x14ac:dyDescent="0.2">
      <c r="A264" s="5" t="s">
        <v>424</v>
      </c>
      <c r="B264" s="5" t="s">
        <v>345</v>
      </c>
      <c r="C264" s="8">
        <v>21</v>
      </c>
      <c r="D264" s="5" t="s">
        <v>162</v>
      </c>
      <c r="E264" s="5"/>
      <c r="G264" s="5"/>
      <c r="H264" s="5"/>
    </row>
    <row r="265" spans="1:8" x14ac:dyDescent="0.2">
      <c r="A265" s="5" t="s">
        <v>425</v>
      </c>
      <c r="B265" s="5" t="s">
        <v>347</v>
      </c>
      <c r="C265" s="8">
        <v>34</v>
      </c>
      <c r="D265" s="5" t="s">
        <v>162</v>
      </c>
      <c r="E265" s="5"/>
      <c r="G265" s="5"/>
      <c r="H265" s="5"/>
    </row>
    <row r="266" spans="1:8" x14ac:dyDescent="0.2">
      <c r="A266" s="5" t="s">
        <v>426</v>
      </c>
      <c r="B266" s="5" t="s">
        <v>349</v>
      </c>
      <c r="C266" s="8">
        <v>7</v>
      </c>
      <c r="D266" s="5" t="s">
        <v>162</v>
      </c>
      <c r="E266" s="5"/>
      <c r="G266" s="5"/>
      <c r="H266" s="5"/>
    </row>
    <row r="267" spans="1:8" x14ac:dyDescent="0.2">
      <c r="A267" s="5" t="s">
        <v>427</v>
      </c>
      <c r="B267" s="5" t="s">
        <v>351</v>
      </c>
      <c r="C267" s="8">
        <v>7</v>
      </c>
      <c r="D267" s="5" t="s">
        <v>162</v>
      </c>
      <c r="E267" s="5"/>
      <c r="G267" s="5"/>
      <c r="H267" s="5"/>
    </row>
    <row r="268" spans="1:8" x14ac:dyDescent="0.2">
      <c r="A268" s="5" t="s">
        <v>428</v>
      </c>
      <c r="B268" s="5" t="s">
        <v>353</v>
      </c>
      <c r="C268" s="8">
        <v>16</v>
      </c>
      <c r="D268" s="5" t="s">
        <v>162</v>
      </c>
      <c r="E268" s="5"/>
      <c r="G268" s="5"/>
      <c r="H268" s="5"/>
    </row>
    <row r="269" spans="1:8" x14ac:dyDescent="0.2">
      <c r="A269" s="5" t="s">
        <v>429</v>
      </c>
      <c r="B269" s="5" t="s">
        <v>355</v>
      </c>
      <c r="C269" s="8">
        <v>16</v>
      </c>
      <c r="D269" s="5" t="s">
        <v>162</v>
      </c>
      <c r="E269" s="5"/>
      <c r="G269" s="5"/>
      <c r="H269" s="5"/>
    </row>
    <row r="270" spans="1:8" x14ac:dyDescent="0.2">
      <c r="A270" s="5" t="s">
        <v>430</v>
      </c>
      <c r="B270" s="5" t="s">
        <v>357</v>
      </c>
      <c r="C270" s="8">
        <v>21</v>
      </c>
      <c r="D270" s="5" t="s">
        <v>162</v>
      </c>
      <c r="E270" s="5"/>
      <c r="G270" s="5"/>
      <c r="H270" s="5"/>
    </row>
    <row r="271" spans="1:8" x14ac:dyDescent="0.2">
      <c r="A271" s="5" t="s">
        <v>431</v>
      </c>
      <c r="B271" s="5" t="s">
        <v>359</v>
      </c>
      <c r="C271" s="8">
        <v>2</v>
      </c>
      <c r="D271" s="5" t="s">
        <v>162</v>
      </c>
      <c r="E271" s="5"/>
      <c r="G271" s="5"/>
      <c r="H271" s="5"/>
    </row>
    <row r="272" spans="1:8" x14ac:dyDescent="0.2">
      <c r="A272" s="5" t="s">
        <v>432</v>
      </c>
      <c r="B272" s="5" t="s">
        <v>361</v>
      </c>
      <c r="C272" s="8">
        <v>4</v>
      </c>
      <c r="D272" s="5" t="s">
        <v>162</v>
      </c>
      <c r="E272" s="5"/>
      <c r="G272" s="5"/>
      <c r="H272" s="5"/>
    </row>
    <row r="273" spans="1:8" x14ac:dyDescent="0.2">
      <c r="A273" s="5" t="s">
        <v>433</v>
      </c>
      <c r="B273" s="5" t="s">
        <v>363</v>
      </c>
      <c r="C273" s="8">
        <v>10</v>
      </c>
      <c r="D273" s="5" t="s">
        <v>162</v>
      </c>
      <c r="E273" s="5"/>
      <c r="G273" s="5"/>
      <c r="H273" s="5"/>
    </row>
    <row r="274" spans="1:8" x14ac:dyDescent="0.2">
      <c r="A274" s="5"/>
      <c r="B274" s="5" t="s">
        <v>434</v>
      </c>
      <c r="C274" s="5"/>
      <c r="D274" s="5" t="s">
        <v>366</v>
      </c>
      <c r="E274" s="5"/>
      <c r="G274" s="5"/>
      <c r="H274" s="5"/>
    </row>
    <row r="275" spans="1:8" x14ac:dyDescent="0.2">
      <c r="A275" s="5" t="s">
        <v>435</v>
      </c>
      <c r="B275" s="5" t="s">
        <v>345</v>
      </c>
      <c r="C275" s="8">
        <v>21</v>
      </c>
      <c r="D275" s="5" t="s">
        <v>162</v>
      </c>
      <c r="E275" s="5"/>
      <c r="G275" s="5"/>
      <c r="H275" s="5"/>
    </row>
    <row r="276" spans="1:8" x14ac:dyDescent="0.2">
      <c r="A276" s="5" t="s">
        <v>436</v>
      </c>
      <c r="B276" s="5" t="s">
        <v>347</v>
      </c>
      <c r="C276" s="8">
        <v>34</v>
      </c>
      <c r="D276" s="5" t="s">
        <v>162</v>
      </c>
      <c r="E276" s="5"/>
      <c r="G276" s="5"/>
      <c r="H276" s="5"/>
    </row>
    <row r="277" spans="1:8" x14ac:dyDescent="0.2">
      <c r="A277" s="5" t="s">
        <v>437</v>
      </c>
      <c r="B277" s="5" t="s">
        <v>349</v>
      </c>
      <c r="C277" s="8">
        <v>7</v>
      </c>
      <c r="D277" s="5" t="s">
        <v>162</v>
      </c>
      <c r="E277" s="5"/>
      <c r="G277" s="5"/>
      <c r="H277" s="5"/>
    </row>
    <row r="278" spans="1:8" x14ac:dyDescent="0.2">
      <c r="A278" s="5" t="s">
        <v>438</v>
      </c>
      <c r="B278" s="5" t="s">
        <v>351</v>
      </c>
      <c r="C278" s="8">
        <v>7</v>
      </c>
      <c r="D278" s="5" t="s">
        <v>162</v>
      </c>
      <c r="E278" s="5"/>
      <c r="G278" s="5"/>
      <c r="H278" s="5"/>
    </row>
    <row r="279" spans="1:8" x14ac:dyDescent="0.2">
      <c r="A279" s="5" t="s">
        <v>439</v>
      </c>
      <c r="B279" s="5" t="s">
        <v>353</v>
      </c>
      <c r="C279" s="8">
        <v>16</v>
      </c>
      <c r="D279" s="5" t="s">
        <v>162</v>
      </c>
      <c r="E279" s="5"/>
      <c r="G279" s="5"/>
      <c r="H279" s="5"/>
    </row>
    <row r="280" spans="1:8" x14ac:dyDescent="0.2">
      <c r="A280" s="5" t="s">
        <v>440</v>
      </c>
      <c r="B280" s="5" t="s">
        <v>355</v>
      </c>
      <c r="C280" s="8">
        <v>16</v>
      </c>
      <c r="D280" s="5" t="s">
        <v>162</v>
      </c>
      <c r="E280" s="5"/>
      <c r="G280" s="5"/>
      <c r="H280" s="5"/>
    </row>
    <row r="281" spans="1:8" x14ac:dyDescent="0.2">
      <c r="A281" s="5" t="s">
        <v>441</v>
      </c>
      <c r="B281" s="5" t="s">
        <v>357</v>
      </c>
      <c r="C281" s="8">
        <v>21</v>
      </c>
      <c r="D281" s="5" t="s">
        <v>162</v>
      </c>
      <c r="E281" s="5"/>
      <c r="G281" s="5"/>
      <c r="H281" s="5"/>
    </row>
    <row r="282" spans="1:8" x14ac:dyDescent="0.2">
      <c r="A282" s="5" t="s">
        <v>442</v>
      </c>
      <c r="B282" s="5" t="s">
        <v>359</v>
      </c>
      <c r="C282" s="8">
        <v>2</v>
      </c>
      <c r="D282" s="5" t="s">
        <v>162</v>
      </c>
      <c r="E282" s="5"/>
      <c r="G282" s="5"/>
      <c r="H282" s="5"/>
    </row>
    <row r="283" spans="1:8" x14ac:dyDescent="0.2">
      <c r="A283" s="5" t="s">
        <v>443</v>
      </c>
      <c r="B283" s="5" t="s">
        <v>361</v>
      </c>
      <c r="C283" s="8">
        <v>4</v>
      </c>
      <c r="D283" s="5" t="s">
        <v>162</v>
      </c>
      <c r="E283" s="5"/>
      <c r="G283" s="5"/>
      <c r="H283" s="5"/>
    </row>
    <row r="284" spans="1:8" x14ac:dyDescent="0.2">
      <c r="A284" s="5" t="s">
        <v>444</v>
      </c>
      <c r="B284" s="5" t="s">
        <v>363</v>
      </c>
      <c r="C284" s="8">
        <v>10</v>
      </c>
      <c r="D284" s="5" t="s">
        <v>162</v>
      </c>
      <c r="E284" s="5"/>
      <c r="G284" s="5"/>
      <c r="H284" s="5"/>
    </row>
    <row r="285" spans="1:8" x14ac:dyDescent="0.2">
      <c r="A285" s="5"/>
      <c r="B285" s="5" t="s">
        <v>53</v>
      </c>
      <c r="C285" s="5"/>
      <c r="D285" s="5" t="s">
        <v>13</v>
      </c>
      <c r="E285" s="5"/>
      <c r="G285" s="5"/>
      <c r="H285" s="5"/>
    </row>
    <row r="286" spans="1:8" x14ac:dyDescent="0.2">
      <c r="A286" s="5"/>
      <c r="B286" s="5" t="s">
        <v>320</v>
      </c>
      <c r="C286" s="5"/>
      <c r="D286" s="5" t="s">
        <v>15</v>
      </c>
      <c r="E286" s="5"/>
      <c r="G286" s="5"/>
      <c r="H286" s="5"/>
    </row>
    <row r="287" spans="1:8" x14ac:dyDescent="0.2">
      <c r="A287" s="5"/>
      <c r="B287" s="5" t="s">
        <v>321</v>
      </c>
      <c r="C287" s="5"/>
      <c r="D287" s="5" t="s">
        <v>322</v>
      </c>
      <c r="E287" s="5"/>
      <c r="G287" s="5"/>
      <c r="H287" s="5"/>
    </row>
    <row r="288" spans="1:8" x14ac:dyDescent="0.2">
      <c r="A288" s="5" t="s">
        <v>445</v>
      </c>
      <c r="B288" s="5" t="s">
        <v>446</v>
      </c>
      <c r="C288" s="8">
        <v>45</v>
      </c>
      <c r="D288" s="5" t="s">
        <v>162</v>
      </c>
      <c r="E288" s="5"/>
      <c r="G288" s="5"/>
      <c r="H288" s="5"/>
    </row>
    <row r="289" spans="1:8" x14ac:dyDescent="0.2">
      <c r="A289" s="5" t="s">
        <v>447</v>
      </c>
      <c r="B289" s="5" t="s">
        <v>326</v>
      </c>
      <c r="C289" s="8">
        <v>14</v>
      </c>
      <c r="D289" s="5" t="s">
        <v>162</v>
      </c>
      <c r="E289" s="5"/>
      <c r="G289" s="5"/>
      <c r="H289" s="5"/>
    </row>
    <row r="290" spans="1:8" x14ac:dyDescent="0.2">
      <c r="A290" s="5" t="s">
        <v>448</v>
      </c>
      <c r="B290" s="5" t="s">
        <v>449</v>
      </c>
      <c r="C290" s="8">
        <v>18</v>
      </c>
      <c r="D290" s="5" t="s">
        <v>162</v>
      </c>
      <c r="E290" s="5"/>
      <c r="G290" s="5"/>
      <c r="H290" s="5"/>
    </row>
    <row r="291" spans="1:8" x14ac:dyDescent="0.2">
      <c r="A291" s="5" t="s">
        <v>450</v>
      </c>
      <c r="B291" s="5" t="s">
        <v>332</v>
      </c>
      <c r="C291" s="8">
        <v>19</v>
      </c>
      <c r="D291" s="5" t="s">
        <v>162</v>
      </c>
      <c r="E291" s="5"/>
      <c r="G291" s="5"/>
      <c r="H291" s="5"/>
    </row>
    <row r="292" spans="1:8" x14ac:dyDescent="0.2">
      <c r="A292" s="5" t="s">
        <v>451</v>
      </c>
      <c r="B292" s="5" t="s">
        <v>452</v>
      </c>
      <c r="C292" s="8">
        <v>15</v>
      </c>
      <c r="D292" s="5" t="s">
        <v>162</v>
      </c>
      <c r="E292" s="5"/>
      <c r="G292" s="5"/>
      <c r="H292" s="5"/>
    </row>
    <row r="293" spans="1:8" x14ac:dyDescent="0.2">
      <c r="A293" s="5" t="s">
        <v>453</v>
      </c>
      <c r="B293" s="5" t="s">
        <v>454</v>
      </c>
      <c r="C293" s="8">
        <v>4</v>
      </c>
      <c r="D293" s="5" t="s">
        <v>162</v>
      </c>
      <c r="E293" s="5"/>
      <c r="G293" s="5"/>
      <c r="H293" s="5"/>
    </row>
    <row r="294" spans="1:8" x14ac:dyDescent="0.2">
      <c r="A294" s="5" t="s">
        <v>455</v>
      </c>
      <c r="B294" s="5" t="s">
        <v>336</v>
      </c>
      <c r="C294" s="8">
        <v>9</v>
      </c>
      <c r="D294" s="5" t="s">
        <v>162</v>
      </c>
      <c r="E294" s="5"/>
      <c r="G294" s="5"/>
      <c r="H294" s="5"/>
    </row>
    <row r="295" spans="1:8" x14ac:dyDescent="0.2">
      <c r="A295" s="5" t="s">
        <v>456</v>
      </c>
      <c r="B295" s="5" t="s">
        <v>457</v>
      </c>
      <c r="C295" s="8">
        <v>4</v>
      </c>
      <c r="D295" s="5" t="s">
        <v>162</v>
      </c>
      <c r="E295" s="5"/>
      <c r="G295" s="5"/>
      <c r="H295" s="5"/>
    </row>
    <row r="296" spans="1:8" x14ac:dyDescent="0.2">
      <c r="A296" s="5"/>
      <c r="B296" s="5" t="s">
        <v>343</v>
      </c>
      <c r="C296" s="5"/>
      <c r="D296" s="5" t="s">
        <v>322</v>
      </c>
      <c r="E296" s="5"/>
      <c r="G296" s="5"/>
      <c r="H296" s="5"/>
    </row>
    <row r="297" spans="1:8" x14ac:dyDescent="0.2">
      <c r="A297" s="5" t="s">
        <v>458</v>
      </c>
      <c r="B297" s="5" t="s">
        <v>345</v>
      </c>
      <c r="C297" s="8">
        <v>45</v>
      </c>
      <c r="D297" s="5" t="s">
        <v>162</v>
      </c>
      <c r="E297" s="5"/>
      <c r="G297" s="5"/>
      <c r="H297" s="5"/>
    </row>
    <row r="298" spans="1:8" x14ac:dyDescent="0.2">
      <c r="A298" s="5" t="s">
        <v>459</v>
      </c>
      <c r="B298" s="5" t="s">
        <v>347</v>
      </c>
      <c r="C298" s="8">
        <v>14</v>
      </c>
      <c r="D298" s="5" t="s">
        <v>162</v>
      </c>
      <c r="E298" s="5"/>
      <c r="G298" s="5"/>
      <c r="H298" s="5"/>
    </row>
    <row r="299" spans="1:8" x14ac:dyDescent="0.2">
      <c r="A299" s="5" t="s">
        <v>460</v>
      </c>
      <c r="B299" s="5" t="s">
        <v>351</v>
      </c>
      <c r="C299" s="8">
        <v>18</v>
      </c>
      <c r="D299" s="5" t="s">
        <v>162</v>
      </c>
      <c r="E299" s="5"/>
      <c r="G299" s="5"/>
      <c r="H299" s="5"/>
    </row>
    <row r="300" spans="1:8" x14ac:dyDescent="0.2">
      <c r="A300" s="5" t="s">
        <v>461</v>
      </c>
      <c r="B300" s="5" t="s">
        <v>353</v>
      </c>
      <c r="C300" s="8">
        <v>19</v>
      </c>
      <c r="D300" s="5" t="s">
        <v>162</v>
      </c>
      <c r="E300" s="5"/>
      <c r="G300" s="5"/>
      <c r="H300" s="5"/>
    </row>
    <row r="301" spans="1:8" x14ac:dyDescent="0.2">
      <c r="A301" s="5" t="s">
        <v>462</v>
      </c>
      <c r="B301" s="5" t="s">
        <v>355</v>
      </c>
      <c r="C301" s="8">
        <v>15</v>
      </c>
      <c r="D301" s="5" t="s">
        <v>162</v>
      </c>
      <c r="E301" s="5"/>
      <c r="G301" s="5"/>
      <c r="H301" s="5"/>
    </row>
    <row r="302" spans="1:8" x14ac:dyDescent="0.2">
      <c r="A302" s="5" t="s">
        <v>463</v>
      </c>
      <c r="B302" s="5" t="s">
        <v>464</v>
      </c>
      <c r="C302" s="8">
        <v>4</v>
      </c>
      <c r="D302" s="5" t="s">
        <v>162</v>
      </c>
      <c r="E302" s="5"/>
      <c r="G302" s="5"/>
      <c r="H302" s="5"/>
    </row>
    <row r="303" spans="1:8" x14ac:dyDescent="0.2">
      <c r="A303" s="5" t="s">
        <v>465</v>
      </c>
      <c r="B303" s="5" t="s">
        <v>357</v>
      </c>
      <c r="C303" s="8">
        <v>9</v>
      </c>
      <c r="D303" s="5" t="s">
        <v>162</v>
      </c>
      <c r="E303" s="5"/>
      <c r="G303" s="5"/>
      <c r="H303" s="5"/>
    </row>
    <row r="304" spans="1:8" x14ac:dyDescent="0.2">
      <c r="A304" s="5" t="s">
        <v>466</v>
      </c>
      <c r="B304" s="5" t="s">
        <v>467</v>
      </c>
      <c r="C304" s="8">
        <v>4</v>
      </c>
      <c r="D304" s="5" t="s">
        <v>162</v>
      </c>
      <c r="E304" s="5"/>
      <c r="G304" s="5"/>
      <c r="H304" s="5"/>
    </row>
    <row r="305" spans="1:8" x14ac:dyDescent="0.2">
      <c r="A305" s="5"/>
      <c r="B305" s="5" t="s">
        <v>364</v>
      </c>
      <c r="C305" s="5"/>
      <c r="D305" s="5" t="s">
        <v>322</v>
      </c>
      <c r="E305" s="5"/>
      <c r="G305" s="5"/>
      <c r="H305" s="5"/>
    </row>
    <row r="306" spans="1:8" x14ac:dyDescent="0.2">
      <c r="A306" s="5"/>
      <c r="B306" s="5" t="s">
        <v>365</v>
      </c>
      <c r="C306" s="5"/>
      <c r="D306" s="5" t="s">
        <v>366</v>
      </c>
      <c r="E306" s="5"/>
      <c r="G306" s="5"/>
      <c r="H306" s="5"/>
    </row>
    <row r="307" spans="1:8" x14ac:dyDescent="0.2">
      <c r="A307" s="5" t="s">
        <v>468</v>
      </c>
      <c r="B307" s="5" t="s">
        <v>345</v>
      </c>
      <c r="C307" s="8">
        <v>20</v>
      </c>
      <c r="D307" s="5" t="s">
        <v>368</v>
      </c>
      <c r="E307" s="5"/>
      <c r="G307" s="5"/>
      <c r="H307" s="5"/>
    </row>
    <row r="308" spans="1:8" x14ac:dyDescent="0.2">
      <c r="A308" s="5" t="s">
        <v>469</v>
      </c>
      <c r="B308" s="5" t="s">
        <v>347</v>
      </c>
      <c r="C308" s="8">
        <v>8</v>
      </c>
      <c r="D308" s="5" t="s">
        <v>368</v>
      </c>
      <c r="E308" s="5"/>
      <c r="G308" s="5"/>
      <c r="H308" s="5"/>
    </row>
    <row r="309" spans="1:8" x14ac:dyDescent="0.2">
      <c r="A309" s="5" t="s">
        <v>470</v>
      </c>
      <c r="B309" s="5" t="s">
        <v>351</v>
      </c>
      <c r="C309" s="8">
        <v>21</v>
      </c>
      <c r="D309" s="5" t="s">
        <v>368</v>
      </c>
      <c r="E309" s="5"/>
      <c r="G309" s="5"/>
      <c r="H309" s="5"/>
    </row>
    <row r="310" spans="1:8" x14ac:dyDescent="0.2">
      <c r="A310" s="5" t="s">
        <v>471</v>
      </c>
      <c r="B310" s="5" t="s">
        <v>353</v>
      </c>
      <c r="C310" s="8">
        <v>32</v>
      </c>
      <c r="D310" s="5" t="s">
        <v>368</v>
      </c>
      <c r="E310" s="5"/>
      <c r="G310" s="5"/>
      <c r="H310" s="5"/>
    </row>
    <row r="311" spans="1:8" x14ac:dyDescent="0.2">
      <c r="A311" s="5" t="s">
        <v>472</v>
      </c>
      <c r="B311" s="5" t="s">
        <v>355</v>
      </c>
      <c r="C311" s="8">
        <v>56</v>
      </c>
      <c r="D311" s="5" t="s">
        <v>368</v>
      </c>
      <c r="E311" s="5"/>
      <c r="G311" s="5"/>
      <c r="H311" s="5"/>
    </row>
    <row r="312" spans="1:8" x14ac:dyDescent="0.2">
      <c r="A312" s="5" t="s">
        <v>473</v>
      </c>
      <c r="B312" s="5" t="s">
        <v>464</v>
      </c>
      <c r="C312" s="8">
        <v>16</v>
      </c>
      <c r="D312" s="5" t="s">
        <v>368</v>
      </c>
      <c r="E312" s="5"/>
      <c r="G312" s="5"/>
      <c r="H312" s="5"/>
    </row>
    <row r="313" spans="1:8" x14ac:dyDescent="0.2">
      <c r="A313" s="5" t="s">
        <v>474</v>
      </c>
      <c r="B313" s="5" t="s">
        <v>357</v>
      </c>
      <c r="C313" s="8">
        <v>41</v>
      </c>
      <c r="D313" s="5" t="s">
        <v>368</v>
      </c>
      <c r="E313" s="5"/>
      <c r="G313" s="5"/>
      <c r="H313" s="5"/>
    </row>
    <row r="314" spans="1:8" x14ac:dyDescent="0.2">
      <c r="A314" s="5" t="s">
        <v>475</v>
      </c>
      <c r="B314" s="5" t="s">
        <v>467</v>
      </c>
      <c r="C314" s="8">
        <v>21</v>
      </c>
      <c r="D314" s="5" t="s">
        <v>368</v>
      </c>
      <c r="E314" s="5"/>
      <c r="G314" s="5"/>
      <c r="H314" s="5"/>
    </row>
    <row r="315" spans="1:8" x14ac:dyDescent="0.2">
      <c r="A315" s="5"/>
      <c r="B315" s="5" t="s">
        <v>378</v>
      </c>
      <c r="C315" s="5"/>
      <c r="D315" s="5" t="s">
        <v>322</v>
      </c>
      <c r="E315" s="5"/>
      <c r="G315" s="5"/>
      <c r="H315" s="5"/>
    </row>
    <row r="316" spans="1:8" x14ac:dyDescent="0.2">
      <c r="A316" s="5"/>
      <c r="B316" s="5" t="s">
        <v>379</v>
      </c>
      <c r="C316" s="5"/>
      <c r="D316" s="5" t="s">
        <v>366</v>
      </c>
      <c r="E316" s="5"/>
      <c r="G316" s="5"/>
      <c r="H316" s="5"/>
    </row>
    <row r="317" spans="1:8" x14ac:dyDescent="0.2">
      <c r="A317" s="5" t="s">
        <v>476</v>
      </c>
      <c r="B317" s="5" t="s">
        <v>381</v>
      </c>
      <c r="C317" s="8">
        <v>2.4300000000000002</v>
      </c>
      <c r="D317" s="5" t="s">
        <v>382</v>
      </c>
      <c r="E317" s="5"/>
      <c r="G317" s="5"/>
      <c r="H317" s="5"/>
    </row>
    <row r="318" spans="1:8" x14ac:dyDescent="0.2">
      <c r="A318" s="5" t="s">
        <v>477</v>
      </c>
      <c r="B318" s="5" t="s">
        <v>386</v>
      </c>
      <c r="C318" s="8">
        <v>0.35</v>
      </c>
      <c r="D318" s="5" t="s">
        <v>382</v>
      </c>
      <c r="E318" s="5"/>
      <c r="G318" s="5"/>
      <c r="H318" s="5"/>
    </row>
    <row r="319" spans="1:8" x14ac:dyDescent="0.2">
      <c r="A319" s="5" t="s">
        <v>478</v>
      </c>
      <c r="B319" s="5" t="s">
        <v>390</v>
      </c>
      <c r="C319" s="8">
        <v>0.37</v>
      </c>
      <c r="D319" s="5" t="s">
        <v>382</v>
      </c>
      <c r="E319" s="5"/>
      <c r="G319" s="5"/>
      <c r="H319" s="5"/>
    </row>
    <row r="320" spans="1:8" x14ac:dyDescent="0.2">
      <c r="A320" s="5" t="s">
        <v>479</v>
      </c>
      <c r="B320" s="5" t="s">
        <v>392</v>
      </c>
      <c r="C320" s="8">
        <v>2.46</v>
      </c>
      <c r="D320" s="5" t="s">
        <v>382</v>
      </c>
      <c r="E320" s="5"/>
      <c r="G320" s="5"/>
      <c r="H320" s="5"/>
    </row>
    <row r="321" spans="1:8" x14ac:dyDescent="0.2">
      <c r="A321" s="5" t="s">
        <v>480</v>
      </c>
      <c r="B321" s="5" t="s">
        <v>394</v>
      </c>
      <c r="C321" s="8">
        <v>1.67</v>
      </c>
      <c r="D321" s="5" t="s">
        <v>382</v>
      </c>
      <c r="E321" s="5"/>
      <c r="G321" s="5"/>
      <c r="H321" s="5"/>
    </row>
    <row r="322" spans="1:8" x14ac:dyDescent="0.2">
      <c r="A322" s="5" t="s">
        <v>481</v>
      </c>
      <c r="B322" s="5" t="s">
        <v>482</v>
      </c>
      <c r="C322" s="8">
        <v>0.9</v>
      </c>
      <c r="D322" s="5" t="s">
        <v>382</v>
      </c>
      <c r="E322" s="5"/>
      <c r="G322" s="5"/>
      <c r="H322" s="5"/>
    </row>
    <row r="323" spans="1:8" x14ac:dyDescent="0.2">
      <c r="A323" s="5" t="s">
        <v>483</v>
      </c>
      <c r="B323" s="5" t="s">
        <v>396</v>
      </c>
      <c r="C323" s="8">
        <v>1.31</v>
      </c>
      <c r="D323" s="5" t="s">
        <v>382</v>
      </c>
      <c r="E323" s="5"/>
      <c r="G323" s="5"/>
      <c r="H323" s="5"/>
    </row>
    <row r="324" spans="1:8" x14ac:dyDescent="0.2">
      <c r="A324" s="5" t="s">
        <v>484</v>
      </c>
      <c r="B324" s="5" t="s">
        <v>485</v>
      </c>
      <c r="C324" s="8">
        <v>1.03</v>
      </c>
      <c r="D324" s="5" t="s">
        <v>382</v>
      </c>
      <c r="E324" s="5"/>
      <c r="G324" s="5"/>
      <c r="H324" s="5"/>
    </row>
    <row r="325" spans="1:8" x14ac:dyDescent="0.2">
      <c r="A325" s="5"/>
      <c r="B325" s="5" t="s">
        <v>401</v>
      </c>
      <c r="C325" s="5"/>
      <c r="D325" s="5" t="s">
        <v>322</v>
      </c>
      <c r="E325" s="5"/>
      <c r="G325" s="5"/>
      <c r="H325" s="5"/>
    </row>
    <row r="326" spans="1:8" x14ac:dyDescent="0.2">
      <c r="A326" s="5" t="s">
        <v>486</v>
      </c>
      <c r="B326" s="5" t="s">
        <v>403</v>
      </c>
      <c r="C326" s="8">
        <v>20</v>
      </c>
      <c r="D326" s="5" t="s">
        <v>368</v>
      </c>
      <c r="E326" s="5"/>
      <c r="G326" s="5"/>
      <c r="H326" s="5"/>
    </row>
    <row r="327" spans="1:8" x14ac:dyDescent="0.2">
      <c r="A327" s="5" t="s">
        <v>487</v>
      </c>
      <c r="B327" s="5" t="s">
        <v>405</v>
      </c>
      <c r="C327" s="8">
        <v>8</v>
      </c>
      <c r="D327" s="5" t="s">
        <v>368</v>
      </c>
      <c r="E327" s="5"/>
      <c r="G327" s="5"/>
      <c r="H327" s="5"/>
    </row>
    <row r="328" spans="1:8" x14ac:dyDescent="0.2">
      <c r="A328" s="5" t="s">
        <v>488</v>
      </c>
      <c r="B328" s="5" t="s">
        <v>409</v>
      </c>
      <c r="C328" s="8">
        <v>21</v>
      </c>
      <c r="D328" s="5" t="s">
        <v>368</v>
      </c>
      <c r="E328" s="5"/>
      <c r="G328" s="5"/>
      <c r="H328" s="5"/>
    </row>
    <row r="329" spans="1:8" x14ac:dyDescent="0.2">
      <c r="A329" s="5" t="s">
        <v>489</v>
      </c>
      <c r="B329" s="5" t="s">
        <v>411</v>
      </c>
      <c r="C329" s="8">
        <v>32</v>
      </c>
      <c r="D329" s="5" t="s">
        <v>368</v>
      </c>
      <c r="E329" s="5"/>
      <c r="G329" s="5"/>
      <c r="H329" s="5"/>
    </row>
    <row r="330" spans="1:8" x14ac:dyDescent="0.2">
      <c r="A330" s="5" t="s">
        <v>490</v>
      </c>
      <c r="B330" s="5" t="s">
        <v>413</v>
      </c>
      <c r="C330" s="8">
        <v>56</v>
      </c>
      <c r="D330" s="5" t="s">
        <v>368</v>
      </c>
      <c r="E330" s="5"/>
      <c r="G330" s="5"/>
      <c r="H330" s="5"/>
    </row>
    <row r="331" spans="1:8" x14ac:dyDescent="0.2">
      <c r="A331" s="5" t="s">
        <v>491</v>
      </c>
      <c r="B331" s="5" t="s">
        <v>492</v>
      </c>
      <c r="C331" s="8">
        <v>16</v>
      </c>
      <c r="D331" s="5" t="s">
        <v>368</v>
      </c>
      <c r="E331" s="5"/>
      <c r="G331" s="5"/>
      <c r="H331" s="5"/>
    </row>
    <row r="332" spans="1:8" x14ac:dyDescent="0.2">
      <c r="A332" s="5" t="s">
        <v>493</v>
      </c>
      <c r="B332" s="5" t="s">
        <v>415</v>
      </c>
      <c r="C332" s="8">
        <v>41</v>
      </c>
      <c r="D332" s="5" t="s">
        <v>368</v>
      </c>
      <c r="E332" s="5"/>
      <c r="G332" s="5"/>
      <c r="H332" s="5"/>
    </row>
    <row r="333" spans="1:8" x14ac:dyDescent="0.2">
      <c r="A333" s="5" t="s">
        <v>494</v>
      </c>
      <c r="B333" s="5" t="s">
        <v>495</v>
      </c>
      <c r="C333" s="8">
        <v>21</v>
      </c>
      <c r="D333" s="5" t="s">
        <v>368</v>
      </c>
      <c r="E333" s="5"/>
      <c r="G333" s="5"/>
      <c r="H333" s="5"/>
    </row>
    <row r="334" spans="1:8" x14ac:dyDescent="0.2">
      <c r="A334" s="5"/>
      <c r="B334" s="5" t="s">
        <v>422</v>
      </c>
      <c r="C334" s="5"/>
      <c r="D334" s="5" t="s">
        <v>322</v>
      </c>
      <c r="E334" s="5"/>
      <c r="G334" s="5"/>
      <c r="H334" s="5"/>
    </row>
    <row r="335" spans="1:8" x14ac:dyDescent="0.2">
      <c r="A335" s="5"/>
      <c r="B335" s="5" t="s">
        <v>423</v>
      </c>
      <c r="C335" s="5"/>
      <c r="D335" s="5" t="s">
        <v>366</v>
      </c>
      <c r="E335" s="5"/>
      <c r="G335" s="5"/>
      <c r="H335" s="5"/>
    </row>
    <row r="336" spans="1:8" x14ac:dyDescent="0.2">
      <c r="A336" s="5" t="s">
        <v>496</v>
      </c>
      <c r="B336" s="5" t="s">
        <v>345</v>
      </c>
      <c r="C336" s="8">
        <v>45</v>
      </c>
      <c r="D336" s="5" t="s">
        <v>162</v>
      </c>
      <c r="E336" s="5"/>
      <c r="G336" s="5"/>
      <c r="H336" s="5"/>
    </row>
    <row r="337" spans="1:8" x14ac:dyDescent="0.2">
      <c r="A337" s="5" t="s">
        <v>497</v>
      </c>
      <c r="B337" s="5" t="s">
        <v>347</v>
      </c>
      <c r="C337" s="8">
        <v>14</v>
      </c>
      <c r="D337" s="5" t="s">
        <v>162</v>
      </c>
      <c r="E337" s="5"/>
      <c r="G337" s="5"/>
      <c r="H337" s="5"/>
    </row>
    <row r="338" spans="1:8" x14ac:dyDescent="0.2">
      <c r="A338" s="5" t="s">
        <v>498</v>
      </c>
      <c r="B338" s="5" t="s">
        <v>351</v>
      </c>
      <c r="C338" s="8">
        <v>18</v>
      </c>
      <c r="D338" s="5" t="s">
        <v>162</v>
      </c>
      <c r="E338" s="5"/>
      <c r="G338" s="5"/>
      <c r="H338" s="5"/>
    </row>
    <row r="339" spans="1:8" x14ac:dyDescent="0.2">
      <c r="A339" s="5" t="s">
        <v>499</v>
      </c>
      <c r="B339" s="5" t="s">
        <v>353</v>
      </c>
      <c r="C339" s="8">
        <v>19</v>
      </c>
      <c r="D339" s="5" t="s">
        <v>162</v>
      </c>
      <c r="E339" s="5"/>
      <c r="G339" s="5"/>
      <c r="H339" s="5"/>
    </row>
    <row r="340" spans="1:8" x14ac:dyDescent="0.2">
      <c r="A340" s="5" t="s">
        <v>500</v>
      </c>
      <c r="B340" s="5" t="s">
        <v>355</v>
      </c>
      <c r="C340" s="8">
        <v>15</v>
      </c>
      <c r="D340" s="5" t="s">
        <v>162</v>
      </c>
      <c r="E340" s="5"/>
      <c r="G340" s="5"/>
      <c r="H340" s="5"/>
    </row>
    <row r="341" spans="1:8" x14ac:dyDescent="0.2">
      <c r="A341" s="5" t="s">
        <v>501</v>
      </c>
      <c r="B341" s="5" t="s">
        <v>464</v>
      </c>
      <c r="C341" s="8">
        <v>4</v>
      </c>
      <c r="D341" s="5" t="s">
        <v>162</v>
      </c>
      <c r="E341" s="5"/>
      <c r="G341" s="5"/>
      <c r="H341" s="5"/>
    </row>
    <row r="342" spans="1:8" x14ac:dyDescent="0.2">
      <c r="A342" s="5" t="s">
        <v>502</v>
      </c>
      <c r="B342" s="5" t="s">
        <v>357</v>
      </c>
      <c r="C342" s="8">
        <v>9</v>
      </c>
      <c r="D342" s="5" t="s">
        <v>162</v>
      </c>
      <c r="E342" s="5"/>
      <c r="G342" s="5"/>
      <c r="H342" s="5"/>
    </row>
    <row r="343" spans="1:8" x14ac:dyDescent="0.2">
      <c r="A343" s="5" t="s">
        <v>503</v>
      </c>
      <c r="B343" s="5" t="s">
        <v>467</v>
      </c>
      <c r="C343" s="8">
        <v>4</v>
      </c>
      <c r="D343" s="5" t="s">
        <v>162</v>
      </c>
      <c r="E343" s="5"/>
      <c r="G343" s="5"/>
      <c r="H343" s="5"/>
    </row>
    <row r="344" spans="1:8" x14ac:dyDescent="0.2">
      <c r="A344" s="5"/>
      <c r="B344" s="5" t="s">
        <v>434</v>
      </c>
      <c r="C344" s="5"/>
      <c r="D344" s="5" t="s">
        <v>366</v>
      </c>
      <c r="E344" s="5"/>
      <c r="G344" s="5"/>
      <c r="H344" s="5"/>
    </row>
    <row r="345" spans="1:8" x14ac:dyDescent="0.2">
      <c r="A345" s="5" t="s">
        <v>504</v>
      </c>
      <c r="B345" s="5" t="s">
        <v>345</v>
      </c>
      <c r="C345" s="8">
        <v>45</v>
      </c>
      <c r="D345" s="5" t="s">
        <v>162</v>
      </c>
      <c r="E345" s="5"/>
      <c r="G345" s="5"/>
      <c r="H345" s="5"/>
    </row>
    <row r="346" spans="1:8" x14ac:dyDescent="0.2">
      <c r="A346" s="5" t="s">
        <v>505</v>
      </c>
      <c r="B346" s="5" t="s">
        <v>347</v>
      </c>
      <c r="C346" s="8">
        <v>14</v>
      </c>
      <c r="D346" s="5" t="s">
        <v>162</v>
      </c>
      <c r="E346" s="5"/>
      <c r="G346" s="5"/>
      <c r="H346" s="5"/>
    </row>
    <row r="347" spans="1:8" x14ac:dyDescent="0.2">
      <c r="A347" s="5" t="s">
        <v>506</v>
      </c>
      <c r="B347" s="5" t="s">
        <v>351</v>
      </c>
      <c r="C347" s="8">
        <v>18</v>
      </c>
      <c r="D347" s="5" t="s">
        <v>162</v>
      </c>
      <c r="E347" s="5"/>
      <c r="G347" s="5"/>
      <c r="H347" s="5"/>
    </row>
    <row r="348" spans="1:8" x14ac:dyDescent="0.2">
      <c r="A348" s="5" t="s">
        <v>507</v>
      </c>
      <c r="B348" s="5" t="s">
        <v>353</v>
      </c>
      <c r="C348" s="8">
        <v>19</v>
      </c>
      <c r="D348" s="5" t="s">
        <v>162</v>
      </c>
      <c r="E348" s="5"/>
      <c r="G348" s="5"/>
      <c r="H348" s="5"/>
    </row>
    <row r="349" spans="1:8" x14ac:dyDescent="0.2">
      <c r="A349" s="5" t="s">
        <v>508</v>
      </c>
      <c r="B349" s="5" t="s">
        <v>355</v>
      </c>
      <c r="C349" s="8">
        <v>15</v>
      </c>
      <c r="D349" s="5" t="s">
        <v>162</v>
      </c>
      <c r="E349" s="5"/>
      <c r="G349" s="5"/>
      <c r="H349" s="5"/>
    </row>
    <row r="350" spans="1:8" x14ac:dyDescent="0.2">
      <c r="A350" s="5" t="s">
        <v>509</v>
      </c>
      <c r="B350" s="5" t="s">
        <v>464</v>
      </c>
      <c r="C350" s="8">
        <v>4</v>
      </c>
      <c r="D350" s="5" t="s">
        <v>162</v>
      </c>
      <c r="E350" s="5"/>
      <c r="G350" s="5"/>
      <c r="H350" s="5"/>
    </row>
    <row r="351" spans="1:8" x14ac:dyDescent="0.2">
      <c r="A351" s="5" t="s">
        <v>510</v>
      </c>
      <c r="B351" s="5" t="s">
        <v>357</v>
      </c>
      <c r="C351" s="8">
        <v>9</v>
      </c>
      <c r="D351" s="5" t="s">
        <v>162</v>
      </c>
      <c r="E351" s="5"/>
      <c r="G351" s="5"/>
      <c r="H351" s="5"/>
    </row>
    <row r="352" spans="1:8" x14ac:dyDescent="0.2">
      <c r="A352" s="5" t="s">
        <v>511</v>
      </c>
      <c r="B352" s="5" t="s">
        <v>467</v>
      </c>
      <c r="C352" s="8">
        <v>4</v>
      </c>
      <c r="D352" s="5" t="s">
        <v>162</v>
      </c>
      <c r="E352" s="5"/>
      <c r="G352" s="5"/>
      <c r="H352" s="5"/>
    </row>
    <row r="353" spans="1:9" x14ac:dyDescent="0.2">
      <c r="B353" s="6" t="s">
        <v>512</v>
      </c>
      <c r="C353" s="6"/>
      <c r="D353" s="6"/>
      <c r="E353" s="6"/>
      <c r="F353" s="9">
        <f>ROUNDUP(SUM(H168:H353),0)</f>
        <v>0</v>
      </c>
      <c r="G353" s="6"/>
      <c r="I353" s="9">
        <f>PRODUCT(F353,G353)</f>
        <v>0</v>
      </c>
    </row>
    <row r="355" spans="1:9" x14ac:dyDescent="0.2">
      <c r="A355" s="6" t="s">
        <v>513</v>
      </c>
      <c r="B355" s="6" t="s">
        <v>514</v>
      </c>
    </row>
    <row r="356" spans="1:9" x14ac:dyDescent="0.2">
      <c r="A356" s="5"/>
      <c r="B356" s="5" t="s">
        <v>64</v>
      </c>
      <c r="C356" s="5"/>
      <c r="D356" s="5" t="s">
        <v>13</v>
      </c>
      <c r="E356" s="5"/>
      <c r="G356" s="5"/>
      <c r="H356" s="5"/>
    </row>
    <row r="357" spans="1:9" x14ac:dyDescent="0.2">
      <c r="A357" s="5" t="s">
        <v>515</v>
      </c>
      <c r="B357" s="5" t="s">
        <v>66</v>
      </c>
      <c r="C357" s="5"/>
      <c r="D357" s="5" t="s">
        <v>18</v>
      </c>
      <c r="E357" s="5"/>
      <c r="G357" s="5"/>
      <c r="H357" s="5"/>
    </row>
    <row r="358" spans="1:9" x14ac:dyDescent="0.2">
      <c r="A358" s="5" t="s">
        <v>516</v>
      </c>
      <c r="B358" s="5" t="s">
        <v>68</v>
      </c>
      <c r="C358" s="5"/>
      <c r="D358" s="5" t="s">
        <v>18</v>
      </c>
      <c r="E358" s="5"/>
      <c r="G358" s="5"/>
      <c r="H358" s="5"/>
    </row>
    <row r="359" spans="1:9" x14ac:dyDescent="0.2">
      <c r="A359" s="5"/>
      <c r="B359" s="5" t="s">
        <v>71</v>
      </c>
      <c r="C359" s="5"/>
      <c r="D359" s="5" t="s">
        <v>13</v>
      </c>
      <c r="E359" s="5"/>
      <c r="G359" s="5"/>
      <c r="H359" s="5"/>
    </row>
    <row r="360" spans="1:9" x14ac:dyDescent="0.2">
      <c r="A360" s="5" t="s">
        <v>517</v>
      </c>
      <c r="B360" s="5" t="s">
        <v>269</v>
      </c>
      <c r="C360" s="5"/>
      <c r="D360" s="5" t="s">
        <v>18</v>
      </c>
      <c r="E360" s="5"/>
      <c r="G360" s="5"/>
      <c r="H360" s="5"/>
    </row>
    <row r="361" spans="1:9" x14ac:dyDescent="0.2">
      <c r="A361" s="5" t="s">
        <v>518</v>
      </c>
      <c r="B361" s="5" t="s">
        <v>271</v>
      </c>
      <c r="C361" s="5"/>
      <c r="D361" s="5" t="s">
        <v>18</v>
      </c>
      <c r="E361" s="5"/>
      <c r="G361" s="5"/>
      <c r="H361" s="5"/>
    </row>
    <row r="362" spans="1:9" x14ac:dyDescent="0.2">
      <c r="A362" s="5"/>
      <c r="B362" s="5" t="s">
        <v>76</v>
      </c>
      <c r="C362" s="5"/>
      <c r="D362" s="5" t="s">
        <v>13</v>
      </c>
      <c r="E362" s="5"/>
      <c r="G362" s="5"/>
      <c r="H362" s="5"/>
    </row>
    <row r="363" spans="1:9" x14ac:dyDescent="0.2">
      <c r="A363" s="5"/>
      <c r="B363" s="5" t="s">
        <v>77</v>
      </c>
      <c r="C363" s="5"/>
      <c r="D363" s="5" t="s">
        <v>15</v>
      </c>
      <c r="E363" s="5"/>
      <c r="G363" s="5"/>
      <c r="H363" s="5"/>
    </row>
    <row r="364" spans="1:9" x14ac:dyDescent="0.2">
      <c r="A364" s="5" t="s">
        <v>519</v>
      </c>
      <c r="B364" s="5" t="s">
        <v>189</v>
      </c>
      <c r="C364" s="5"/>
      <c r="D364" s="5" t="s">
        <v>18</v>
      </c>
      <c r="E364" s="5"/>
      <c r="G364" s="5"/>
      <c r="H364" s="5"/>
    </row>
    <row r="365" spans="1:9" x14ac:dyDescent="0.2">
      <c r="A365" s="5" t="s">
        <v>520</v>
      </c>
      <c r="B365" s="5" t="s">
        <v>191</v>
      </c>
      <c r="C365" s="5"/>
      <c r="D365" s="5" t="s">
        <v>18</v>
      </c>
      <c r="E365" s="5"/>
      <c r="G365" s="5"/>
      <c r="H365" s="5"/>
    </row>
    <row r="366" spans="1:9" x14ac:dyDescent="0.2">
      <c r="A366" s="5" t="s">
        <v>521</v>
      </c>
      <c r="B366" s="5" t="s">
        <v>193</v>
      </c>
      <c r="C366" s="5"/>
      <c r="D366" s="5" t="s">
        <v>18</v>
      </c>
      <c r="E366" s="5"/>
      <c r="G366" s="5"/>
      <c r="H366" s="5"/>
    </row>
    <row r="367" spans="1:9" x14ac:dyDescent="0.2">
      <c r="A367" s="5" t="s">
        <v>522</v>
      </c>
      <c r="B367" s="5" t="s">
        <v>195</v>
      </c>
      <c r="C367" s="5"/>
      <c r="D367" s="5" t="s">
        <v>18</v>
      </c>
      <c r="E367" s="5"/>
      <c r="G367" s="5"/>
      <c r="H367" s="5"/>
    </row>
    <row r="368" spans="1:9" x14ac:dyDescent="0.2">
      <c r="A368" s="5" t="s">
        <v>523</v>
      </c>
      <c r="B368" s="5" t="s">
        <v>197</v>
      </c>
      <c r="C368" s="5"/>
      <c r="D368" s="5" t="s">
        <v>18</v>
      </c>
      <c r="E368" s="5"/>
      <c r="G368" s="5"/>
      <c r="H368" s="5"/>
    </row>
    <row r="369" spans="1:8" x14ac:dyDescent="0.2">
      <c r="A369" s="5" t="s">
        <v>524</v>
      </c>
      <c r="B369" s="5" t="s">
        <v>199</v>
      </c>
      <c r="C369" s="5"/>
      <c r="D369" s="5" t="s">
        <v>18</v>
      </c>
      <c r="E369" s="5"/>
      <c r="G369" s="5"/>
      <c r="H369" s="5"/>
    </row>
    <row r="370" spans="1:8" x14ac:dyDescent="0.2">
      <c r="A370" s="5" t="s">
        <v>525</v>
      </c>
      <c r="B370" s="5" t="s">
        <v>201</v>
      </c>
      <c r="C370" s="5"/>
      <c r="D370" s="5" t="s">
        <v>18</v>
      </c>
      <c r="E370" s="5"/>
      <c r="G370" s="5"/>
      <c r="H370" s="5"/>
    </row>
    <row r="371" spans="1:8" x14ac:dyDescent="0.2">
      <c r="A371" s="5" t="s">
        <v>526</v>
      </c>
      <c r="B371" s="5" t="s">
        <v>203</v>
      </c>
      <c r="C371" s="5"/>
      <c r="D371" s="5" t="s">
        <v>18</v>
      </c>
      <c r="E371" s="5"/>
      <c r="G371" s="5"/>
      <c r="H371" s="5"/>
    </row>
    <row r="372" spans="1:8" x14ac:dyDescent="0.2">
      <c r="A372" s="5" t="s">
        <v>527</v>
      </c>
      <c r="B372" s="5" t="s">
        <v>205</v>
      </c>
      <c r="C372" s="5"/>
      <c r="D372" s="5" t="s">
        <v>18</v>
      </c>
      <c r="E372" s="5"/>
      <c r="G372" s="5"/>
      <c r="H372" s="5"/>
    </row>
    <row r="373" spans="1:8" x14ac:dyDescent="0.2">
      <c r="A373" s="5" t="s">
        <v>528</v>
      </c>
      <c r="B373" s="5" t="s">
        <v>91</v>
      </c>
      <c r="C373" s="5"/>
      <c r="D373" s="5" t="s">
        <v>18</v>
      </c>
      <c r="E373" s="5"/>
      <c r="G373" s="5"/>
      <c r="H373" s="5"/>
    </row>
    <row r="374" spans="1:8" x14ac:dyDescent="0.2">
      <c r="A374" s="5" t="s">
        <v>529</v>
      </c>
      <c r="B374" s="5" t="s">
        <v>208</v>
      </c>
      <c r="C374" s="5"/>
      <c r="D374" s="5" t="s">
        <v>18</v>
      </c>
      <c r="E374" s="5"/>
      <c r="G374" s="5"/>
      <c r="H374" s="5"/>
    </row>
    <row r="375" spans="1:8" x14ac:dyDescent="0.2">
      <c r="A375" s="5"/>
      <c r="B375" s="5" t="s">
        <v>94</v>
      </c>
      <c r="C375" s="5"/>
      <c r="D375" s="5" t="s">
        <v>13</v>
      </c>
      <c r="E375" s="5"/>
      <c r="G375" s="5"/>
      <c r="H375" s="5"/>
    </row>
    <row r="376" spans="1:8" x14ac:dyDescent="0.2">
      <c r="A376" s="5" t="s">
        <v>530</v>
      </c>
      <c r="B376" s="5" t="s">
        <v>111</v>
      </c>
      <c r="C376" s="8">
        <v>1</v>
      </c>
      <c r="D376" s="5" t="s">
        <v>97</v>
      </c>
      <c r="E376" s="5"/>
      <c r="G376" s="5"/>
      <c r="H376" s="5"/>
    </row>
    <row r="377" spans="1:8" x14ac:dyDescent="0.2">
      <c r="A377" s="5" t="s">
        <v>531</v>
      </c>
      <c r="B377" s="5" t="s">
        <v>113</v>
      </c>
      <c r="C377" s="8">
        <v>1</v>
      </c>
      <c r="D377" s="5" t="s">
        <v>97</v>
      </c>
      <c r="E377" s="5"/>
      <c r="G377" s="5"/>
      <c r="H377" s="5"/>
    </row>
    <row r="378" spans="1:8" x14ac:dyDescent="0.2">
      <c r="A378" s="5" t="s">
        <v>532</v>
      </c>
      <c r="B378" s="5" t="s">
        <v>212</v>
      </c>
      <c r="C378" s="8">
        <v>1</v>
      </c>
      <c r="D378" s="5" t="s">
        <v>97</v>
      </c>
      <c r="E378" s="5"/>
      <c r="G378" s="5"/>
      <c r="H378" s="5"/>
    </row>
    <row r="379" spans="1:8" x14ac:dyDescent="0.2">
      <c r="A379" s="5" t="s">
        <v>533</v>
      </c>
      <c r="B379" s="5" t="s">
        <v>214</v>
      </c>
      <c r="C379" s="8">
        <v>1</v>
      </c>
      <c r="D379" s="5" t="s">
        <v>97</v>
      </c>
      <c r="E379" s="5"/>
      <c r="G379" s="5"/>
      <c r="H379" s="5"/>
    </row>
    <row r="380" spans="1:8" x14ac:dyDescent="0.2">
      <c r="A380" s="5" t="s">
        <v>534</v>
      </c>
      <c r="B380" s="5" t="s">
        <v>216</v>
      </c>
      <c r="C380" s="8">
        <v>1</v>
      </c>
      <c r="D380" s="5" t="s">
        <v>97</v>
      </c>
      <c r="E380" s="5"/>
      <c r="G380" s="5"/>
      <c r="H380" s="5"/>
    </row>
    <row r="381" spans="1:8" x14ac:dyDescent="0.2">
      <c r="A381" s="5" t="s">
        <v>535</v>
      </c>
      <c r="B381" s="5" t="s">
        <v>218</v>
      </c>
      <c r="C381" s="8">
        <v>1</v>
      </c>
      <c r="D381" s="5" t="s">
        <v>97</v>
      </c>
      <c r="E381" s="5"/>
      <c r="G381" s="5"/>
      <c r="H381" s="5"/>
    </row>
    <row r="382" spans="1:8" x14ac:dyDescent="0.2">
      <c r="A382" s="5" t="s">
        <v>536</v>
      </c>
      <c r="B382" s="5" t="s">
        <v>220</v>
      </c>
      <c r="C382" s="8">
        <v>1</v>
      </c>
      <c r="D382" s="5" t="s">
        <v>97</v>
      </c>
      <c r="E382" s="5"/>
      <c r="G382" s="5"/>
      <c r="H382" s="5"/>
    </row>
    <row r="383" spans="1:8" x14ac:dyDescent="0.2">
      <c r="A383" s="5" t="s">
        <v>537</v>
      </c>
      <c r="B383" s="5" t="s">
        <v>121</v>
      </c>
      <c r="C383" s="8">
        <v>1</v>
      </c>
      <c r="D383" s="5" t="s">
        <v>97</v>
      </c>
      <c r="E383" s="5"/>
      <c r="G383" s="5"/>
      <c r="H383" s="5"/>
    </row>
    <row r="384" spans="1:8" x14ac:dyDescent="0.2">
      <c r="A384" s="5" t="s">
        <v>538</v>
      </c>
      <c r="B384" s="5" t="s">
        <v>223</v>
      </c>
      <c r="C384" s="8">
        <v>1</v>
      </c>
      <c r="D384" s="5" t="s">
        <v>97</v>
      </c>
      <c r="E384" s="5"/>
      <c r="G384" s="5"/>
      <c r="H384" s="5"/>
    </row>
    <row r="385" spans="1:8" x14ac:dyDescent="0.2">
      <c r="A385" s="5" t="s">
        <v>539</v>
      </c>
      <c r="B385" s="5" t="s">
        <v>225</v>
      </c>
      <c r="C385" s="8">
        <v>1</v>
      </c>
      <c r="D385" s="5" t="s">
        <v>97</v>
      </c>
      <c r="E385" s="5"/>
      <c r="G385" s="5"/>
      <c r="H385" s="5"/>
    </row>
    <row r="386" spans="1:8" x14ac:dyDescent="0.2">
      <c r="A386" s="5" t="s">
        <v>540</v>
      </c>
      <c r="B386" s="5" t="s">
        <v>227</v>
      </c>
      <c r="C386" s="8">
        <v>1</v>
      </c>
      <c r="D386" s="5" t="s">
        <v>97</v>
      </c>
      <c r="E386" s="5"/>
      <c r="G386" s="5"/>
      <c r="H386" s="5"/>
    </row>
    <row r="387" spans="1:8" x14ac:dyDescent="0.2">
      <c r="A387" s="5" t="s">
        <v>541</v>
      </c>
      <c r="B387" s="5" t="s">
        <v>229</v>
      </c>
      <c r="C387" s="8">
        <v>1</v>
      </c>
      <c r="D387" s="5" t="s">
        <v>97</v>
      </c>
      <c r="E387" s="5"/>
      <c r="G387" s="5"/>
      <c r="H387" s="5"/>
    </row>
    <row r="388" spans="1:8" x14ac:dyDescent="0.2">
      <c r="A388" s="5" t="s">
        <v>542</v>
      </c>
      <c r="B388" s="5" t="s">
        <v>123</v>
      </c>
      <c r="C388" s="8">
        <v>1</v>
      </c>
      <c r="D388" s="5" t="s">
        <v>97</v>
      </c>
      <c r="E388" s="5"/>
      <c r="G388" s="5"/>
      <c r="H388" s="5"/>
    </row>
    <row r="389" spans="1:8" x14ac:dyDescent="0.2">
      <c r="A389" s="5" t="s">
        <v>543</v>
      </c>
      <c r="B389" s="5" t="s">
        <v>232</v>
      </c>
      <c r="C389" s="8">
        <v>1</v>
      </c>
      <c r="D389" s="5" t="s">
        <v>97</v>
      </c>
      <c r="E389" s="5"/>
      <c r="G389" s="5"/>
      <c r="H389" s="5"/>
    </row>
    <row r="390" spans="1:8" x14ac:dyDescent="0.2">
      <c r="A390" s="5" t="s">
        <v>544</v>
      </c>
      <c r="B390" s="5" t="s">
        <v>234</v>
      </c>
      <c r="C390" s="8">
        <v>1</v>
      </c>
      <c r="D390" s="5" t="s">
        <v>97</v>
      </c>
      <c r="E390" s="5"/>
      <c r="G390" s="5"/>
      <c r="H390" s="5"/>
    </row>
    <row r="391" spans="1:8" x14ac:dyDescent="0.2">
      <c r="A391" s="5" t="s">
        <v>545</v>
      </c>
      <c r="B391" s="5" t="s">
        <v>236</v>
      </c>
      <c r="C391" s="8">
        <v>1</v>
      </c>
      <c r="D391" s="5" t="s">
        <v>97</v>
      </c>
      <c r="E391" s="5"/>
      <c r="G391" s="5"/>
      <c r="H391" s="5"/>
    </row>
    <row r="392" spans="1:8" x14ac:dyDescent="0.2">
      <c r="A392" s="5" t="s">
        <v>546</v>
      </c>
      <c r="B392" s="5" t="s">
        <v>238</v>
      </c>
      <c r="C392" s="8">
        <v>1</v>
      </c>
      <c r="D392" s="5" t="s">
        <v>97</v>
      </c>
      <c r="E392" s="5"/>
      <c r="G392" s="5"/>
      <c r="H392" s="5"/>
    </row>
    <row r="393" spans="1:8" x14ac:dyDescent="0.2">
      <c r="A393" s="5" t="s">
        <v>547</v>
      </c>
      <c r="B393" s="5" t="s">
        <v>240</v>
      </c>
      <c r="C393" s="8">
        <v>1</v>
      </c>
      <c r="D393" s="5" t="s">
        <v>97</v>
      </c>
      <c r="E393" s="5"/>
      <c r="G393" s="5"/>
      <c r="H393" s="5"/>
    </row>
    <row r="394" spans="1:8" x14ac:dyDescent="0.2">
      <c r="A394" s="5"/>
      <c r="B394" s="5" t="s">
        <v>135</v>
      </c>
      <c r="C394" s="5"/>
      <c r="D394" s="5" t="s">
        <v>13</v>
      </c>
      <c r="E394" s="5"/>
      <c r="G394" s="5"/>
      <c r="H394" s="5"/>
    </row>
    <row r="395" spans="1:8" x14ac:dyDescent="0.2">
      <c r="A395" s="5" t="s">
        <v>548</v>
      </c>
      <c r="B395" s="5" t="s">
        <v>549</v>
      </c>
      <c r="C395" s="5"/>
      <c r="D395" s="5" t="s">
        <v>18</v>
      </c>
      <c r="E395" s="5"/>
      <c r="G395" s="5"/>
      <c r="H395" s="5"/>
    </row>
    <row r="396" spans="1:8" x14ac:dyDescent="0.2">
      <c r="A396" s="5"/>
      <c r="B396" s="5" t="s">
        <v>38</v>
      </c>
      <c r="C396" s="5"/>
      <c r="D396" s="5" t="s">
        <v>13</v>
      </c>
      <c r="E396" s="5"/>
      <c r="G396" s="5"/>
      <c r="H396" s="5"/>
    </row>
    <row r="397" spans="1:8" x14ac:dyDescent="0.2">
      <c r="A397" s="5"/>
      <c r="B397" s="5" t="s">
        <v>550</v>
      </c>
      <c r="C397" s="5"/>
      <c r="D397" s="5" t="s">
        <v>15</v>
      </c>
      <c r="E397" s="5"/>
      <c r="G397" s="5"/>
      <c r="H397" s="5"/>
    </row>
    <row r="398" spans="1:8" x14ac:dyDescent="0.2">
      <c r="A398" s="5"/>
      <c r="B398" s="5" t="s">
        <v>551</v>
      </c>
      <c r="C398" s="5"/>
      <c r="D398" s="5" t="s">
        <v>322</v>
      </c>
      <c r="E398" s="5"/>
      <c r="G398" s="5"/>
      <c r="H398" s="5"/>
    </row>
    <row r="399" spans="1:8" x14ac:dyDescent="0.2">
      <c r="A399" s="5" t="s">
        <v>552</v>
      </c>
      <c r="B399" s="5" t="s">
        <v>553</v>
      </c>
      <c r="C399" s="8">
        <v>156</v>
      </c>
      <c r="D399" s="5" t="s">
        <v>368</v>
      </c>
      <c r="E399" s="5"/>
      <c r="G399" s="5"/>
      <c r="H399" s="5"/>
    </row>
    <row r="400" spans="1:8" x14ac:dyDescent="0.2">
      <c r="A400" s="5" t="s">
        <v>554</v>
      </c>
      <c r="B400" s="5" t="s">
        <v>555</v>
      </c>
      <c r="C400" s="8">
        <v>53</v>
      </c>
      <c r="D400" s="5" t="s">
        <v>368</v>
      </c>
      <c r="E400" s="5"/>
      <c r="G400" s="5"/>
      <c r="H400" s="5"/>
    </row>
    <row r="401" spans="1:9" x14ac:dyDescent="0.2">
      <c r="A401" s="5"/>
      <c r="B401" s="5" t="s">
        <v>556</v>
      </c>
      <c r="C401" s="5"/>
      <c r="D401" s="5" t="s">
        <v>322</v>
      </c>
      <c r="E401" s="5"/>
      <c r="G401" s="5"/>
      <c r="H401" s="5"/>
    </row>
    <row r="402" spans="1:9" x14ac:dyDescent="0.2">
      <c r="A402" s="5" t="s">
        <v>557</v>
      </c>
      <c r="B402" s="5" t="s">
        <v>558</v>
      </c>
      <c r="C402" s="8">
        <v>29</v>
      </c>
      <c r="D402" s="5" t="s">
        <v>368</v>
      </c>
      <c r="E402" s="5"/>
      <c r="G402" s="5"/>
      <c r="H402" s="5"/>
    </row>
    <row r="403" spans="1:9" x14ac:dyDescent="0.2">
      <c r="A403" s="5"/>
      <c r="B403" s="5" t="s">
        <v>53</v>
      </c>
      <c r="C403" s="5"/>
      <c r="D403" s="5" t="s">
        <v>13</v>
      </c>
      <c r="E403" s="5"/>
      <c r="G403" s="5"/>
      <c r="H403" s="5"/>
    </row>
    <row r="404" spans="1:9" x14ac:dyDescent="0.2">
      <c r="A404" s="5"/>
      <c r="B404" s="5" t="s">
        <v>550</v>
      </c>
      <c r="C404" s="5"/>
      <c r="D404" s="5" t="s">
        <v>15</v>
      </c>
      <c r="E404" s="5"/>
      <c r="G404" s="5"/>
      <c r="H404" s="5"/>
    </row>
    <row r="405" spans="1:9" x14ac:dyDescent="0.2">
      <c r="A405" s="5"/>
      <c r="B405" s="5" t="s">
        <v>551</v>
      </c>
      <c r="C405" s="5"/>
      <c r="D405" s="5" t="s">
        <v>322</v>
      </c>
      <c r="E405" s="5"/>
      <c r="G405" s="5"/>
      <c r="H405" s="5"/>
    </row>
    <row r="406" spans="1:9" x14ac:dyDescent="0.2">
      <c r="A406" s="5" t="s">
        <v>559</v>
      </c>
      <c r="B406" s="5" t="s">
        <v>553</v>
      </c>
      <c r="C406" s="8">
        <v>77</v>
      </c>
      <c r="D406" s="5" t="s">
        <v>368</v>
      </c>
      <c r="E406" s="5"/>
      <c r="G406" s="5"/>
      <c r="H406" s="5"/>
    </row>
    <row r="407" spans="1:9" x14ac:dyDescent="0.2">
      <c r="A407" s="5" t="s">
        <v>560</v>
      </c>
      <c r="B407" s="5" t="s">
        <v>555</v>
      </c>
      <c r="C407" s="8">
        <v>63</v>
      </c>
      <c r="D407" s="5" t="s">
        <v>368</v>
      </c>
      <c r="E407" s="5"/>
      <c r="G407" s="5"/>
      <c r="H407" s="5"/>
    </row>
    <row r="408" spans="1:9" x14ac:dyDescent="0.2">
      <c r="A408" s="5"/>
      <c r="B408" s="5" t="s">
        <v>556</v>
      </c>
      <c r="C408" s="5"/>
      <c r="D408" s="5" t="s">
        <v>322</v>
      </c>
      <c r="E408" s="5"/>
      <c r="G408" s="5"/>
      <c r="H408" s="5"/>
    </row>
    <row r="409" spans="1:9" x14ac:dyDescent="0.2">
      <c r="A409" s="5" t="s">
        <v>561</v>
      </c>
      <c r="B409" s="5" t="s">
        <v>558</v>
      </c>
      <c r="C409" s="8">
        <v>9</v>
      </c>
      <c r="D409" s="5" t="s">
        <v>368</v>
      </c>
      <c r="E409" s="5"/>
      <c r="G409" s="5"/>
      <c r="H409" s="5"/>
    </row>
    <row r="410" spans="1:9" x14ac:dyDescent="0.2">
      <c r="B410" s="6" t="s">
        <v>562</v>
      </c>
      <c r="C410" s="6"/>
      <c r="D410" s="6"/>
      <c r="E410" s="6"/>
      <c r="F410" s="9">
        <f>SUM(H356:H410)</f>
        <v>0</v>
      </c>
      <c r="G410" s="6"/>
      <c r="I410" s="9">
        <f>PRODUCT(F410,G410)</f>
        <v>0</v>
      </c>
    </row>
    <row r="412" spans="1:9" x14ac:dyDescent="0.2">
      <c r="A412" s="6" t="s">
        <v>563</v>
      </c>
      <c r="B412" s="6" t="s">
        <v>564</v>
      </c>
    </row>
    <row r="413" spans="1:9" x14ac:dyDescent="0.2">
      <c r="A413" s="5"/>
      <c r="B413" s="5" t="s">
        <v>64</v>
      </c>
      <c r="C413" s="5"/>
      <c r="D413" s="5" t="s">
        <v>13</v>
      </c>
      <c r="E413" s="5"/>
      <c r="G413" s="5"/>
      <c r="H413" s="5"/>
    </row>
    <row r="414" spans="1:9" x14ac:dyDescent="0.2">
      <c r="A414" s="5" t="s">
        <v>565</v>
      </c>
      <c r="B414" s="5" t="s">
        <v>66</v>
      </c>
      <c r="C414" s="5"/>
      <c r="D414" s="5" t="s">
        <v>18</v>
      </c>
      <c r="E414" s="5"/>
      <c r="G414" s="5"/>
      <c r="H414" s="5"/>
    </row>
    <row r="415" spans="1:9" x14ac:dyDescent="0.2">
      <c r="A415" s="5" t="s">
        <v>566</v>
      </c>
      <c r="B415" s="5" t="s">
        <v>68</v>
      </c>
      <c r="C415" s="5"/>
      <c r="D415" s="5" t="s">
        <v>18</v>
      </c>
      <c r="E415" s="5"/>
      <c r="G415" s="5"/>
      <c r="H415" s="5"/>
    </row>
    <row r="416" spans="1:9" x14ac:dyDescent="0.2">
      <c r="A416" s="5"/>
      <c r="B416" s="5" t="s">
        <v>71</v>
      </c>
      <c r="C416" s="5"/>
      <c r="D416" s="5" t="s">
        <v>13</v>
      </c>
      <c r="E416" s="5"/>
      <c r="G416" s="5"/>
      <c r="H416" s="5"/>
    </row>
    <row r="417" spans="1:8" x14ac:dyDescent="0.2">
      <c r="A417" s="5" t="s">
        <v>567</v>
      </c>
      <c r="B417" s="5" t="s">
        <v>269</v>
      </c>
      <c r="C417" s="5"/>
      <c r="D417" s="5" t="s">
        <v>18</v>
      </c>
      <c r="E417" s="5"/>
      <c r="G417" s="5"/>
      <c r="H417" s="5"/>
    </row>
    <row r="418" spans="1:8" x14ac:dyDescent="0.2">
      <c r="A418" s="5" t="s">
        <v>568</v>
      </c>
      <c r="B418" s="5" t="s">
        <v>271</v>
      </c>
      <c r="C418" s="5"/>
      <c r="D418" s="5" t="s">
        <v>18</v>
      </c>
      <c r="E418" s="5"/>
      <c r="G418" s="5"/>
      <c r="H418" s="5"/>
    </row>
    <row r="419" spans="1:8" x14ac:dyDescent="0.2">
      <c r="A419" s="5"/>
      <c r="B419" s="5" t="s">
        <v>76</v>
      </c>
      <c r="C419" s="5"/>
      <c r="D419" s="5" t="s">
        <v>13</v>
      </c>
      <c r="E419" s="5"/>
      <c r="G419" s="5"/>
      <c r="H419" s="5"/>
    </row>
    <row r="420" spans="1:8" x14ac:dyDescent="0.2">
      <c r="A420" s="5"/>
      <c r="B420" s="5" t="s">
        <v>77</v>
      </c>
      <c r="C420" s="5"/>
      <c r="D420" s="5" t="s">
        <v>15</v>
      </c>
      <c r="E420" s="5"/>
      <c r="G420" s="5"/>
      <c r="H420" s="5"/>
    </row>
    <row r="421" spans="1:8" x14ac:dyDescent="0.2">
      <c r="A421" s="5" t="s">
        <v>569</v>
      </c>
      <c r="B421" s="5" t="s">
        <v>570</v>
      </c>
      <c r="C421" s="5"/>
      <c r="D421" s="5" t="s">
        <v>18</v>
      </c>
      <c r="E421" s="5"/>
      <c r="G421" s="5"/>
      <c r="H421" s="5"/>
    </row>
    <row r="422" spans="1:8" x14ac:dyDescent="0.2">
      <c r="A422" s="5" t="s">
        <v>571</v>
      </c>
      <c r="B422" s="5" t="s">
        <v>572</v>
      </c>
      <c r="C422" s="5"/>
      <c r="D422" s="5" t="s">
        <v>18</v>
      </c>
      <c r="E422" s="5"/>
      <c r="G422" s="5"/>
      <c r="H422" s="5"/>
    </row>
    <row r="423" spans="1:8" x14ac:dyDescent="0.2">
      <c r="A423" s="5" t="s">
        <v>573</v>
      </c>
      <c r="B423" s="5" t="s">
        <v>574</v>
      </c>
      <c r="C423" s="5"/>
      <c r="D423" s="5" t="s">
        <v>18</v>
      </c>
      <c r="E423" s="5"/>
      <c r="G423" s="5"/>
      <c r="H423" s="5"/>
    </row>
    <row r="424" spans="1:8" x14ac:dyDescent="0.2">
      <c r="A424" s="5" t="s">
        <v>575</v>
      </c>
      <c r="B424" s="5" t="s">
        <v>576</v>
      </c>
      <c r="C424" s="5"/>
      <c r="D424" s="5" t="s">
        <v>18</v>
      </c>
      <c r="E424" s="5"/>
      <c r="G424" s="5"/>
      <c r="H424" s="5"/>
    </row>
    <row r="425" spans="1:8" x14ac:dyDescent="0.2">
      <c r="A425" s="5" t="s">
        <v>577</v>
      </c>
      <c r="B425" s="5" t="s">
        <v>578</v>
      </c>
      <c r="C425" s="5"/>
      <c r="D425" s="5" t="s">
        <v>18</v>
      </c>
      <c r="E425" s="5"/>
      <c r="G425" s="5"/>
      <c r="H425" s="5"/>
    </row>
    <row r="426" spans="1:8" x14ac:dyDescent="0.2">
      <c r="A426" s="5" t="s">
        <v>579</v>
      </c>
      <c r="B426" s="5" t="s">
        <v>299</v>
      </c>
      <c r="C426" s="5"/>
      <c r="D426" s="5" t="s">
        <v>18</v>
      </c>
      <c r="E426" s="5"/>
      <c r="G426" s="5"/>
      <c r="H426" s="5"/>
    </row>
    <row r="427" spans="1:8" x14ac:dyDescent="0.2">
      <c r="A427" s="5"/>
      <c r="B427" s="5" t="s">
        <v>94</v>
      </c>
      <c r="C427" s="5"/>
      <c r="D427" s="5" t="s">
        <v>13</v>
      </c>
      <c r="E427" s="5"/>
      <c r="G427" s="5"/>
      <c r="H427" s="5"/>
    </row>
    <row r="428" spans="1:8" x14ac:dyDescent="0.2">
      <c r="A428" s="5" t="s">
        <v>580</v>
      </c>
      <c r="B428" s="5" t="s">
        <v>581</v>
      </c>
      <c r="C428" s="8">
        <v>1</v>
      </c>
      <c r="D428" s="5" t="s">
        <v>97</v>
      </c>
      <c r="E428" s="5"/>
      <c r="G428" s="5"/>
      <c r="H428" s="5"/>
    </row>
    <row r="429" spans="1:8" x14ac:dyDescent="0.2">
      <c r="A429" s="5" t="s">
        <v>582</v>
      </c>
      <c r="B429" s="5" t="s">
        <v>111</v>
      </c>
      <c r="C429" s="8">
        <v>1</v>
      </c>
      <c r="D429" s="5" t="s">
        <v>97</v>
      </c>
      <c r="E429" s="5"/>
      <c r="G429" s="5"/>
      <c r="H429" s="5"/>
    </row>
    <row r="430" spans="1:8" x14ac:dyDescent="0.2">
      <c r="A430" s="5" t="s">
        <v>583</v>
      </c>
      <c r="B430" s="5" t="s">
        <v>113</v>
      </c>
      <c r="C430" s="8">
        <v>1</v>
      </c>
      <c r="D430" s="5" t="s">
        <v>97</v>
      </c>
      <c r="E430" s="5"/>
      <c r="G430" s="5"/>
      <c r="H430" s="5"/>
    </row>
    <row r="431" spans="1:8" x14ac:dyDescent="0.2">
      <c r="A431" s="5" t="s">
        <v>584</v>
      </c>
      <c r="B431" s="5" t="s">
        <v>585</v>
      </c>
      <c r="C431" s="8">
        <v>1</v>
      </c>
      <c r="D431" s="5" t="s">
        <v>97</v>
      </c>
      <c r="E431" s="5"/>
      <c r="G431" s="5"/>
      <c r="H431" s="5"/>
    </row>
    <row r="432" spans="1:8" x14ac:dyDescent="0.2">
      <c r="A432" s="5" t="s">
        <v>586</v>
      </c>
      <c r="B432" s="5" t="s">
        <v>587</v>
      </c>
      <c r="C432" s="8">
        <v>1</v>
      </c>
      <c r="D432" s="5" t="s">
        <v>97</v>
      </c>
      <c r="E432" s="5"/>
      <c r="G432" s="5"/>
      <c r="H432" s="5"/>
    </row>
    <row r="433" spans="1:8" x14ac:dyDescent="0.2">
      <c r="A433" s="5" t="s">
        <v>588</v>
      </c>
      <c r="B433" s="5" t="s">
        <v>589</v>
      </c>
      <c r="C433" s="8">
        <v>1</v>
      </c>
      <c r="D433" s="5" t="s">
        <v>97</v>
      </c>
      <c r="E433" s="5"/>
      <c r="G433" s="5"/>
      <c r="H433" s="5"/>
    </row>
    <row r="434" spans="1:8" x14ac:dyDescent="0.2">
      <c r="A434" s="5" t="s">
        <v>590</v>
      </c>
      <c r="B434" s="5" t="s">
        <v>591</v>
      </c>
      <c r="C434" s="8">
        <v>1</v>
      </c>
      <c r="D434" s="5" t="s">
        <v>97</v>
      </c>
      <c r="E434" s="5"/>
      <c r="G434" s="5"/>
      <c r="H434" s="5"/>
    </row>
    <row r="435" spans="1:8" x14ac:dyDescent="0.2">
      <c r="A435" s="5" t="s">
        <v>592</v>
      </c>
      <c r="B435" s="5" t="s">
        <v>593</v>
      </c>
      <c r="C435" s="8">
        <v>1</v>
      </c>
      <c r="D435" s="5" t="s">
        <v>97</v>
      </c>
      <c r="E435" s="5"/>
      <c r="G435" s="5"/>
      <c r="H435" s="5"/>
    </row>
    <row r="436" spans="1:8" x14ac:dyDescent="0.2">
      <c r="A436" s="5" t="s">
        <v>594</v>
      </c>
      <c r="B436" s="5" t="s">
        <v>595</v>
      </c>
      <c r="C436" s="8">
        <v>1</v>
      </c>
      <c r="D436" s="5" t="s">
        <v>97</v>
      </c>
      <c r="E436" s="5"/>
      <c r="G436" s="5"/>
      <c r="H436" s="5"/>
    </row>
    <row r="437" spans="1:8" x14ac:dyDescent="0.2">
      <c r="A437" s="5" t="s">
        <v>596</v>
      </c>
      <c r="B437" s="5" t="s">
        <v>597</v>
      </c>
      <c r="C437" s="8">
        <v>1</v>
      </c>
      <c r="D437" s="5" t="s">
        <v>97</v>
      </c>
      <c r="E437" s="5"/>
      <c r="G437" s="5"/>
      <c r="H437" s="5"/>
    </row>
    <row r="438" spans="1:8" x14ac:dyDescent="0.2">
      <c r="A438" s="5" t="s">
        <v>598</v>
      </c>
      <c r="B438" s="5" t="s">
        <v>599</v>
      </c>
      <c r="C438" s="8">
        <v>1</v>
      </c>
      <c r="D438" s="5" t="s">
        <v>97</v>
      </c>
      <c r="E438" s="5"/>
      <c r="G438" s="5"/>
      <c r="H438" s="5"/>
    </row>
    <row r="439" spans="1:8" x14ac:dyDescent="0.2">
      <c r="A439" s="5"/>
      <c r="B439" s="5" t="s">
        <v>135</v>
      </c>
      <c r="C439" s="5"/>
      <c r="D439" s="5" t="s">
        <v>13</v>
      </c>
      <c r="E439" s="5"/>
      <c r="G439" s="5"/>
      <c r="H439" s="5"/>
    </row>
    <row r="440" spans="1:8" x14ac:dyDescent="0.2">
      <c r="A440" s="5" t="s">
        <v>600</v>
      </c>
      <c r="B440" s="5" t="s">
        <v>601</v>
      </c>
      <c r="C440" s="5"/>
      <c r="D440" s="5" t="s">
        <v>18</v>
      </c>
      <c r="E440" s="5"/>
      <c r="G440" s="5"/>
      <c r="H440" s="5"/>
    </row>
    <row r="441" spans="1:8" x14ac:dyDescent="0.2">
      <c r="A441" s="5" t="s">
        <v>602</v>
      </c>
      <c r="B441" s="5" t="s">
        <v>603</v>
      </c>
      <c r="C441" s="5"/>
      <c r="D441" s="5" t="s">
        <v>18</v>
      </c>
      <c r="E441" s="5"/>
      <c r="G441" s="5"/>
      <c r="H441" s="5"/>
    </row>
    <row r="442" spans="1:8" x14ac:dyDescent="0.2">
      <c r="A442" s="5" t="s">
        <v>604</v>
      </c>
      <c r="B442" s="5" t="s">
        <v>605</v>
      </c>
      <c r="C442" s="5"/>
      <c r="D442" s="5" t="s">
        <v>18</v>
      </c>
      <c r="E442" s="5"/>
      <c r="G442" s="5"/>
      <c r="H442" s="5"/>
    </row>
    <row r="443" spans="1:8" x14ac:dyDescent="0.2">
      <c r="A443" s="5" t="s">
        <v>606</v>
      </c>
      <c r="B443" s="5" t="s">
        <v>607</v>
      </c>
      <c r="C443" s="5"/>
      <c r="D443" s="5" t="s">
        <v>608</v>
      </c>
      <c r="E443" s="5"/>
      <c r="G443" s="5"/>
      <c r="H443" s="5"/>
    </row>
    <row r="444" spans="1:8" x14ac:dyDescent="0.2">
      <c r="A444" s="5"/>
      <c r="B444" s="5" t="s">
        <v>609</v>
      </c>
      <c r="C444" s="5"/>
      <c r="D444" s="5" t="s">
        <v>13</v>
      </c>
      <c r="E444" s="5"/>
      <c r="G444" s="5"/>
      <c r="H444" s="5"/>
    </row>
    <row r="445" spans="1:8" x14ac:dyDescent="0.2">
      <c r="A445" s="5" t="s">
        <v>610</v>
      </c>
      <c r="B445" s="5" t="s">
        <v>611</v>
      </c>
      <c r="C445" s="8">
        <v>497</v>
      </c>
      <c r="D445" s="5" t="s">
        <v>368</v>
      </c>
      <c r="E445" s="5"/>
      <c r="G445" s="5"/>
      <c r="H445" s="5"/>
    </row>
    <row r="446" spans="1:8" x14ac:dyDescent="0.2">
      <c r="A446" s="5" t="s">
        <v>612</v>
      </c>
      <c r="B446" s="5" t="s">
        <v>613</v>
      </c>
      <c r="C446" s="8">
        <v>238</v>
      </c>
      <c r="D446" s="5" t="s">
        <v>368</v>
      </c>
      <c r="E446" s="5"/>
      <c r="G446" s="5"/>
      <c r="H446" s="5"/>
    </row>
    <row r="447" spans="1:8" x14ac:dyDescent="0.2">
      <c r="A447" s="5" t="s">
        <v>614</v>
      </c>
      <c r="B447" s="5" t="s">
        <v>615</v>
      </c>
      <c r="C447" s="8">
        <v>2287</v>
      </c>
      <c r="D447" s="5" t="s">
        <v>368</v>
      </c>
      <c r="E447" s="5"/>
      <c r="G447" s="5"/>
      <c r="H447" s="5"/>
    </row>
    <row r="448" spans="1:8" x14ac:dyDescent="0.2">
      <c r="A448" s="5" t="s">
        <v>616</v>
      </c>
      <c r="B448" s="5" t="s">
        <v>617</v>
      </c>
      <c r="C448" s="8">
        <v>854</v>
      </c>
      <c r="D448" s="5" t="s">
        <v>368</v>
      </c>
      <c r="E448" s="5"/>
      <c r="G448" s="5"/>
      <c r="H448" s="5"/>
    </row>
    <row r="449" spans="1:8" x14ac:dyDescent="0.2">
      <c r="A449" s="5" t="s">
        <v>618</v>
      </c>
      <c r="B449" s="5" t="s">
        <v>619</v>
      </c>
      <c r="C449" s="8">
        <v>45</v>
      </c>
      <c r="D449" s="5" t="s">
        <v>368</v>
      </c>
      <c r="E449" s="5"/>
      <c r="G449" s="5"/>
      <c r="H449" s="5"/>
    </row>
    <row r="450" spans="1:8" x14ac:dyDescent="0.2">
      <c r="A450" s="5"/>
      <c r="B450" s="5" t="s">
        <v>38</v>
      </c>
      <c r="C450" s="5"/>
      <c r="D450" s="5" t="s">
        <v>13</v>
      </c>
      <c r="E450" s="5"/>
      <c r="G450" s="5"/>
      <c r="H450" s="5"/>
    </row>
    <row r="451" spans="1:8" x14ac:dyDescent="0.2">
      <c r="A451" s="5"/>
      <c r="B451" s="5" t="s">
        <v>620</v>
      </c>
      <c r="C451" s="5"/>
      <c r="D451" s="5" t="s">
        <v>15</v>
      </c>
      <c r="E451" s="5"/>
      <c r="G451" s="5"/>
      <c r="H451" s="5"/>
    </row>
    <row r="452" spans="1:8" x14ac:dyDescent="0.2">
      <c r="A452" s="5"/>
      <c r="B452" s="5" t="s">
        <v>621</v>
      </c>
      <c r="C452" s="5"/>
      <c r="D452" s="5" t="s">
        <v>322</v>
      </c>
      <c r="E452" s="5"/>
      <c r="G452" s="5"/>
      <c r="H452" s="5"/>
    </row>
    <row r="453" spans="1:8" x14ac:dyDescent="0.2">
      <c r="A453" s="5"/>
      <c r="B453" s="5" t="s">
        <v>622</v>
      </c>
      <c r="C453" s="5"/>
      <c r="D453" s="5" t="s">
        <v>366</v>
      </c>
      <c r="E453" s="5"/>
      <c r="G453" s="5"/>
      <c r="H453" s="5"/>
    </row>
    <row r="454" spans="1:8" x14ac:dyDescent="0.2">
      <c r="A454" s="5" t="s">
        <v>623</v>
      </c>
      <c r="B454" s="5" t="s">
        <v>624</v>
      </c>
      <c r="C454" s="8">
        <v>83</v>
      </c>
      <c r="D454" s="5" t="s">
        <v>368</v>
      </c>
      <c r="E454" s="5"/>
      <c r="G454" s="5"/>
      <c r="H454" s="5"/>
    </row>
    <row r="455" spans="1:8" x14ac:dyDescent="0.2">
      <c r="A455" s="5" t="s">
        <v>625</v>
      </c>
      <c r="B455" s="5" t="s">
        <v>626</v>
      </c>
      <c r="C455" s="8">
        <v>73</v>
      </c>
      <c r="D455" s="5" t="s">
        <v>368</v>
      </c>
      <c r="E455" s="5"/>
      <c r="G455" s="5"/>
      <c r="H455" s="5"/>
    </row>
    <row r="456" spans="1:8" x14ac:dyDescent="0.2">
      <c r="A456" s="5"/>
      <c r="B456" s="5" t="s">
        <v>627</v>
      </c>
      <c r="C456" s="5"/>
      <c r="D456" s="5" t="s">
        <v>322</v>
      </c>
      <c r="E456" s="5"/>
      <c r="G456" s="5"/>
      <c r="H456" s="5"/>
    </row>
    <row r="457" spans="1:8" x14ac:dyDescent="0.2">
      <c r="A457" s="5"/>
      <c r="B457" s="5" t="s">
        <v>622</v>
      </c>
      <c r="C457" s="5"/>
      <c r="D457" s="5" t="s">
        <v>366</v>
      </c>
      <c r="E457" s="5"/>
      <c r="G457" s="5"/>
      <c r="H457" s="5"/>
    </row>
    <row r="458" spans="1:8" x14ac:dyDescent="0.2">
      <c r="A458" s="5" t="s">
        <v>628</v>
      </c>
      <c r="B458" s="5" t="s">
        <v>629</v>
      </c>
      <c r="C458" s="8">
        <v>1</v>
      </c>
      <c r="D458" s="5" t="s">
        <v>368</v>
      </c>
      <c r="E458" s="5"/>
      <c r="G458" s="5"/>
      <c r="H458" s="5"/>
    </row>
    <row r="459" spans="1:8" x14ac:dyDescent="0.2">
      <c r="A459" s="5"/>
      <c r="B459" s="5" t="s">
        <v>630</v>
      </c>
      <c r="C459" s="5"/>
      <c r="D459" s="5" t="s">
        <v>322</v>
      </c>
      <c r="E459" s="5"/>
      <c r="G459" s="5"/>
      <c r="H459" s="5"/>
    </row>
    <row r="460" spans="1:8" x14ac:dyDescent="0.2">
      <c r="A460" s="5"/>
      <c r="B460" s="5" t="s">
        <v>622</v>
      </c>
      <c r="C460" s="5"/>
      <c r="D460" s="5" t="s">
        <v>366</v>
      </c>
      <c r="E460" s="5"/>
      <c r="G460" s="5"/>
      <c r="H460" s="5"/>
    </row>
    <row r="461" spans="1:8" x14ac:dyDescent="0.2">
      <c r="A461" s="5" t="s">
        <v>631</v>
      </c>
      <c r="B461" s="5" t="s">
        <v>632</v>
      </c>
      <c r="C461" s="8">
        <v>25</v>
      </c>
      <c r="D461" s="5" t="s">
        <v>368</v>
      </c>
      <c r="E461" s="5"/>
      <c r="G461" s="5"/>
      <c r="H461" s="5"/>
    </row>
    <row r="462" spans="1:8" x14ac:dyDescent="0.2">
      <c r="A462" s="5" t="s">
        <v>633</v>
      </c>
      <c r="B462" s="5" t="s">
        <v>634</v>
      </c>
      <c r="C462" s="8">
        <v>12</v>
      </c>
      <c r="D462" s="5" t="s">
        <v>368</v>
      </c>
      <c r="E462" s="5"/>
      <c r="G462" s="5"/>
      <c r="H462" s="5"/>
    </row>
    <row r="463" spans="1:8" x14ac:dyDescent="0.2">
      <c r="A463" s="5" t="s">
        <v>635</v>
      </c>
      <c r="B463" s="5" t="s">
        <v>636</v>
      </c>
      <c r="C463" s="8">
        <v>3</v>
      </c>
      <c r="D463" s="5" t="s">
        <v>368</v>
      </c>
      <c r="E463" s="5"/>
      <c r="G463" s="5"/>
      <c r="H463" s="5"/>
    </row>
    <row r="464" spans="1:8" x14ac:dyDescent="0.2">
      <c r="A464" s="5" t="s">
        <v>637</v>
      </c>
      <c r="B464" s="5" t="s">
        <v>638</v>
      </c>
      <c r="C464" s="8">
        <v>6</v>
      </c>
      <c r="D464" s="5" t="s">
        <v>368</v>
      </c>
      <c r="E464" s="5"/>
      <c r="G464" s="5"/>
      <c r="H464" s="5"/>
    </row>
    <row r="465" spans="1:8" x14ac:dyDescent="0.2">
      <c r="A465" s="5" t="s">
        <v>639</v>
      </c>
      <c r="B465" s="5" t="s">
        <v>640</v>
      </c>
      <c r="C465" s="8">
        <v>2</v>
      </c>
      <c r="D465" s="5" t="s">
        <v>368</v>
      </c>
      <c r="E465" s="5"/>
      <c r="G465" s="5"/>
      <c r="H465" s="5"/>
    </row>
    <row r="466" spans="1:8" x14ac:dyDescent="0.2">
      <c r="A466" s="5" t="s">
        <v>641</v>
      </c>
      <c r="B466" s="5" t="s">
        <v>642</v>
      </c>
      <c r="C466" s="8">
        <v>7</v>
      </c>
      <c r="D466" s="5" t="s">
        <v>368</v>
      </c>
      <c r="E466" s="5"/>
      <c r="G466" s="5"/>
      <c r="H466" s="5"/>
    </row>
    <row r="467" spans="1:8" x14ac:dyDescent="0.2">
      <c r="A467" s="5"/>
      <c r="B467" s="5" t="s">
        <v>643</v>
      </c>
      <c r="C467" s="5"/>
      <c r="D467" s="5" t="s">
        <v>322</v>
      </c>
      <c r="E467" s="5"/>
      <c r="G467" s="5"/>
      <c r="H467" s="5"/>
    </row>
    <row r="468" spans="1:8" x14ac:dyDescent="0.2">
      <c r="A468" s="5"/>
      <c r="B468" s="5" t="s">
        <v>622</v>
      </c>
      <c r="C468" s="5"/>
      <c r="D468" s="5" t="s">
        <v>366</v>
      </c>
      <c r="E468" s="5"/>
      <c r="G468" s="5"/>
      <c r="H468" s="5"/>
    </row>
    <row r="469" spans="1:8" x14ac:dyDescent="0.2">
      <c r="A469" s="5" t="s">
        <v>644</v>
      </c>
      <c r="B469" s="5" t="s">
        <v>645</v>
      </c>
      <c r="C469" s="8">
        <v>13</v>
      </c>
      <c r="D469" s="5" t="s">
        <v>368</v>
      </c>
      <c r="E469" s="5"/>
      <c r="G469" s="5"/>
      <c r="H469" s="5"/>
    </row>
    <row r="470" spans="1:8" x14ac:dyDescent="0.2">
      <c r="A470" s="5" t="s">
        <v>646</v>
      </c>
      <c r="B470" s="5" t="s">
        <v>647</v>
      </c>
      <c r="C470" s="8">
        <v>16</v>
      </c>
      <c r="D470" s="5" t="s">
        <v>368</v>
      </c>
      <c r="E470" s="5"/>
      <c r="G470" s="5"/>
      <c r="H470" s="5"/>
    </row>
    <row r="471" spans="1:8" x14ac:dyDescent="0.2">
      <c r="A471" s="5" t="s">
        <v>648</v>
      </c>
      <c r="B471" s="5" t="s">
        <v>649</v>
      </c>
      <c r="C471" s="8">
        <v>1</v>
      </c>
      <c r="D471" s="5" t="s">
        <v>368</v>
      </c>
      <c r="E471" s="5"/>
      <c r="G471" s="5"/>
      <c r="H471" s="5"/>
    </row>
    <row r="472" spans="1:8" x14ac:dyDescent="0.2">
      <c r="A472" s="5"/>
      <c r="B472" s="5" t="s">
        <v>650</v>
      </c>
      <c r="C472" s="5"/>
      <c r="D472" s="5" t="s">
        <v>322</v>
      </c>
      <c r="E472" s="5"/>
      <c r="G472" s="5"/>
      <c r="H472" s="5"/>
    </row>
    <row r="473" spans="1:8" x14ac:dyDescent="0.2">
      <c r="A473" s="5"/>
      <c r="B473" s="5" t="s">
        <v>651</v>
      </c>
      <c r="C473" s="5"/>
      <c r="D473" s="5" t="s">
        <v>366</v>
      </c>
      <c r="E473" s="5"/>
      <c r="G473" s="5"/>
      <c r="H473" s="5"/>
    </row>
    <row r="474" spans="1:8" x14ac:dyDescent="0.2">
      <c r="A474" s="5" t="s">
        <v>652</v>
      </c>
      <c r="B474" s="5" t="s">
        <v>653</v>
      </c>
      <c r="C474" s="5"/>
      <c r="D474" s="5" t="s">
        <v>654</v>
      </c>
      <c r="E474" s="5"/>
      <c r="G474" s="5"/>
      <c r="H474" s="5"/>
    </row>
    <row r="475" spans="1:8" x14ac:dyDescent="0.2">
      <c r="A475" s="5" t="s">
        <v>655</v>
      </c>
      <c r="B475" s="5" t="s">
        <v>656</v>
      </c>
      <c r="C475" s="8">
        <v>10</v>
      </c>
      <c r="D475" s="5" t="s">
        <v>368</v>
      </c>
      <c r="E475" s="5"/>
      <c r="G475" s="5"/>
      <c r="H475" s="5"/>
    </row>
    <row r="476" spans="1:8" x14ac:dyDescent="0.2">
      <c r="A476" s="5" t="s">
        <v>657</v>
      </c>
      <c r="B476" s="5" t="s">
        <v>658</v>
      </c>
      <c r="C476" s="5"/>
      <c r="D476" s="5" t="s">
        <v>654</v>
      </c>
      <c r="E476" s="5"/>
      <c r="G476" s="5"/>
      <c r="H476" s="5"/>
    </row>
    <row r="477" spans="1:8" x14ac:dyDescent="0.2">
      <c r="A477" s="5" t="s">
        <v>659</v>
      </c>
      <c r="B477" s="5" t="s">
        <v>660</v>
      </c>
      <c r="C477" s="8">
        <v>3</v>
      </c>
      <c r="D477" s="5" t="s">
        <v>368</v>
      </c>
      <c r="E477" s="5"/>
      <c r="G477" s="5"/>
      <c r="H477" s="5"/>
    </row>
    <row r="478" spans="1:8" x14ac:dyDescent="0.2">
      <c r="A478" s="5" t="s">
        <v>661</v>
      </c>
      <c r="B478" s="5" t="s">
        <v>662</v>
      </c>
      <c r="C478" s="5"/>
      <c r="D478" s="5" t="s">
        <v>654</v>
      </c>
      <c r="E478" s="5"/>
      <c r="G478" s="5"/>
      <c r="H478" s="5"/>
    </row>
    <row r="479" spans="1:8" x14ac:dyDescent="0.2">
      <c r="A479" s="5" t="s">
        <v>663</v>
      </c>
      <c r="B479" s="5" t="s">
        <v>664</v>
      </c>
      <c r="C479" s="8">
        <v>3</v>
      </c>
      <c r="D479" s="5" t="s">
        <v>368</v>
      </c>
      <c r="E479" s="5"/>
      <c r="G479" s="5"/>
      <c r="H479" s="5"/>
    </row>
    <row r="480" spans="1:8" x14ac:dyDescent="0.2">
      <c r="A480" s="5" t="s">
        <v>665</v>
      </c>
      <c r="B480" s="5" t="s">
        <v>666</v>
      </c>
      <c r="C480" s="5"/>
      <c r="D480" s="5" t="s">
        <v>654</v>
      </c>
      <c r="E480" s="5"/>
      <c r="G480" s="5"/>
      <c r="H480" s="5"/>
    </row>
    <row r="481" spans="1:8" x14ac:dyDescent="0.2">
      <c r="A481" s="5" t="s">
        <v>667</v>
      </c>
      <c r="B481" s="5" t="s">
        <v>668</v>
      </c>
      <c r="C481" s="8">
        <v>3</v>
      </c>
      <c r="D481" s="5" t="s">
        <v>368</v>
      </c>
      <c r="E481" s="5"/>
      <c r="G481" s="5"/>
      <c r="H481" s="5"/>
    </row>
    <row r="482" spans="1:8" x14ac:dyDescent="0.2">
      <c r="A482" s="5"/>
      <c r="B482" s="5" t="s">
        <v>669</v>
      </c>
      <c r="C482" s="5"/>
      <c r="D482" s="5" t="s">
        <v>366</v>
      </c>
      <c r="E482" s="5"/>
      <c r="G482" s="5"/>
      <c r="H482" s="5"/>
    </row>
    <row r="483" spans="1:8" x14ac:dyDescent="0.2">
      <c r="A483" s="5" t="s">
        <v>670</v>
      </c>
      <c r="B483" s="5" t="s">
        <v>622</v>
      </c>
      <c r="C483" s="5"/>
      <c r="D483" s="5" t="s">
        <v>654</v>
      </c>
      <c r="E483" s="5"/>
      <c r="G483" s="5"/>
      <c r="H483" s="5"/>
    </row>
    <row r="484" spans="1:8" x14ac:dyDescent="0.2">
      <c r="A484" s="5" t="s">
        <v>671</v>
      </c>
      <c r="B484" s="5" t="s">
        <v>672</v>
      </c>
      <c r="C484" s="8">
        <v>4</v>
      </c>
      <c r="D484" s="5" t="s">
        <v>368</v>
      </c>
      <c r="E484" s="5"/>
      <c r="G484" s="5"/>
      <c r="H484" s="5"/>
    </row>
    <row r="485" spans="1:8" x14ac:dyDescent="0.2">
      <c r="A485" s="5" t="s">
        <v>673</v>
      </c>
      <c r="B485" s="5" t="s">
        <v>674</v>
      </c>
      <c r="C485" s="8">
        <v>2</v>
      </c>
      <c r="D485" s="5" t="s">
        <v>368</v>
      </c>
      <c r="E485" s="5"/>
      <c r="G485" s="5"/>
      <c r="H485" s="5"/>
    </row>
    <row r="486" spans="1:8" x14ac:dyDescent="0.2">
      <c r="A486" s="5" t="s">
        <v>675</v>
      </c>
      <c r="B486" s="5" t="s">
        <v>653</v>
      </c>
      <c r="C486" s="5"/>
      <c r="D486" s="5" t="s">
        <v>654</v>
      </c>
      <c r="E486" s="5"/>
      <c r="G486" s="5"/>
      <c r="H486" s="5"/>
    </row>
    <row r="487" spans="1:8" x14ac:dyDescent="0.2">
      <c r="A487" s="5" t="s">
        <v>676</v>
      </c>
      <c r="B487" s="5" t="s">
        <v>677</v>
      </c>
      <c r="C487" s="8">
        <v>30</v>
      </c>
      <c r="D487" s="5" t="s">
        <v>368</v>
      </c>
      <c r="E487" s="5"/>
      <c r="G487" s="5"/>
      <c r="H487" s="5"/>
    </row>
    <row r="488" spans="1:8" x14ac:dyDescent="0.2">
      <c r="A488" s="5" t="s">
        <v>678</v>
      </c>
      <c r="B488" s="5" t="s">
        <v>679</v>
      </c>
      <c r="C488" s="8">
        <v>6</v>
      </c>
      <c r="D488" s="5" t="s">
        <v>368</v>
      </c>
      <c r="E488" s="5"/>
      <c r="G488" s="5"/>
      <c r="H488" s="5"/>
    </row>
    <row r="489" spans="1:8" x14ac:dyDescent="0.2">
      <c r="A489" s="5" t="s">
        <v>680</v>
      </c>
      <c r="B489" s="5" t="s">
        <v>681</v>
      </c>
      <c r="C489" s="8">
        <v>4</v>
      </c>
      <c r="D489" s="5" t="s">
        <v>368</v>
      </c>
      <c r="E489" s="5"/>
      <c r="G489" s="5"/>
      <c r="H489" s="5"/>
    </row>
    <row r="490" spans="1:8" x14ac:dyDescent="0.2">
      <c r="A490" s="5" t="s">
        <v>682</v>
      </c>
      <c r="B490" s="5" t="s">
        <v>683</v>
      </c>
      <c r="C490" s="8">
        <v>7</v>
      </c>
      <c r="D490" s="5" t="s">
        <v>368</v>
      </c>
      <c r="E490" s="5"/>
      <c r="G490" s="5"/>
      <c r="H490" s="5"/>
    </row>
    <row r="491" spans="1:8" x14ac:dyDescent="0.2">
      <c r="A491" s="5" t="s">
        <v>684</v>
      </c>
      <c r="B491" s="5" t="s">
        <v>685</v>
      </c>
      <c r="C491" s="8">
        <v>4</v>
      </c>
      <c r="D491" s="5" t="s">
        <v>368</v>
      </c>
      <c r="E491" s="5"/>
      <c r="G491" s="5"/>
      <c r="H491" s="5"/>
    </row>
    <row r="492" spans="1:8" x14ac:dyDescent="0.2">
      <c r="A492" s="5" t="s">
        <v>686</v>
      </c>
      <c r="B492" s="5" t="s">
        <v>687</v>
      </c>
      <c r="C492" s="8">
        <v>14</v>
      </c>
      <c r="D492" s="5" t="s">
        <v>368</v>
      </c>
      <c r="E492" s="5"/>
      <c r="G492" s="5"/>
      <c r="H492" s="5"/>
    </row>
    <row r="493" spans="1:8" x14ac:dyDescent="0.2">
      <c r="A493" s="5" t="s">
        <v>688</v>
      </c>
      <c r="B493" s="5" t="s">
        <v>689</v>
      </c>
      <c r="C493" s="8">
        <v>4</v>
      </c>
      <c r="D493" s="5" t="s">
        <v>368</v>
      </c>
      <c r="E493" s="5"/>
      <c r="G493" s="5"/>
      <c r="H493" s="5"/>
    </row>
    <row r="494" spans="1:8" x14ac:dyDescent="0.2">
      <c r="A494" s="5" t="s">
        <v>690</v>
      </c>
      <c r="B494" s="5" t="s">
        <v>658</v>
      </c>
      <c r="C494" s="5"/>
      <c r="D494" s="5" t="s">
        <v>654</v>
      </c>
      <c r="E494" s="5"/>
      <c r="G494" s="5"/>
      <c r="H494" s="5"/>
    </row>
    <row r="495" spans="1:8" x14ac:dyDescent="0.2">
      <c r="A495" s="5" t="s">
        <v>691</v>
      </c>
      <c r="B495" s="5" t="s">
        <v>692</v>
      </c>
      <c r="C495" s="8">
        <v>20</v>
      </c>
      <c r="D495" s="5" t="s">
        <v>368</v>
      </c>
      <c r="E495" s="5"/>
      <c r="G495" s="5"/>
      <c r="H495" s="5"/>
    </row>
    <row r="496" spans="1:8" x14ac:dyDescent="0.2">
      <c r="A496" s="5" t="s">
        <v>693</v>
      </c>
      <c r="B496" s="5" t="s">
        <v>694</v>
      </c>
      <c r="C496" s="8">
        <v>25</v>
      </c>
      <c r="D496" s="5" t="s">
        <v>368</v>
      </c>
      <c r="E496" s="5"/>
      <c r="G496" s="5"/>
      <c r="H496" s="5"/>
    </row>
    <row r="497" spans="1:8" x14ac:dyDescent="0.2">
      <c r="A497" s="5" t="s">
        <v>695</v>
      </c>
      <c r="B497" s="5" t="s">
        <v>696</v>
      </c>
      <c r="C497" s="8">
        <v>3</v>
      </c>
      <c r="D497" s="5" t="s">
        <v>368</v>
      </c>
      <c r="E497" s="5"/>
      <c r="G497" s="5"/>
      <c r="H497" s="5"/>
    </row>
    <row r="498" spans="1:8" x14ac:dyDescent="0.2">
      <c r="A498" s="5" t="s">
        <v>697</v>
      </c>
      <c r="B498" s="5" t="s">
        <v>698</v>
      </c>
      <c r="C498" s="8">
        <v>9</v>
      </c>
      <c r="D498" s="5" t="s">
        <v>368</v>
      </c>
      <c r="E498" s="5"/>
      <c r="G498" s="5"/>
      <c r="H498" s="5"/>
    </row>
    <row r="499" spans="1:8" x14ac:dyDescent="0.2">
      <c r="A499" s="5" t="s">
        <v>699</v>
      </c>
      <c r="B499" s="5" t="s">
        <v>662</v>
      </c>
      <c r="C499" s="5"/>
      <c r="D499" s="5" t="s">
        <v>654</v>
      </c>
      <c r="E499" s="5"/>
      <c r="G499" s="5"/>
      <c r="H499" s="5"/>
    </row>
    <row r="500" spans="1:8" x14ac:dyDescent="0.2">
      <c r="A500" s="5" t="s">
        <v>700</v>
      </c>
      <c r="B500" s="5" t="s">
        <v>701</v>
      </c>
      <c r="C500" s="8">
        <v>29</v>
      </c>
      <c r="D500" s="5" t="s">
        <v>368</v>
      </c>
      <c r="E500" s="5"/>
      <c r="G500" s="5"/>
      <c r="H500" s="5"/>
    </row>
    <row r="501" spans="1:8" x14ac:dyDescent="0.2">
      <c r="A501" s="5" t="s">
        <v>702</v>
      </c>
      <c r="B501" s="5" t="s">
        <v>703</v>
      </c>
      <c r="C501" s="8">
        <v>23</v>
      </c>
      <c r="D501" s="5" t="s">
        <v>368</v>
      </c>
      <c r="E501" s="5"/>
      <c r="G501" s="5"/>
      <c r="H501" s="5"/>
    </row>
    <row r="502" spans="1:8" x14ac:dyDescent="0.2">
      <c r="A502" s="5" t="s">
        <v>704</v>
      </c>
      <c r="B502" s="5" t="s">
        <v>705</v>
      </c>
      <c r="C502" s="8">
        <v>3</v>
      </c>
      <c r="D502" s="5" t="s">
        <v>368</v>
      </c>
      <c r="E502" s="5"/>
      <c r="G502" s="5"/>
      <c r="H502" s="5"/>
    </row>
    <row r="503" spans="1:8" x14ac:dyDescent="0.2">
      <c r="A503" s="5" t="s">
        <v>706</v>
      </c>
      <c r="B503" s="5" t="s">
        <v>698</v>
      </c>
      <c r="C503" s="8">
        <v>9</v>
      </c>
      <c r="D503" s="5" t="s">
        <v>368</v>
      </c>
      <c r="E503" s="5"/>
      <c r="G503" s="5"/>
      <c r="H503" s="5"/>
    </row>
    <row r="504" spans="1:8" x14ac:dyDescent="0.2">
      <c r="A504" s="5" t="s">
        <v>707</v>
      </c>
      <c r="B504" s="5" t="s">
        <v>666</v>
      </c>
      <c r="C504" s="5"/>
      <c r="D504" s="5" t="s">
        <v>654</v>
      </c>
      <c r="E504" s="5"/>
      <c r="G504" s="5"/>
      <c r="H504" s="5"/>
    </row>
    <row r="505" spans="1:8" x14ac:dyDescent="0.2">
      <c r="A505" s="5" t="s">
        <v>708</v>
      </c>
      <c r="B505" s="5" t="s">
        <v>709</v>
      </c>
      <c r="C505" s="8">
        <v>26</v>
      </c>
      <c r="D505" s="5" t="s">
        <v>368</v>
      </c>
      <c r="E505" s="5"/>
      <c r="G505" s="5"/>
      <c r="H505" s="5"/>
    </row>
    <row r="506" spans="1:8" x14ac:dyDescent="0.2">
      <c r="A506" s="5" t="s">
        <v>710</v>
      </c>
      <c r="B506" s="5" t="s">
        <v>711</v>
      </c>
      <c r="C506" s="8">
        <v>24</v>
      </c>
      <c r="D506" s="5" t="s">
        <v>368</v>
      </c>
      <c r="E506" s="5"/>
      <c r="G506" s="5"/>
      <c r="H506" s="5"/>
    </row>
    <row r="507" spans="1:8" x14ac:dyDescent="0.2">
      <c r="A507" s="5" t="s">
        <v>712</v>
      </c>
      <c r="B507" s="5" t="s">
        <v>713</v>
      </c>
      <c r="C507" s="8">
        <v>6</v>
      </c>
      <c r="D507" s="5" t="s">
        <v>368</v>
      </c>
      <c r="E507" s="5"/>
      <c r="G507" s="5"/>
      <c r="H507" s="5"/>
    </row>
    <row r="508" spans="1:8" x14ac:dyDescent="0.2">
      <c r="A508" s="5"/>
      <c r="B508" s="5" t="s">
        <v>714</v>
      </c>
      <c r="C508" s="5"/>
      <c r="D508" s="5" t="s">
        <v>322</v>
      </c>
      <c r="E508" s="5"/>
      <c r="G508" s="5"/>
      <c r="H508" s="5"/>
    </row>
    <row r="509" spans="1:8" x14ac:dyDescent="0.2">
      <c r="A509" s="5"/>
      <c r="B509" s="5" t="s">
        <v>651</v>
      </c>
      <c r="C509" s="5"/>
      <c r="D509" s="5" t="s">
        <v>366</v>
      </c>
      <c r="E509" s="5"/>
      <c r="G509" s="5"/>
      <c r="H509" s="5"/>
    </row>
    <row r="510" spans="1:8" x14ac:dyDescent="0.2">
      <c r="A510" s="5" t="s">
        <v>715</v>
      </c>
      <c r="B510" s="5" t="s">
        <v>666</v>
      </c>
      <c r="C510" s="5"/>
      <c r="D510" s="5" t="s">
        <v>654</v>
      </c>
      <c r="E510" s="5"/>
      <c r="G510" s="5"/>
      <c r="H510" s="5"/>
    </row>
    <row r="511" spans="1:8" x14ac:dyDescent="0.2">
      <c r="A511" s="5" t="s">
        <v>716</v>
      </c>
      <c r="B511" s="5" t="s">
        <v>717</v>
      </c>
      <c r="C511" s="8">
        <v>34</v>
      </c>
      <c r="D511" s="5" t="s">
        <v>368</v>
      </c>
      <c r="E511" s="5"/>
      <c r="G511" s="5"/>
      <c r="H511" s="5"/>
    </row>
    <row r="512" spans="1:8" x14ac:dyDescent="0.2">
      <c r="A512" s="5"/>
      <c r="B512" s="5" t="s">
        <v>669</v>
      </c>
      <c r="C512" s="5"/>
      <c r="D512" s="5" t="s">
        <v>366</v>
      </c>
      <c r="E512" s="5"/>
      <c r="G512" s="5"/>
      <c r="H512" s="5"/>
    </row>
    <row r="513" spans="1:8" x14ac:dyDescent="0.2">
      <c r="A513" s="5" t="s">
        <v>718</v>
      </c>
      <c r="B513" s="5" t="s">
        <v>666</v>
      </c>
      <c r="C513" s="5"/>
      <c r="D513" s="5" t="s">
        <v>654</v>
      </c>
      <c r="E513" s="5"/>
      <c r="G513" s="5"/>
      <c r="H513" s="5"/>
    </row>
    <row r="514" spans="1:8" x14ac:dyDescent="0.2">
      <c r="A514" s="5" t="s">
        <v>719</v>
      </c>
      <c r="B514" s="5" t="s">
        <v>720</v>
      </c>
      <c r="C514" s="8">
        <v>26</v>
      </c>
      <c r="D514" s="5" t="s">
        <v>368</v>
      </c>
      <c r="E514" s="5"/>
      <c r="G514" s="5"/>
      <c r="H514" s="5"/>
    </row>
    <row r="515" spans="1:8" x14ac:dyDescent="0.2">
      <c r="A515" s="5"/>
      <c r="B515" s="5" t="s">
        <v>721</v>
      </c>
      <c r="C515" s="5"/>
      <c r="D515" s="5" t="s">
        <v>322</v>
      </c>
      <c r="E515" s="5"/>
      <c r="G515" s="5"/>
      <c r="H515" s="5"/>
    </row>
    <row r="516" spans="1:8" x14ac:dyDescent="0.2">
      <c r="A516" s="5"/>
      <c r="B516" s="5" t="s">
        <v>653</v>
      </c>
      <c r="C516" s="5"/>
      <c r="D516" s="5" t="s">
        <v>366</v>
      </c>
      <c r="E516" s="5"/>
      <c r="G516" s="5"/>
      <c r="H516" s="5"/>
    </row>
    <row r="517" spans="1:8" x14ac:dyDescent="0.2">
      <c r="A517" s="5" t="s">
        <v>722</v>
      </c>
      <c r="B517" s="5" t="s">
        <v>723</v>
      </c>
      <c r="C517" s="8">
        <v>2</v>
      </c>
      <c r="D517" s="5" t="s">
        <v>368</v>
      </c>
      <c r="E517" s="5"/>
      <c r="G517" s="5"/>
      <c r="H517" s="5"/>
    </row>
    <row r="518" spans="1:8" x14ac:dyDescent="0.2">
      <c r="A518" s="5" t="s">
        <v>724</v>
      </c>
      <c r="B518" s="5" t="s">
        <v>725</v>
      </c>
      <c r="C518" s="8">
        <v>2</v>
      </c>
      <c r="D518" s="5" t="s">
        <v>368</v>
      </c>
      <c r="E518" s="5"/>
      <c r="G518" s="5"/>
      <c r="H518" s="5"/>
    </row>
    <row r="519" spans="1:8" x14ac:dyDescent="0.2">
      <c r="A519" s="5" t="s">
        <v>726</v>
      </c>
      <c r="B519" s="5" t="s">
        <v>727</v>
      </c>
      <c r="C519" s="8">
        <v>2</v>
      </c>
      <c r="D519" s="5" t="s">
        <v>368</v>
      </c>
      <c r="E519" s="5"/>
      <c r="G519" s="5"/>
      <c r="H519" s="5"/>
    </row>
    <row r="520" spans="1:8" x14ac:dyDescent="0.2">
      <c r="A520" s="5" t="s">
        <v>728</v>
      </c>
      <c r="B520" s="5" t="s">
        <v>729</v>
      </c>
      <c r="C520" s="8">
        <v>2</v>
      </c>
      <c r="D520" s="5" t="s">
        <v>368</v>
      </c>
      <c r="E520" s="5"/>
      <c r="G520" s="5"/>
      <c r="H520" s="5"/>
    </row>
    <row r="521" spans="1:8" x14ac:dyDescent="0.2">
      <c r="A521" s="5" t="s">
        <v>730</v>
      </c>
      <c r="B521" s="5" t="s">
        <v>731</v>
      </c>
      <c r="C521" s="8">
        <v>2</v>
      </c>
      <c r="D521" s="5" t="s">
        <v>368</v>
      </c>
      <c r="E521" s="5"/>
      <c r="G521" s="5"/>
      <c r="H521" s="5"/>
    </row>
    <row r="522" spans="1:8" x14ac:dyDescent="0.2">
      <c r="A522" s="5" t="s">
        <v>732</v>
      </c>
      <c r="B522" s="5" t="s">
        <v>733</v>
      </c>
      <c r="C522" s="8">
        <v>2</v>
      </c>
      <c r="D522" s="5" t="s">
        <v>368</v>
      </c>
      <c r="E522" s="5"/>
      <c r="G522" s="5"/>
      <c r="H522" s="5"/>
    </row>
    <row r="523" spans="1:8" x14ac:dyDescent="0.2">
      <c r="A523" s="5" t="s">
        <v>734</v>
      </c>
      <c r="B523" s="5" t="s">
        <v>735</v>
      </c>
      <c r="C523" s="8">
        <v>2</v>
      </c>
      <c r="D523" s="5" t="s">
        <v>368</v>
      </c>
      <c r="E523" s="5"/>
      <c r="G523" s="5"/>
      <c r="H523" s="5"/>
    </row>
    <row r="524" spans="1:8" x14ac:dyDescent="0.2">
      <c r="A524" s="5" t="s">
        <v>736</v>
      </c>
      <c r="B524" s="5" t="s">
        <v>737</v>
      </c>
      <c r="C524" s="8">
        <v>2</v>
      </c>
      <c r="D524" s="5" t="s">
        <v>368</v>
      </c>
      <c r="E524" s="5"/>
      <c r="G524" s="5"/>
      <c r="H524" s="5"/>
    </row>
    <row r="525" spans="1:8" x14ac:dyDescent="0.2">
      <c r="A525" s="5" t="s">
        <v>738</v>
      </c>
      <c r="B525" s="5" t="s">
        <v>739</v>
      </c>
      <c r="C525" s="8">
        <v>2</v>
      </c>
      <c r="D525" s="5" t="s">
        <v>368</v>
      </c>
      <c r="E525" s="5"/>
      <c r="G525" s="5"/>
      <c r="H525" s="5"/>
    </row>
    <row r="526" spans="1:8" x14ac:dyDescent="0.2">
      <c r="A526" s="5" t="s">
        <v>740</v>
      </c>
      <c r="B526" s="5" t="s">
        <v>741</v>
      </c>
      <c r="C526" s="8">
        <v>2</v>
      </c>
      <c r="D526" s="5" t="s">
        <v>368</v>
      </c>
      <c r="E526" s="5"/>
      <c r="G526" s="5"/>
      <c r="H526" s="5"/>
    </row>
    <row r="527" spans="1:8" x14ac:dyDescent="0.2">
      <c r="A527" s="5" t="s">
        <v>742</v>
      </c>
      <c r="B527" s="5" t="s">
        <v>743</v>
      </c>
      <c r="C527" s="8">
        <v>2</v>
      </c>
      <c r="D527" s="5" t="s">
        <v>368</v>
      </c>
      <c r="E527" s="5"/>
      <c r="G527" s="5"/>
      <c r="H527" s="5"/>
    </row>
    <row r="528" spans="1:8" x14ac:dyDescent="0.2">
      <c r="A528" s="5" t="s">
        <v>744</v>
      </c>
      <c r="B528" s="5" t="s">
        <v>745</v>
      </c>
      <c r="C528" s="8">
        <v>2</v>
      </c>
      <c r="D528" s="5" t="s">
        <v>368</v>
      </c>
      <c r="E528" s="5"/>
      <c r="G528" s="5"/>
      <c r="H528" s="5"/>
    </row>
    <row r="529" spans="1:8" x14ac:dyDescent="0.2">
      <c r="A529" s="5" t="s">
        <v>746</v>
      </c>
      <c r="B529" s="5" t="s">
        <v>747</v>
      </c>
      <c r="C529" s="8">
        <v>1</v>
      </c>
      <c r="D529" s="5" t="s">
        <v>368</v>
      </c>
      <c r="E529" s="5"/>
      <c r="G529" s="5"/>
      <c r="H529" s="5"/>
    </row>
    <row r="530" spans="1:8" x14ac:dyDescent="0.2">
      <c r="A530" s="5" t="s">
        <v>748</v>
      </c>
      <c r="B530" s="5" t="s">
        <v>749</v>
      </c>
      <c r="C530" s="8">
        <v>1</v>
      </c>
      <c r="D530" s="5" t="s">
        <v>368</v>
      </c>
      <c r="E530" s="5"/>
      <c r="G530" s="5"/>
      <c r="H530" s="5"/>
    </row>
    <row r="531" spans="1:8" x14ac:dyDescent="0.2">
      <c r="A531" s="5" t="s">
        <v>750</v>
      </c>
      <c r="B531" s="5" t="s">
        <v>751</v>
      </c>
      <c r="C531" s="8">
        <v>2</v>
      </c>
      <c r="D531" s="5" t="s">
        <v>368</v>
      </c>
      <c r="E531" s="5"/>
      <c r="G531" s="5"/>
      <c r="H531" s="5"/>
    </row>
    <row r="532" spans="1:8" x14ac:dyDescent="0.2">
      <c r="A532" s="5" t="s">
        <v>752</v>
      </c>
      <c r="B532" s="5" t="s">
        <v>753</v>
      </c>
      <c r="C532" s="8">
        <v>2</v>
      </c>
      <c r="D532" s="5" t="s">
        <v>368</v>
      </c>
      <c r="E532" s="5"/>
      <c r="G532" s="5"/>
      <c r="H532" s="5"/>
    </row>
    <row r="533" spans="1:8" x14ac:dyDescent="0.2">
      <c r="A533" s="5" t="s">
        <v>754</v>
      </c>
      <c r="B533" s="5" t="s">
        <v>755</v>
      </c>
      <c r="C533" s="8">
        <v>2</v>
      </c>
      <c r="D533" s="5" t="s">
        <v>368</v>
      </c>
      <c r="E533" s="5"/>
      <c r="G533" s="5"/>
      <c r="H533" s="5"/>
    </row>
    <row r="534" spans="1:8" x14ac:dyDescent="0.2">
      <c r="A534" s="5" t="s">
        <v>756</v>
      </c>
      <c r="B534" s="5" t="s">
        <v>757</v>
      </c>
      <c r="C534" s="8">
        <v>2</v>
      </c>
      <c r="D534" s="5" t="s">
        <v>368</v>
      </c>
      <c r="E534" s="5"/>
      <c r="G534" s="5"/>
      <c r="H534" s="5"/>
    </row>
    <row r="535" spans="1:8" x14ac:dyDescent="0.2">
      <c r="A535" s="5" t="s">
        <v>758</v>
      </c>
      <c r="B535" s="5" t="s">
        <v>759</v>
      </c>
      <c r="C535" s="8">
        <v>2</v>
      </c>
      <c r="D535" s="5" t="s">
        <v>368</v>
      </c>
      <c r="E535" s="5"/>
      <c r="G535" s="5"/>
      <c r="H535" s="5"/>
    </row>
    <row r="536" spans="1:8" x14ac:dyDescent="0.2">
      <c r="A536" s="5" t="s">
        <v>760</v>
      </c>
      <c r="B536" s="5" t="s">
        <v>761</v>
      </c>
      <c r="C536" s="8">
        <v>2</v>
      </c>
      <c r="D536" s="5" t="s">
        <v>368</v>
      </c>
      <c r="E536" s="5"/>
      <c r="G536" s="5"/>
      <c r="H536" s="5"/>
    </row>
    <row r="537" spans="1:8" x14ac:dyDescent="0.2">
      <c r="A537" s="5" t="s">
        <v>762</v>
      </c>
      <c r="B537" s="5" t="s">
        <v>763</v>
      </c>
      <c r="C537" s="8">
        <v>1</v>
      </c>
      <c r="D537" s="5" t="s">
        <v>368</v>
      </c>
      <c r="E537" s="5"/>
      <c r="G537" s="5"/>
      <c r="H537" s="5"/>
    </row>
    <row r="538" spans="1:8" x14ac:dyDescent="0.2">
      <c r="A538" s="5" t="s">
        <v>764</v>
      </c>
      <c r="B538" s="5" t="s">
        <v>765</v>
      </c>
      <c r="C538" s="8">
        <v>1</v>
      </c>
      <c r="D538" s="5" t="s">
        <v>368</v>
      </c>
      <c r="E538" s="5"/>
      <c r="G538" s="5"/>
      <c r="H538" s="5"/>
    </row>
    <row r="539" spans="1:8" x14ac:dyDescent="0.2">
      <c r="A539" s="5" t="s">
        <v>766</v>
      </c>
      <c r="B539" s="5" t="s">
        <v>767</v>
      </c>
      <c r="C539" s="8">
        <v>2</v>
      </c>
      <c r="D539" s="5" t="s">
        <v>368</v>
      </c>
      <c r="E539" s="5"/>
      <c r="G539" s="5"/>
      <c r="H539" s="5"/>
    </row>
    <row r="540" spans="1:8" x14ac:dyDescent="0.2">
      <c r="A540" s="5" t="s">
        <v>768</v>
      </c>
      <c r="B540" s="5" t="s">
        <v>769</v>
      </c>
      <c r="C540" s="8">
        <v>1</v>
      </c>
      <c r="D540" s="5" t="s">
        <v>368</v>
      </c>
      <c r="E540" s="5"/>
      <c r="G540" s="5"/>
      <c r="H540" s="5"/>
    </row>
    <row r="541" spans="1:8" x14ac:dyDescent="0.2">
      <c r="A541" s="5" t="s">
        <v>770</v>
      </c>
      <c r="B541" s="5" t="s">
        <v>771</v>
      </c>
      <c r="C541" s="8">
        <v>1</v>
      </c>
      <c r="D541" s="5" t="s">
        <v>368</v>
      </c>
      <c r="E541" s="5"/>
      <c r="G541" s="5"/>
      <c r="H541" s="5"/>
    </row>
    <row r="542" spans="1:8" x14ac:dyDescent="0.2">
      <c r="A542" s="5" t="s">
        <v>772</v>
      </c>
      <c r="B542" s="5" t="s">
        <v>773</v>
      </c>
      <c r="C542" s="8">
        <v>1</v>
      </c>
      <c r="D542" s="5" t="s">
        <v>368</v>
      </c>
      <c r="E542" s="5"/>
      <c r="G542" s="5"/>
      <c r="H542" s="5"/>
    </row>
    <row r="543" spans="1:8" x14ac:dyDescent="0.2">
      <c r="A543" s="5" t="s">
        <v>774</v>
      </c>
      <c r="B543" s="5" t="s">
        <v>775</v>
      </c>
      <c r="C543" s="8">
        <v>1</v>
      </c>
      <c r="D543" s="5" t="s">
        <v>368</v>
      </c>
      <c r="E543" s="5"/>
      <c r="G543" s="5"/>
      <c r="H543" s="5"/>
    </row>
    <row r="544" spans="1:8" x14ac:dyDescent="0.2">
      <c r="A544" s="5" t="s">
        <v>776</v>
      </c>
      <c r="B544" s="5" t="s">
        <v>777</v>
      </c>
      <c r="C544" s="8">
        <v>2</v>
      </c>
      <c r="D544" s="5" t="s">
        <v>368</v>
      </c>
      <c r="E544" s="5"/>
      <c r="G544" s="5"/>
      <c r="H544" s="5"/>
    </row>
    <row r="545" spans="1:8" x14ac:dyDescent="0.2">
      <c r="A545" s="5" t="s">
        <v>778</v>
      </c>
      <c r="B545" s="5" t="s">
        <v>779</v>
      </c>
      <c r="C545" s="8">
        <v>2</v>
      </c>
      <c r="D545" s="5" t="s">
        <v>368</v>
      </c>
      <c r="E545" s="5"/>
      <c r="G545" s="5"/>
      <c r="H545" s="5"/>
    </row>
    <row r="546" spans="1:8" x14ac:dyDescent="0.2">
      <c r="A546" s="5" t="s">
        <v>780</v>
      </c>
      <c r="B546" s="5" t="s">
        <v>781</v>
      </c>
      <c r="C546" s="8">
        <v>2</v>
      </c>
      <c r="D546" s="5" t="s">
        <v>368</v>
      </c>
      <c r="E546" s="5"/>
      <c r="G546" s="5"/>
      <c r="H546" s="5"/>
    </row>
    <row r="547" spans="1:8" x14ac:dyDescent="0.2">
      <c r="A547" s="5" t="s">
        <v>782</v>
      </c>
      <c r="B547" s="5" t="s">
        <v>783</v>
      </c>
      <c r="C547" s="8">
        <v>2</v>
      </c>
      <c r="D547" s="5" t="s">
        <v>368</v>
      </c>
      <c r="E547" s="5"/>
      <c r="G547" s="5"/>
      <c r="H547" s="5"/>
    </row>
    <row r="548" spans="1:8" x14ac:dyDescent="0.2">
      <c r="A548" s="5" t="s">
        <v>784</v>
      </c>
      <c r="B548" s="5" t="s">
        <v>785</v>
      </c>
      <c r="C548" s="8">
        <v>2</v>
      </c>
      <c r="D548" s="5" t="s">
        <v>368</v>
      </c>
      <c r="E548" s="5"/>
      <c r="G548" s="5"/>
      <c r="H548" s="5"/>
    </row>
    <row r="549" spans="1:8" x14ac:dyDescent="0.2">
      <c r="A549" s="5" t="s">
        <v>786</v>
      </c>
      <c r="B549" s="5" t="s">
        <v>787</v>
      </c>
      <c r="C549" s="8">
        <v>2</v>
      </c>
      <c r="D549" s="5" t="s">
        <v>368</v>
      </c>
      <c r="E549" s="5"/>
      <c r="G549" s="5"/>
      <c r="H549" s="5"/>
    </row>
    <row r="550" spans="1:8" x14ac:dyDescent="0.2">
      <c r="A550" s="5"/>
      <c r="B550" s="5" t="s">
        <v>658</v>
      </c>
      <c r="C550" s="5"/>
      <c r="D550" s="5" t="s">
        <v>366</v>
      </c>
      <c r="E550" s="5"/>
      <c r="G550" s="5"/>
      <c r="H550" s="5"/>
    </row>
    <row r="551" spans="1:8" x14ac:dyDescent="0.2">
      <c r="A551" s="5" t="s">
        <v>788</v>
      </c>
      <c r="B551" s="5" t="s">
        <v>789</v>
      </c>
      <c r="C551" s="8">
        <v>1</v>
      </c>
      <c r="D551" s="5" t="s">
        <v>368</v>
      </c>
      <c r="E551" s="5"/>
      <c r="G551" s="5"/>
      <c r="H551" s="5"/>
    </row>
    <row r="552" spans="1:8" x14ac:dyDescent="0.2">
      <c r="A552" s="5" t="s">
        <v>790</v>
      </c>
      <c r="B552" s="5" t="s">
        <v>791</v>
      </c>
      <c r="C552" s="8">
        <v>1</v>
      </c>
      <c r="D552" s="5" t="s">
        <v>368</v>
      </c>
      <c r="E552" s="5"/>
      <c r="G552" s="5"/>
      <c r="H552" s="5"/>
    </row>
    <row r="553" spans="1:8" x14ac:dyDescent="0.2">
      <c r="A553" s="5" t="s">
        <v>792</v>
      </c>
      <c r="B553" s="5" t="s">
        <v>793</v>
      </c>
      <c r="C553" s="8">
        <v>1</v>
      </c>
      <c r="D553" s="5" t="s">
        <v>368</v>
      </c>
      <c r="E553" s="5"/>
      <c r="G553" s="5"/>
      <c r="H553" s="5"/>
    </row>
    <row r="554" spans="1:8" x14ac:dyDescent="0.2">
      <c r="A554" s="5" t="s">
        <v>794</v>
      </c>
      <c r="B554" s="5" t="s">
        <v>795</v>
      </c>
      <c r="C554" s="8">
        <v>1</v>
      </c>
      <c r="D554" s="5" t="s">
        <v>368</v>
      </c>
      <c r="E554" s="5"/>
      <c r="G554" s="5"/>
      <c r="H554" s="5"/>
    </row>
    <row r="555" spans="1:8" x14ac:dyDescent="0.2">
      <c r="A555" s="5" t="s">
        <v>796</v>
      </c>
      <c r="B555" s="5" t="s">
        <v>797</v>
      </c>
      <c r="C555" s="8">
        <v>1</v>
      </c>
      <c r="D555" s="5" t="s">
        <v>368</v>
      </c>
      <c r="E555" s="5"/>
      <c r="G555" s="5"/>
      <c r="H555" s="5"/>
    </row>
    <row r="556" spans="1:8" x14ac:dyDescent="0.2">
      <c r="A556" s="5" t="s">
        <v>798</v>
      </c>
      <c r="B556" s="5" t="s">
        <v>799</v>
      </c>
      <c r="C556" s="8">
        <v>1</v>
      </c>
      <c r="D556" s="5" t="s">
        <v>368</v>
      </c>
      <c r="E556" s="5"/>
      <c r="G556" s="5"/>
      <c r="H556" s="5"/>
    </row>
    <row r="557" spans="1:8" x14ac:dyDescent="0.2">
      <c r="A557" s="5" t="s">
        <v>800</v>
      </c>
      <c r="B557" s="5" t="s">
        <v>801</v>
      </c>
      <c r="C557" s="8">
        <v>1</v>
      </c>
      <c r="D557" s="5" t="s">
        <v>368</v>
      </c>
      <c r="E557" s="5"/>
      <c r="G557" s="5"/>
      <c r="H557" s="5"/>
    </row>
    <row r="558" spans="1:8" x14ac:dyDescent="0.2">
      <c r="A558" s="5" t="s">
        <v>802</v>
      </c>
      <c r="B558" s="5" t="s">
        <v>803</v>
      </c>
      <c r="C558" s="8">
        <v>1</v>
      </c>
      <c r="D558" s="5" t="s">
        <v>368</v>
      </c>
      <c r="E558" s="5"/>
      <c r="G558" s="5"/>
      <c r="H558" s="5"/>
    </row>
    <row r="559" spans="1:8" x14ac:dyDescent="0.2">
      <c r="A559" s="5" t="s">
        <v>804</v>
      </c>
      <c r="B559" s="5" t="s">
        <v>805</v>
      </c>
      <c r="C559" s="8">
        <v>1</v>
      </c>
      <c r="D559" s="5" t="s">
        <v>368</v>
      </c>
      <c r="E559" s="5"/>
      <c r="G559" s="5"/>
      <c r="H559" s="5"/>
    </row>
    <row r="560" spans="1:8" x14ac:dyDescent="0.2">
      <c r="A560" s="5" t="s">
        <v>806</v>
      </c>
      <c r="B560" s="5" t="s">
        <v>807</v>
      </c>
      <c r="C560" s="8">
        <v>1</v>
      </c>
      <c r="D560" s="5" t="s">
        <v>368</v>
      </c>
      <c r="E560" s="5"/>
      <c r="G560" s="5"/>
      <c r="H560" s="5"/>
    </row>
    <row r="561" spans="1:8" x14ac:dyDescent="0.2">
      <c r="A561" s="5" t="s">
        <v>808</v>
      </c>
      <c r="B561" s="5" t="s">
        <v>809</v>
      </c>
      <c r="C561" s="8">
        <v>1</v>
      </c>
      <c r="D561" s="5" t="s">
        <v>368</v>
      </c>
      <c r="E561" s="5"/>
      <c r="G561" s="5"/>
      <c r="H561" s="5"/>
    </row>
    <row r="562" spans="1:8" x14ac:dyDescent="0.2">
      <c r="A562" s="5" t="s">
        <v>810</v>
      </c>
      <c r="B562" s="5" t="s">
        <v>811</v>
      </c>
      <c r="C562" s="8">
        <v>1</v>
      </c>
      <c r="D562" s="5" t="s">
        <v>368</v>
      </c>
      <c r="E562" s="5"/>
      <c r="G562" s="5"/>
      <c r="H562" s="5"/>
    </row>
    <row r="563" spans="1:8" x14ac:dyDescent="0.2">
      <c r="A563" s="5" t="s">
        <v>812</v>
      </c>
      <c r="B563" s="5" t="s">
        <v>755</v>
      </c>
      <c r="C563" s="8">
        <v>1</v>
      </c>
      <c r="D563" s="5" t="s">
        <v>368</v>
      </c>
      <c r="E563" s="5"/>
      <c r="G563" s="5"/>
      <c r="H563" s="5"/>
    </row>
    <row r="564" spans="1:8" x14ac:dyDescent="0.2">
      <c r="A564" s="5" t="s">
        <v>813</v>
      </c>
      <c r="B564" s="5" t="s">
        <v>757</v>
      </c>
      <c r="C564" s="8">
        <v>1</v>
      </c>
      <c r="D564" s="5" t="s">
        <v>368</v>
      </c>
      <c r="E564" s="5"/>
      <c r="G564" s="5"/>
      <c r="H564" s="5"/>
    </row>
    <row r="565" spans="1:8" x14ac:dyDescent="0.2">
      <c r="A565" s="5" t="s">
        <v>814</v>
      </c>
      <c r="B565" s="5" t="s">
        <v>815</v>
      </c>
      <c r="C565" s="8">
        <v>2</v>
      </c>
      <c r="D565" s="5" t="s">
        <v>368</v>
      </c>
      <c r="E565" s="5"/>
      <c r="G565" s="5"/>
      <c r="H565" s="5"/>
    </row>
    <row r="566" spans="1:8" x14ac:dyDescent="0.2">
      <c r="A566" s="5" t="s">
        <v>816</v>
      </c>
      <c r="B566" s="5" t="s">
        <v>817</v>
      </c>
      <c r="C566" s="8">
        <v>1</v>
      </c>
      <c r="D566" s="5" t="s">
        <v>368</v>
      </c>
      <c r="E566" s="5"/>
      <c r="G566" s="5"/>
      <c r="H566" s="5"/>
    </row>
    <row r="567" spans="1:8" x14ac:dyDescent="0.2">
      <c r="A567" s="5" t="s">
        <v>818</v>
      </c>
      <c r="B567" s="5" t="s">
        <v>819</v>
      </c>
      <c r="C567" s="8">
        <v>1</v>
      </c>
      <c r="D567" s="5" t="s">
        <v>368</v>
      </c>
      <c r="E567" s="5"/>
      <c r="G567" s="5"/>
      <c r="H567" s="5"/>
    </row>
    <row r="568" spans="1:8" x14ac:dyDescent="0.2">
      <c r="A568" s="5" t="s">
        <v>820</v>
      </c>
      <c r="B568" s="5" t="s">
        <v>821</v>
      </c>
      <c r="C568" s="8">
        <v>2</v>
      </c>
      <c r="D568" s="5" t="s">
        <v>368</v>
      </c>
      <c r="E568" s="5"/>
      <c r="G568" s="5"/>
      <c r="H568" s="5"/>
    </row>
    <row r="569" spans="1:8" x14ac:dyDescent="0.2">
      <c r="A569" s="5" t="s">
        <v>822</v>
      </c>
      <c r="B569" s="5" t="s">
        <v>823</v>
      </c>
      <c r="C569" s="8">
        <v>2</v>
      </c>
      <c r="D569" s="5" t="s">
        <v>368</v>
      </c>
      <c r="E569" s="5"/>
      <c r="G569" s="5"/>
      <c r="H569" s="5"/>
    </row>
    <row r="570" spans="1:8" x14ac:dyDescent="0.2">
      <c r="A570" s="5" t="s">
        <v>824</v>
      </c>
      <c r="B570" s="5" t="s">
        <v>825</v>
      </c>
      <c r="C570" s="8">
        <v>2</v>
      </c>
      <c r="D570" s="5" t="s">
        <v>368</v>
      </c>
      <c r="E570" s="5"/>
      <c r="G570" s="5"/>
      <c r="H570" s="5"/>
    </row>
    <row r="571" spans="1:8" x14ac:dyDescent="0.2">
      <c r="A571" s="5" t="s">
        <v>826</v>
      </c>
      <c r="B571" s="5" t="s">
        <v>827</v>
      </c>
      <c r="C571" s="8">
        <v>2</v>
      </c>
      <c r="D571" s="5" t="s">
        <v>368</v>
      </c>
      <c r="E571" s="5"/>
      <c r="G571" s="5"/>
      <c r="H571" s="5"/>
    </row>
    <row r="572" spans="1:8" x14ac:dyDescent="0.2">
      <c r="A572" s="5" t="s">
        <v>828</v>
      </c>
      <c r="B572" s="5" t="s">
        <v>829</v>
      </c>
      <c r="C572" s="8">
        <v>1</v>
      </c>
      <c r="D572" s="5" t="s">
        <v>368</v>
      </c>
      <c r="E572" s="5"/>
      <c r="G572" s="5"/>
      <c r="H572" s="5"/>
    </row>
    <row r="573" spans="1:8" x14ac:dyDescent="0.2">
      <c r="A573" s="5" t="s">
        <v>830</v>
      </c>
      <c r="B573" s="5" t="s">
        <v>831</v>
      </c>
      <c r="C573" s="8">
        <v>1</v>
      </c>
      <c r="D573" s="5" t="s">
        <v>368</v>
      </c>
      <c r="E573" s="5"/>
      <c r="G573" s="5"/>
      <c r="H573" s="5"/>
    </row>
    <row r="574" spans="1:8" x14ac:dyDescent="0.2">
      <c r="A574" s="5" t="s">
        <v>832</v>
      </c>
      <c r="B574" s="5" t="s">
        <v>833</v>
      </c>
      <c r="C574" s="8">
        <v>1</v>
      </c>
      <c r="D574" s="5" t="s">
        <v>368</v>
      </c>
      <c r="E574" s="5"/>
      <c r="G574" s="5"/>
      <c r="H574" s="5"/>
    </row>
    <row r="575" spans="1:8" x14ac:dyDescent="0.2">
      <c r="A575" s="5" t="s">
        <v>834</v>
      </c>
      <c r="B575" s="5" t="s">
        <v>835</v>
      </c>
      <c r="C575" s="8">
        <v>1</v>
      </c>
      <c r="D575" s="5" t="s">
        <v>368</v>
      </c>
      <c r="E575" s="5"/>
      <c r="G575" s="5"/>
      <c r="H575" s="5"/>
    </row>
    <row r="576" spans="1:8" x14ac:dyDescent="0.2">
      <c r="A576" s="5" t="s">
        <v>836</v>
      </c>
      <c r="B576" s="5" t="s">
        <v>837</v>
      </c>
      <c r="C576" s="8">
        <v>1</v>
      </c>
      <c r="D576" s="5" t="s">
        <v>368</v>
      </c>
      <c r="E576" s="5"/>
      <c r="G576" s="5"/>
      <c r="H576" s="5"/>
    </row>
    <row r="577" spans="1:8" x14ac:dyDescent="0.2">
      <c r="A577" s="5" t="s">
        <v>838</v>
      </c>
      <c r="B577" s="5" t="s">
        <v>839</v>
      </c>
      <c r="C577" s="8">
        <v>1</v>
      </c>
      <c r="D577" s="5" t="s">
        <v>368</v>
      </c>
      <c r="E577" s="5"/>
      <c r="G577" s="5"/>
      <c r="H577" s="5"/>
    </row>
    <row r="578" spans="1:8" x14ac:dyDescent="0.2">
      <c r="A578" s="5" t="s">
        <v>840</v>
      </c>
      <c r="B578" s="5" t="s">
        <v>841</v>
      </c>
      <c r="C578" s="8">
        <v>1</v>
      </c>
      <c r="D578" s="5" t="s">
        <v>368</v>
      </c>
      <c r="E578" s="5"/>
      <c r="G578" s="5"/>
      <c r="H578" s="5"/>
    </row>
    <row r="579" spans="1:8" x14ac:dyDescent="0.2">
      <c r="A579" s="5"/>
      <c r="B579" s="5" t="s">
        <v>662</v>
      </c>
      <c r="C579" s="5"/>
      <c r="D579" s="5" t="s">
        <v>366</v>
      </c>
      <c r="E579" s="5"/>
      <c r="G579" s="5"/>
      <c r="H579" s="5"/>
    </row>
    <row r="580" spans="1:8" x14ac:dyDescent="0.2">
      <c r="A580" s="5" t="s">
        <v>842</v>
      </c>
      <c r="B580" s="5" t="s">
        <v>789</v>
      </c>
      <c r="C580" s="8">
        <v>1</v>
      </c>
      <c r="D580" s="5" t="s">
        <v>368</v>
      </c>
      <c r="E580" s="5"/>
      <c r="G580" s="5"/>
      <c r="H580" s="5"/>
    </row>
    <row r="581" spans="1:8" x14ac:dyDescent="0.2">
      <c r="A581" s="5" t="s">
        <v>843</v>
      </c>
      <c r="B581" s="5" t="s">
        <v>844</v>
      </c>
      <c r="C581" s="8">
        <v>1</v>
      </c>
      <c r="D581" s="5" t="s">
        <v>368</v>
      </c>
      <c r="E581" s="5"/>
      <c r="G581" s="5"/>
      <c r="H581" s="5"/>
    </row>
    <row r="582" spans="1:8" x14ac:dyDescent="0.2">
      <c r="A582" s="5" t="s">
        <v>845</v>
      </c>
      <c r="B582" s="5" t="s">
        <v>793</v>
      </c>
      <c r="C582" s="8">
        <v>1</v>
      </c>
      <c r="D582" s="5" t="s">
        <v>368</v>
      </c>
      <c r="E582" s="5"/>
      <c r="G582" s="5"/>
      <c r="H582" s="5"/>
    </row>
    <row r="583" spans="1:8" x14ac:dyDescent="0.2">
      <c r="A583" s="5" t="s">
        <v>846</v>
      </c>
      <c r="B583" s="5" t="s">
        <v>795</v>
      </c>
      <c r="C583" s="8">
        <v>1</v>
      </c>
      <c r="D583" s="5" t="s">
        <v>368</v>
      </c>
      <c r="E583" s="5"/>
      <c r="G583" s="5"/>
      <c r="H583" s="5"/>
    </row>
    <row r="584" spans="1:8" x14ac:dyDescent="0.2">
      <c r="A584" s="5" t="s">
        <v>847</v>
      </c>
      <c r="B584" s="5" t="s">
        <v>797</v>
      </c>
      <c r="C584" s="8">
        <v>1</v>
      </c>
      <c r="D584" s="5" t="s">
        <v>368</v>
      </c>
      <c r="E584" s="5"/>
      <c r="G584" s="5"/>
      <c r="H584" s="5"/>
    </row>
    <row r="585" spans="1:8" x14ac:dyDescent="0.2">
      <c r="A585" s="5" t="s">
        <v>848</v>
      </c>
      <c r="B585" s="5" t="s">
        <v>799</v>
      </c>
      <c r="C585" s="8">
        <v>1</v>
      </c>
      <c r="D585" s="5" t="s">
        <v>368</v>
      </c>
      <c r="E585" s="5"/>
      <c r="G585" s="5"/>
      <c r="H585" s="5"/>
    </row>
    <row r="586" spans="1:8" x14ac:dyDescent="0.2">
      <c r="A586" s="5" t="s">
        <v>849</v>
      </c>
      <c r="B586" s="5" t="s">
        <v>801</v>
      </c>
      <c r="C586" s="8">
        <v>1</v>
      </c>
      <c r="D586" s="5" t="s">
        <v>368</v>
      </c>
      <c r="E586" s="5"/>
      <c r="G586" s="5"/>
      <c r="H586" s="5"/>
    </row>
    <row r="587" spans="1:8" x14ac:dyDescent="0.2">
      <c r="A587" s="5" t="s">
        <v>850</v>
      </c>
      <c r="B587" s="5" t="s">
        <v>803</v>
      </c>
      <c r="C587" s="8">
        <v>1</v>
      </c>
      <c r="D587" s="5" t="s">
        <v>368</v>
      </c>
      <c r="E587" s="5"/>
      <c r="G587" s="5"/>
      <c r="H587" s="5"/>
    </row>
    <row r="588" spans="1:8" x14ac:dyDescent="0.2">
      <c r="A588" s="5" t="s">
        <v>851</v>
      </c>
      <c r="B588" s="5" t="s">
        <v>805</v>
      </c>
      <c r="C588" s="8">
        <v>1</v>
      </c>
      <c r="D588" s="5" t="s">
        <v>368</v>
      </c>
      <c r="E588" s="5"/>
      <c r="G588" s="5"/>
      <c r="H588" s="5"/>
    </row>
    <row r="589" spans="1:8" x14ac:dyDescent="0.2">
      <c r="A589" s="5" t="s">
        <v>852</v>
      </c>
      <c r="B589" s="5" t="s">
        <v>807</v>
      </c>
      <c r="C589" s="8">
        <v>1</v>
      </c>
      <c r="D589" s="5" t="s">
        <v>368</v>
      </c>
      <c r="E589" s="5"/>
      <c r="G589" s="5"/>
      <c r="H589" s="5"/>
    </row>
    <row r="590" spans="1:8" x14ac:dyDescent="0.2">
      <c r="A590" s="5" t="s">
        <v>853</v>
      </c>
      <c r="B590" s="5" t="s">
        <v>809</v>
      </c>
      <c r="C590" s="8">
        <v>2</v>
      </c>
      <c r="D590" s="5" t="s">
        <v>368</v>
      </c>
      <c r="E590" s="5"/>
      <c r="G590" s="5"/>
      <c r="H590" s="5"/>
    </row>
    <row r="591" spans="1:8" x14ac:dyDescent="0.2">
      <c r="A591" s="5" t="s">
        <v>854</v>
      </c>
      <c r="B591" s="5" t="s">
        <v>811</v>
      </c>
      <c r="C591" s="8">
        <v>1</v>
      </c>
      <c r="D591" s="5" t="s">
        <v>368</v>
      </c>
      <c r="E591" s="5"/>
      <c r="G591" s="5"/>
      <c r="H591" s="5"/>
    </row>
    <row r="592" spans="1:8" x14ac:dyDescent="0.2">
      <c r="A592" s="5" t="s">
        <v>855</v>
      </c>
      <c r="B592" s="5" t="s">
        <v>755</v>
      </c>
      <c r="C592" s="8">
        <v>1</v>
      </c>
      <c r="D592" s="5" t="s">
        <v>368</v>
      </c>
      <c r="E592" s="5"/>
      <c r="G592" s="5"/>
      <c r="H592" s="5"/>
    </row>
    <row r="593" spans="1:8" x14ac:dyDescent="0.2">
      <c r="A593" s="5" t="s">
        <v>856</v>
      </c>
      <c r="B593" s="5" t="s">
        <v>757</v>
      </c>
      <c r="C593" s="8">
        <v>1</v>
      </c>
      <c r="D593" s="5" t="s">
        <v>368</v>
      </c>
      <c r="E593" s="5"/>
      <c r="G593" s="5"/>
      <c r="H593" s="5"/>
    </row>
    <row r="594" spans="1:8" x14ac:dyDescent="0.2">
      <c r="A594" s="5" t="s">
        <v>857</v>
      </c>
      <c r="B594" s="5" t="s">
        <v>815</v>
      </c>
      <c r="C594" s="8">
        <v>1</v>
      </c>
      <c r="D594" s="5" t="s">
        <v>368</v>
      </c>
      <c r="E594" s="5"/>
      <c r="G594" s="5"/>
      <c r="H594" s="5"/>
    </row>
    <row r="595" spans="1:8" x14ac:dyDescent="0.2">
      <c r="A595" s="5" t="s">
        <v>858</v>
      </c>
      <c r="B595" s="5" t="s">
        <v>817</v>
      </c>
      <c r="C595" s="8">
        <v>1</v>
      </c>
      <c r="D595" s="5" t="s">
        <v>368</v>
      </c>
      <c r="E595" s="5"/>
      <c r="G595" s="5"/>
      <c r="H595" s="5"/>
    </row>
    <row r="596" spans="1:8" x14ac:dyDescent="0.2">
      <c r="A596" s="5" t="s">
        <v>859</v>
      </c>
      <c r="B596" s="5" t="s">
        <v>819</v>
      </c>
      <c r="C596" s="8">
        <v>1</v>
      </c>
      <c r="D596" s="5" t="s">
        <v>368</v>
      </c>
      <c r="E596" s="5"/>
      <c r="G596" s="5"/>
      <c r="H596" s="5"/>
    </row>
    <row r="597" spans="1:8" x14ac:dyDescent="0.2">
      <c r="A597" s="5" t="s">
        <v>860</v>
      </c>
      <c r="B597" s="5" t="s">
        <v>821</v>
      </c>
      <c r="C597" s="8">
        <v>1</v>
      </c>
      <c r="D597" s="5" t="s">
        <v>368</v>
      </c>
      <c r="E597" s="5"/>
      <c r="G597" s="5"/>
      <c r="H597" s="5"/>
    </row>
    <row r="598" spans="1:8" x14ac:dyDescent="0.2">
      <c r="A598" s="5" t="s">
        <v>861</v>
      </c>
      <c r="B598" s="5" t="s">
        <v>823</v>
      </c>
      <c r="C598" s="8">
        <v>1</v>
      </c>
      <c r="D598" s="5" t="s">
        <v>368</v>
      </c>
      <c r="E598" s="5"/>
      <c r="G598" s="5"/>
      <c r="H598" s="5"/>
    </row>
    <row r="599" spans="1:8" x14ac:dyDescent="0.2">
      <c r="A599" s="5" t="s">
        <v>862</v>
      </c>
      <c r="B599" s="5" t="s">
        <v>825</v>
      </c>
      <c r="C599" s="8">
        <v>1</v>
      </c>
      <c r="D599" s="5" t="s">
        <v>368</v>
      </c>
      <c r="E599" s="5"/>
      <c r="G599" s="5"/>
      <c r="H599" s="5"/>
    </row>
    <row r="600" spans="1:8" x14ac:dyDescent="0.2">
      <c r="A600" s="5" t="s">
        <v>863</v>
      </c>
      <c r="B600" s="5" t="s">
        <v>827</v>
      </c>
      <c r="C600" s="8">
        <v>1</v>
      </c>
      <c r="D600" s="5" t="s">
        <v>368</v>
      </c>
      <c r="E600" s="5"/>
      <c r="G600" s="5"/>
      <c r="H600" s="5"/>
    </row>
    <row r="601" spans="1:8" x14ac:dyDescent="0.2">
      <c r="A601" s="5" t="s">
        <v>864</v>
      </c>
      <c r="B601" s="5" t="s">
        <v>829</v>
      </c>
      <c r="C601" s="8">
        <v>2</v>
      </c>
      <c r="D601" s="5" t="s">
        <v>368</v>
      </c>
      <c r="E601" s="5"/>
      <c r="G601" s="5"/>
      <c r="H601" s="5"/>
    </row>
    <row r="602" spans="1:8" x14ac:dyDescent="0.2">
      <c r="A602" s="5" t="s">
        <v>865</v>
      </c>
      <c r="B602" s="5" t="s">
        <v>831</v>
      </c>
      <c r="C602" s="8">
        <v>1</v>
      </c>
      <c r="D602" s="5" t="s">
        <v>368</v>
      </c>
      <c r="E602" s="5"/>
      <c r="G602" s="5"/>
      <c r="H602" s="5"/>
    </row>
    <row r="603" spans="1:8" x14ac:dyDescent="0.2">
      <c r="A603" s="5" t="s">
        <v>866</v>
      </c>
      <c r="B603" s="5" t="s">
        <v>833</v>
      </c>
      <c r="C603" s="8">
        <v>1</v>
      </c>
      <c r="D603" s="5" t="s">
        <v>368</v>
      </c>
      <c r="E603" s="5"/>
      <c r="G603" s="5"/>
      <c r="H603" s="5"/>
    </row>
    <row r="604" spans="1:8" x14ac:dyDescent="0.2">
      <c r="A604" s="5" t="s">
        <v>867</v>
      </c>
      <c r="B604" s="5" t="s">
        <v>835</v>
      </c>
      <c r="C604" s="8">
        <v>1</v>
      </c>
      <c r="D604" s="5" t="s">
        <v>368</v>
      </c>
      <c r="E604" s="5"/>
      <c r="G604" s="5"/>
      <c r="H604" s="5"/>
    </row>
    <row r="605" spans="1:8" x14ac:dyDescent="0.2">
      <c r="A605" s="5" t="s">
        <v>868</v>
      </c>
      <c r="B605" s="5" t="s">
        <v>837</v>
      </c>
      <c r="C605" s="8">
        <v>1</v>
      </c>
      <c r="D605" s="5" t="s">
        <v>368</v>
      </c>
      <c r="E605" s="5"/>
      <c r="G605" s="5"/>
      <c r="H605" s="5"/>
    </row>
    <row r="606" spans="1:8" x14ac:dyDescent="0.2">
      <c r="A606" s="5" t="s">
        <v>869</v>
      </c>
      <c r="B606" s="5" t="s">
        <v>839</v>
      </c>
      <c r="C606" s="8">
        <v>1</v>
      </c>
      <c r="D606" s="5" t="s">
        <v>368</v>
      </c>
      <c r="E606" s="5"/>
      <c r="G606" s="5"/>
      <c r="H606" s="5"/>
    </row>
    <row r="607" spans="1:8" x14ac:dyDescent="0.2">
      <c r="A607" s="5" t="s">
        <v>870</v>
      </c>
      <c r="B607" s="5" t="s">
        <v>841</v>
      </c>
      <c r="C607" s="8">
        <v>2</v>
      </c>
      <c r="D607" s="5" t="s">
        <v>368</v>
      </c>
      <c r="E607" s="5"/>
      <c r="G607" s="5"/>
      <c r="H607" s="5"/>
    </row>
    <row r="608" spans="1:8" x14ac:dyDescent="0.2">
      <c r="A608" s="5"/>
      <c r="B608" s="5" t="s">
        <v>666</v>
      </c>
      <c r="C608" s="5"/>
      <c r="D608" s="5" t="s">
        <v>366</v>
      </c>
      <c r="E608" s="5"/>
      <c r="G608" s="5"/>
      <c r="H608" s="5"/>
    </row>
    <row r="609" spans="1:8" x14ac:dyDescent="0.2">
      <c r="A609" s="5" t="s">
        <v>871</v>
      </c>
      <c r="B609" s="5" t="s">
        <v>872</v>
      </c>
      <c r="C609" s="8">
        <v>1</v>
      </c>
      <c r="D609" s="5" t="s">
        <v>368</v>
      </c>
      <c r="E609" s="5"/>
      <c r="G609" s="5"/>
      <c r="H609" s="5"/>
    </row>
    <row r="610" spans="1:8" x14ac:dyDescent="0.2">
      <c r="A610" s="5" t="s">
        <v>873</v>
      </c>
      <c r="B610" s="5" t="s">
        <v>874</v>
      </c>
      <c r="C610" s="8">
        <v>1</v>
      </c>
      <c r="D610" s="5" t="s">
        <v>368</v>
      </c>
      <c r="E610" s="5"/>
      <c r="G610" s="5"/>
      <c r="H610" s="5"/>
    </row>
    <row r="611" spans="1:8" x14ac:dyDescent="0.2">
      <c r="A611" s="5" t="s">
        <v>875</v>
      </c>
      <c r="B611" s="5" t="s">
        <v>876</v>
      </c>
      <c r="C611" s="8">
        <v>1</v>
      </c>
      <c r="D611" s="5" t="s">
        <v>368</v>
      </c>
      <c r="E611" s="5"/>
      <c r="G611" s="5"/>
      <c r="H611" s="5"/>
    </row>
    <row r="612" spans="1:8" x14ac:dyDescent="0.2">
      <c r="A612" s="5" t="s">
        <v>877</v>
      </c>
      <c r="B612" s="5" t="s">
        <v>878</v>
      </c>
      <c r="C612" s="8">
        <v>1</v>
      </c>
      <c r="D612" s="5" t="s">
        <v>368</v>
      </c>
      <c r="E612" s="5"/>
      <c r="G612" s="5"/>
      <c r="H612" s="5"/>
    </row>
    <row r="613" spans="1:8" x14ac:dyDescent="0.2">
      <c r="A613" s="5" t="s">
        <v>879</v>
      </c>
      <c r="B613" s="5" t="s">
        <v>880</v>
      </c>
      <c r="C613" s="8">
        <v>1</v>
      </c>
      <c r="D613" s="5" t="s">
        <v>368</v>
      </c>
      <c r="E613" s="5"/>
      <c r="G613" s="5"/>
      <c r="H613" s="5"/>
    </row>
    <row r="614" spans="1:8" x14ac:dyDescent="0.2">
      <c r="A614" s="5" t="s">
        <v>881</v>
      </c>
      <c r="B614" s="5" t="s">
        <v>882</v>
      </c>
      <c r="C614" s="8">
        <v>1</v>
      </c>
      <c r="D614" s="5" t="s">
        <v>368</v>
      </c>
      <c r="E614" s="5"/>
      <c r="G614" s="5"/>
      <c r="H614" s="5"/>
    </row>
    <row r="615" spans="1:8" x14ac:dyDescent="0.2">
      <c r="A615" s="5" t="s">
        <v>883</v>
      </c>
      <c r="B615" s="5" t="s">
        <v>884</v>
      </c>
      <c r="C615" s="8">
        <v>1</v>
      </c>
      <c r="D615" s="5" t="s">
        <v>368</v>
      </c>
      <c r="E615" s="5"/>
      <c r="G615" s="5"/>
      <c r="H615" s="5"/>
    </row>
    <row r="616" spans="1:8" x14ac:dyDescent="0.2">
      <c r="A616" s="5" t="s">
        <v>885</v>
      </c>
      <c r="B616" s="5" t="s">
        <v>886</v>
      </c>
      <c r="C616" s="8">
        <v>1</v>
      </c>
      <c r="D616" s="5" t="s">
        <v>368</v>
      </c>
      <c r="E616" s="5"/>
      <c r="G616" s="5"/>
      <c r="H616" s="5"/>
    </row>
    <row r="617" spans="1:8" x14ac:dyDescent="0.2">
      <c r="A617" s="5" t="s">
        <v>887</v>
      </c>
      <c r="B617" s="5" t="s">
        <v>888</v>
      </c>
      <c r="C617" s="8">
        <v>1</v>
      </c>
      <c r="D617" s="5" t="s">
        <v>368</v>
      </c>
      <c r="E617" s="5"/>
      <c r="G617" s="5"/>
      <c r="H617" s="5"/>
    </row>
    <row r="618" spans="1:8" x14ac:dyDescent="0.2">
      <c r="A618" s="5" t="s">
        <v>889</v>
      </c>
      <c r="B618" s="5" t="s">
        <v>890</v>
      </c>
      <c r="C618" s="8">
        <v>1</v>
      </c>
      <c r="D618" s="5" t="s">
        <v>368</v>
      </c>
      <c r="E618" s="5"/>
      <c r="G618" s="5"/>
      <c r="H618" s="5"/>
    </row>
    <row r="619" spans="1:8" x14ac:dyDescent="0.2">
      <c r="A619" s="5" t="s">
        <v>891</v>
      </c>
      <c r="B619" s="5" t="s">
        <v>892</v>
      </c>
      <c r="C619" s="8">
        <v>1</v>
      </c>
      <c r="D619" s="5" t="s">
        <v>368</v>
      </c>
      <c r="E619" s="5"/>
      <c r="G619" s="5"/>
      <c r="H619" s="5"/>
    </row>
    <row r="620" spans="1:8" x14ac:dyDescent="0.2">
      <c r="A620" s="5" t="s">
        <v>893</v>
      </c>
      <c r="B620" s="5" t="s">
        <v>894</v>
      </c>
      <c r="C620" s="8">
        <v>1</v>
      </c>
      <c r="D620" s="5" t="s">
        <v>368</v>
      </c>
      <c r="E620" s="5"/>
      <c r="G620" s="5"/>
      <c r="H620" s="5"/>
    </row>
    <row r="621" spans="1:8" x14ac:dyDescent="0.2">
      <c r="A621" s="5" t="s">
        <v>895</v>
      </c>
      <c r="B621" s="5" t="s">
        <v>896</v>
      </c>
      <c r="C621" s="8">
        <v>1</v>
      </c>
      <c r="D621" s="5" t="s">
        <v>368</v>
      </c>
      <c r="E621" s="5"/>
      <c r="G621" s="5"/>
      <c r="H621" s="5"/>
    </row>
    <row r="622" spans="1:8" x14ac:dyDescent="0.2">
      <c r="A622" s="5" t="s">
        <v>897</v>
      </c>
      <c r="B622" s="5" t="s">
        <v>898</v>
      </c>
      <c r="C622" s="8">
        <v>1</v>
      </c>
      <c r="D622" s="5" t="s">
        <v>368</v>
      </c>
      <c r="E622" s="5"/>
      <c r="G622" s="5"/>
      <c r="H622" s="5"/>
    </row>
    <row r="623" spans="1:8" x14ac:dyDescent="0.2">
      <c r="A623" s="5" t="s">
        <v>899</v>
      </c>
      <c r="B623" s="5" t="s">
        <v>900</v>
      </c>
      <c r="C623" s="8">
        <v>1</v>
      </c>
      <c r="D623" s="5" t="s">
        <v>368</v>
      </c>
      <c r="E623" s="5"/>
      <c r="G623" s="5"/>
      <c r="H623" s="5"/>
    </row>
    <row r="624" spans="1:8" x14ac:dyDescent="0.2">
      <c r="A624" s="5" t="s">
        <v>901</v>
      </c>
      <c r="B624" s="5" t="s">
        <v>902</v>
      </c>
      <c r="C624" s="8">
        <v>1</v>
      </c>
      <c r="D624" s="5" t="s">
        <v>368</v>
      </c>
      <c r="E624" s="5"/>
      <c r="G624" s="5"/>
      <c r="H624" s="5"/>
    </row>
    <row r="625" spans="1:8" x14ac:dyDescent="0.2">
      <c r="A625" s="5" t="s">
        <v>903</v>
      </c>
      <c r="B625" s="5" t="s">
        <v>904</v>
      </c>
      <c r="C625" s="8">
        <v>1</v>
      </c>
      <c r="D625" s="5" t="s">
        <v>368</v>
      </c>
      <c r="E625" s="5"/>
      <c r="G625" s="5"/>
      <c r="H625" s="5"/>
    </row>
    <row r="626" spans="1:8" x14ac:dyDescent="0.2">
      <c r="A626" s="5" t="s">
        <v>905</v>
      </c>
      <c r="B626" s="5" t="s">
        <v>906</v>
      </c>
      <c r="C626" s="8">
        <v>1</v>
      </c>
      <c r="D626" s="5" t="s">
        <v>368</v>
      </c>
      <c r="E626" s="5"/>
      <c r="G626" s="5"/>
      <c r="H626" s="5"/>
    </row>
    <row r="627" spans="1:8" x14ac:dyDescent="0.2">
      <c r="A627" s="5" t="s">
        <v>907</v>
      </c>
      <c r="B627" s="5" t="s">
        <v>908</v>
      </c>
      <c r="C627" s="8">
        <v>1</v>
      </c>
      <c r="D627" s="5" t="s">
        <v>368</v>
      </c>
      <c r="E627" s="5"/>
      <c r="G627" s="5"/>
      <c r="H627" s="5"/>
    </row>
    <row r="628" spans="1:8" x14ac:dyDescent="0.2">
      <c r="A628" s="5"/>
      <c r="B628" s="5" t="s">
        <v>909</v>
      </c>
      <c r="C628" s="5"/>
      <c r="D628" s="5" t="s">
        <v>322</v>
      </c>
      <c r="E628" s="5"/>
      <c r="G628" s="5"/>
      <c r="H628" s="5"/>
    </row>
    <row r="629" spans="1:8" x14ac:dyDescent="0.2">
      <c r="A629" s="5"/>
      <c r="B629" s="5" t="s">
        <v>653</v>
      </c>
      <c r="C629" s="5"/>
      <c r="D629" s="5" t="s">
        <v>366</v>
      </c>
      <c r="E629" s="5"/>
      <c r="G629" s="5"/>
      <c r="H629" s="5"/>
    </row>
    <row r="630" spans="1:8" x14ac:dyDescent="0.2">
      <c r="A630" s="5" t="s">
        <v>910</v>
      </c>
      <c r="B630" s="5" t="s">
        <v>911</v>
      </c>
      <c r="C630" s="8">
        <v>104</v>
      </c>
      <c r="D630" s="5" t="s">
        <v>368</v>
      </c>
      <c r="E630" s="5"/>
      <c r="G630" s="5"/>
      <c r="H630" s="5"/>
    </row>
    <row r="631" spans="1:8" x14ac:dyDescent="0.2">
      <c r="A631" s="5"/>
      <c r="B631" s="5" t="s">
        <v>912</v>
      </c>
      <c r="C631" s="5"/>
      <c r="D631" s="5" t="s">
        <v>322</v>
      </c>
      <c r="E631" s="5"/>
      <c r="G631" s="5"/>
      <c r="H631" s="5"/>
    </row>
    <row r="632" spans="1:8" x14ac:dyDescent="0.2">
      <c r="A632" s="5"/>
      <c r="B632" s="5" t="s">
        <v>658</v>
      </c>
      <c r="C632" s="5"/>
      <c r="D632" s="5" t="s">
        <v>366</v>
      </c>
      <c r="E632" s="5"/>
      <c r="G632" s="5"/>
      <c r="H632" s="5"/>
    </row>
    <row r="633" spans="1:8" x14ac:dyDescent="0.2">
      <c r="A633" s="5" t="s">
        <v>913</v>
      </c>
      <c r="B633" s="5" t="s">
        <v>914</v>
      </c>
      <c r="C633" s="8">
        <v>4</v>
      </c>
      <c r="D633" s="5" t="s">
        <v>368</v>
      </c>
      <c r="E633" s="5"/>
      <c r="G633" s="5"/>
      <c r="H633" s="5"/>
    </row>
    <row r="634" spans="1:8" x14ac:dyDescent="0.2">
      <c r="A634" s="5" t="s">
        <v>915</v>
      </c>
      <c r="B634" s="5" t="s">
        <v>916</v>
      </c>
      <c r="C634" s="8">
        <v>310</v>
      </c>
      <c r="D634" s="5" t="s">
        <v>368</v>
      </c>
      <c r="E634" s="5"/>
      <c r="G634" s="5"/>
      <c r="H634" s="5"/>
    </row>
    <row r="635" spans="1:8" x14ac:dyDescent="0.2">
      <c r="A635" s="5" t="s">
        <v>917</v>
      </c>
      <c r="B635" s="5" t="s">
        <v>918</v>
      </c>
      <c r="C635" s="8">
        <v>38</v>
      </c>
      <c r="D635" s="5" t="s">
        <v>368</v>
      </c>
      <c r="E635" s="5"/>
      <c r="G635" s="5"/>
      <c r="H635" s="5"/>
    </row>
    <row r="636" spans="1:8" x14ac:dyDescent="0.2">
      <c r="A636" s="5" t="s">
        <v>919</v>
      </c>
      <c r="B636" s="5" t="s">
        <v>920</v>
      </c>
      <c r="C636" s="8">
        <v>1</v>
      </c>
      <c r="D636" s="5" t="s">
        <v>368</v>
      </c>
      <c r="E636" s="5"/>
      <c r="G636" s="5"/>
      <c r="H636" s="5"/>
    </row>
    <row r="637" spans="1:8" x14ac:dyDescent="0.2">
      <c r="A637" s="5" t="s">
        <v>921</v>
      </c>
      <c r="B637" s="5" t="s">
        <v>922</v>
      </c>
      <c r="C637" s="8">
        <v>2</v>
      </c>
      <c r="D637" s="5" t="s">
        <v>368</v>
      </c>
      <c r="E637" s="5"/>
      <c r="G637" s="5"/>
      <c r="H637" s="5"/>
    </row>
    <row r="638" spans="1:8" x14ac:dyDescent="0.2">
      <c r="A638" s="5" t="s">
        <v>923</v>
      </c>
      <c r="B638" s="5" t="s">
        <v>924</v>
      </c>
      <c r="C638" s="8">
        <v>1</v>
      </c>
      <c r="D638" s="5" t="s">
        <v>368</v>
      </c>
      <c r="E638" s="5"/>
      <c r="G638" s="5"/>
      <c r="H638" s="5"/>
    </row>
    <row r="639" spans="1:8" x14ac:dyDescent="0.2">
      <c r="A639" s="5" t="s">
        <v>925</v>
      </c>
      <c r="B639" s="5" t="s">
        <v>926</v>
      </c>
      <c r="C639" s="8">
        <v>32</v>
      </c>
      <c r="D639" s="5" t="s">
        <v>42</v>
      </c>
      <c r="E639" s="5"/>
      <c r="G639" s="5"/>
      <c r="H639" s="5"/>
    </row>
    <row r="640" spans="1:8" x14ac:dyDescent="0.2">
      <c r="A640" s="5"/>
      <c r="B640" s="5" t="s">
        <v>662</v>
      </c>
      <c r="C640" s="5"/>
      <c r="D640" s="5" t="s">
        <v>366</v>
      </c>
      <c r="E640" s="5"/>
      <c r="G640" s="5"/>
      <c r="H640" s="5"/>
    </row>
    <row r="641" spans="1:8" x14ac:dyDescent="0.2">
      <c r="A641" s="5" t="s">
        <v>927</v>
      </c>
      <c r="B641" s="5" t="s">
        <v>928</v>
      </c>
      <c r="C641" s="8">
        <v>1</v>
      </c>
      <c r="D641" s="5" t="s">
        <v>368</v>
      </c>
      <c r="E641" s="5"/>
      <c r="G641" s="5"/>
      <c r="H641" s="5"/>
    </row>
    <row r="642" spans="1:8" x14ac:dyDescent="0.2">
      <c r="A642" s="5" t="s">
        <v>929</v>
      </c>
      <c r="B642" s="5" t="s">
        <v>930</v>
      </c>
      <c r="C642" s="8">
        <v>300</v>
      </c>
      <c r="D642" s="5" t="s">
        <v>368</v>
      </c>
      <c r="E642" s="5"/>
      <c r="G642" s="5"/>
      <c r="H642" s="5"/>
    </row>
    <row r="643" spans="1:8" x14ac:dyDescent="0.2">
      <c r="A643" s="5" t="s">
        <v>931</v>
      </c>
      <c r="B643" s="5" t="s">
        <v>932</v>
      </c>
      <c r="C643" s="8">
        <v>12</v>
      </c>
      <c r="D643" s="5" t="s">
        <v>368</v>
      </c>
      <c r="E643" s="5"/>
      <c r="G643" s="5"/>
      <c r="H643" s="5"/>
    </row>
    <row r="644" spans="1:8" x14ac:dyDescent="0.2">
      <c r="A644" s="5" t="s">
        <v>933</v>
      </c>
      <c r="B644" s="5" t="s">
        <v>934</v>
      </c>
      <c r="C644" s="8">
        <v>27</v>
      </c>
      <c r="D644" s="5" t="s">
        <v>368</v>
      </c>
      <c r="E644" s="5"/>
      <c r="G644" s="5"/>
      <c r="H644" s="5"/>
    </row>
    <row r="645" spans="1:8" x14ac:dyDescent="0.2">
      <c r="A645" s="5" t="s">
        <v>935</v>
      </c>
      <c r="B645" s="5" t="s">
        <v>936</v>
      </c>
      <c r="C645" s="8">
        <v>1</v>
      </c>
      <c r="D645" s="5" t="s">
        <v>368</v>
      </c>
      <c r="E645" s="5"/>
      <c r="G645" s="5"/>
      <c r="H645" s="5"/>
    </row>
    <row r="646" spans="1:8" x14ac:dyDescent="0.2">
      <c r="A646" s="5" t="s">
        <v>937</v>
      </c>
      <c r="B646" s="5" t="s">
        <v>938</v>
      </c>
      <c r="C646" s="8">
        <v>2</v>
      </c>
      <c r="D646" s="5" t="s">
        <v>368</v>
      </c>
      <c r="E646" s="5"/>
      <c r="G646" s="5"/>
      <c r="H646" s="5"/>
    </row>
    <row r="647" spans="1:8" x14ac:dyDescent="0.2">
      <c r="A647" s="5" t="s">
        <v>939</v>
      </c>
      <c r="B647" s="5" t="s">
        <v>940</v>
      </c>
      <c r="C647" s="8">
        <v>1</v>
      </c>
      <c r="D647" s="5" t="s">
        <v>368</v>
      </c>
      <c r="E647" s="5"/>
      <c r="G647" s="5"/>
      <c r="H647" s="5"/>
    </row>
    <row r="648" spans="1:8" x14ac:dyDescent="0.2">
      <c r="A648" s="5" t="s">
        <v>941</v>
      </c>
      <c r="B648" s="5" t="s">
        <v>926</v>
      </c>
      <c r="C648" s="8">
        <v>98</v>
      </c>
      <c r="D648" s="5" t="s">
        <v>42</v>
      </c>
      <c r="E648" s="5"/>
      <c r="G648" s="5"/>
      <c r="H648" s="5"/>
    </row>
    <row r="649" spans="1:8" x14ac:dyDescent="0.2">
      <c r="A649" s="5"/>
      <c r="B649" s="5" t="s">
        <v>666</v>
      </c>
      <c r="C649" s="5"/>
      <c r="D649" s="5" t="s">
        <v>366</v>
      </c>
      <c r="E649" s="5"/>
      <c r="G649" s="5"/>
      <c r="H649" s="5"/>
    </row>
    <row r="650" spans="1:8" x14ac:dyDescent="0.2">
      <c r="A650" s="5" t="s">
        <v>942</v>
      </c>
      <c r="B650" s="5" t="s">
        <v>928</v>
      </c>
      <c r="C650" s="8">
        <v>1</v>
      </c>
      <c r="D650" s="5" t="s">
        <v>368</v>
      </c>
      <c r="E650" s="5"/>
      <c r="G650" s="5"/>
      <c r="H650" s="5"/>
    </row>
    <row r="651" spans="1:8" x14ac:dyDescent="0.2">
      <c r="A651" s="5" t="s">
        <v>943</v>
      </c>
      <c r="B651" s="5" t="s">
        <v>944</v>
      </c>
      <c r="C651" s="8">
        <v>302</v>
      </c>
      <c r="D651" s="5" t="s">
        <v>368</v>
      </c>
      <c r="E651" s="5"/>
      <c r="G651" s="5"/>
      <c r="H651" s="5"/>
    </row>
    <row r="652" spans="1:8" x14ac:dyDescent="0.2">
      <c r="A652" s="5" t="s">
        <v>945</v>
      </c>
      <c r="B652" s="5" t="s">
        <v>946</v>
      </c>
      <c r="C652" s="8">
        <v>16</v>
      </c>
      <c r="D652" s="5" t="s">
        <v>368</v>
      </c>
      <c r="E652" s="5"/>
      <c r="G652" s="5"/>
      <c r="H652" s="5"/>
    </row>
    <row r="653" spans="1:8" x14ac:dyDescent="0.2">
      <c r="A653" s="5" t="s">
        <v>947</v>
      </c>
      <c r="B653" s="5" t="s">
        <v>948</v>
      </c>
      <c r="C653" s="8">
        <v>40</v>
      </c>
      <c r="D653" s="5" t="s">
        <v>368</v>
      </c>
      <c r="E653" s="5"/>
      <c r="G653" s="5"/>
      <c r="H653" s="5"/>
    </row>
    <row r="654" spans="1:8" x14ac:dyDescent="0.2">
      <c r="A654" s="5" t="s">
        <v>949</v>
      </c>
      <c r="B654" s="5" t="s">
        <v>950</v>
      </c>
      <c r="C654" s="8">
        <v>2</v>
      </c>
      <c r="D654" s="5" t="s">
        <v>368</v>
      </c>
      <c r="E654" s="5"/>
      <c r="G654" s="5"/>
      <c r="H654" s="5"/>
    </row>
    <row r="655" spans="1:8" x14ac:dyDescent="0.2">
      <c r="A655" s="5" t="s">
        <v>951</v>
      </c>
      <c r="B655" s="5" t="s">
        <v>952</v>
      </c>
      <c r="C655" s="8">
        <v>1</v>
      </c>
      <c r="D655" s="5" t="s">
        <v>368</v>
      </c>
      <c r="E655" s="5"/>
      <c r="G655" s="5"/>
      <c r="H655" s="5"/>
    </row>
    <row r="656" spans="1:8" x14ac:dyDescent="0.2">
      <c r="A656" s="5" t="s">
        <v>953</v>
      </c>
      <c r="B656" s="5" t="s">
        <v>926</v>
      </c>
      <c r="C656" s="8">
        <v>19</v>
      </c>
      <c r="D656" s="5" t="s">
        <v>42</v>
      </c>
      <c r="E656" s="5"/>
      <c r="G656" s="5"/>
      <c r="H656" s="5"/>
    </row>
    <row r="657" spans="1:8" x14ac:dyDescent="0.2">
      <c r="A657" s="5"/>
      <c r="B657" s="5" t="s">
        <v>954</v>
      </c>
      <c r="C657" s="5"/>
      <c r="D657" s="5" t="s">
        <v>366</v>
      </c>
      <c r="E657" s="5"/>
      <c r="G657" s="5"/>
      <c r="H657" s="5"/>
    </row>
    <row r="658" spans="1:8" x14ac:dyDescent="0.2">
      <c r="A658" s="5" t="s">
        <v>955</v>
      </c>
      <c r="B658" s="5" t="s">
        <v>956</v>
      </c>
      <c r="C658" s="8">
        <v>1</v>
      </c>
      <c r="D658" s="5" t="s">
        <v>368</v>
      </c>
      <c r="E658" s="5"/>
      <c r="G658" s="5"/>
      <c r="H658" s="5"/>
    </row>
    <row r="659" spans="1:8" x14ac:dyDescent="0.2">
      <c r="A659" s="5" t="s">
        <v>957</v>
      </c>
      <c r="B659" s="5" t="s">
        <v>958</v>
      </c>
      <c r="C659" s="8">
        <v>1</v>
      </c>
      <c r="D659" s="5" t="s">
        <v>368</v>
      </c>
      <c r="E659" s="5"/>
      <c r="G659" s="5"/>
      <c r="H659" s="5"/>
    </row>
    <row r="660" spans="1:8" x14ac:dyDescent="0.2">
      <c r="A660" s="5"/>
      <c r="B660" s="5" t="s">
        <v>959</v>
      </c>
      <c r="C660" s="5"/>
      <c r="D660" s="5" t="s">
        <v>322</v>
      </c>
      <c r="E660" s="5"/>
      <c r="G660" s="5"/>
      <c r="H660" s="5"/>
    </row>
    <row r="661" spans="1:8" x14ac:dyDescent="0.2">
      <c r="A661" s="5"/>
      <c r="B661" s="5" t="s">
        <v>658</v>
      </c>
      <c r="C661" s="5"/>
      <c r="D661" s="5" t="s">
        <v>366</v>
      </c>
      <c r="E661" s="5"/>
      <c r="G661" s="5"/>
      <c r="H661" s="5"/>
    </row>
    <row r="662" spans="1:8" x14ac:dyDescent="0.2">
      <c r="A662" s="5" t="s">
        <v>960</v>
      </c>
      <c r="B662" s="5" t="s">
        <v>961</v>
      </c>
      <c r="C662" s="8">
        <v>2</v>
      </c>
      <c r="D662" s="5" t="s">
        <v>368</v>
      </c>
      <c r="E662" s="5"/>
      <c r="G662" s="5"/>
      <c r="H662" s="5"/>
    </row>
    <row r="663" spans="1:8" x14ac:dyDescent="0.2">
      <c r="A663" s="5" t="s">
        <v>962</v>
      </c>
      <c r="B663" s="5" t="s">
        <v>963</v>
      </c>
      <c r="C663" s="8">
        <v>17</v>
      </c>
      <c r="D663" s="5" t="s">
        <v>368</v>
      </c>
      <c r="E663" s="5"/>
      <c r="G663" s="5"/>
      <c r="H663" s="5"/>
    </row>
    <row r="664" spans="1:8" x14ac:dyDescent="0.2">
      <c r="A664" s="5" t="s">
        <v>964</v>
      </c>
      <c r="B664" s="5" t="s">
        <v>965</v>
      </c>
      <c r="C664" s="8">
        <v>7</v>
      </c>
      <c r="D664" s="5" t="s">
        <v>368</v>
      </c>
      <c r="E664" s="5"/>
      <c r="G664" s="5"/>
      <c r="H664" s="5"/>
    </row>
    <row r="665" spans="1:8" x14ac:dyDescent="0.2">
      <c r="A665" s="5" t="s">
        <v>966</v>
      </c>
      <c r="B665" s="5" t="s">
        <v>967</v>
      </c>
      <c r="C665" s="8">
        <v>8</v>
      </c>
      <c r="D665" s="5" t="s">
        <v>368</v>
      </c>
      <c r="E665" s="5"/>
      <c r="G665" s="5"/>
      <c r="H665" s="5"/>
    </row>
    <row r="666" spans="1:8" x14ac:dyDescent="0.2">
      <c r="A666" s="5" t="s">
        <v>968</v>
      </c>
      <c r="B666" s="5" t="s">
        <v>969</v>
      </c>
      <c r="C666" s="8">
        <v>2</v>
      </c>
      <c r="D666" s="5" t="s">
        <v>368</v>
      </c>
      <c r="E666" s="5"/>
      <c r="G666" s="5"/>
      <c r="H666" s="5"/>
    </row>
    <row r="667" spans="1:8" x14ac:dyDescent="0.2">
      <c r="A667" s="5" t="s">
        <v>970</v>
      </c>
      <c r="B667" s="5" t="s">
        <v>971</v>
      </c>
      <c r="C667" s="8">
        <v>3</v>
      </c>
      <c r="D667" s="5" t="s">
        <v>368</v>
      </c>
      <c r="E667" s="5"/>
      <c r="G667" s="5"/>
      <c r="H667" s="5"/>
    </row>
    <row r="668" spans="1:8" x14ac:dyDescent="0.2">
      <c r="A668" s="5" t="s">
        <v>972</v>
      </c>
      <c r="B668" s="5" t="s">
        <v>973</v>
      </c>
      <c r="C668" s="8">
        <v>1</v>
      </c>
      <c r="D668" s="5" t="s">
        <v>368</v>
      </c>
      <c r="E668" s="5"/>
      <c r="G668" s="5"/>
      <c r="H668" s="5"/>
    </row>
    <row r="669" spans="1:8" x14ac:dyDescent="0.2">
      <c r="A669" s="5" t="s">
        <v>974</v>
      </c>
      <c r="B669" s="5" t="s">
        <v>975</v>
      </c>
      <c r="C669" s="8">
        <v>35</v>
      </c>
      <c r="D669" s="5" t="s">
        <v>368</v>
      </c>
      <c r="E669" s="5"/>
      <c r="G669" s="5"/>
      <c r="H669" s="5"/>
    </row>
    <row r="670" spans="1:8" x14ac:dyDescent="0.2">
      <c r="A670" s="5" t="s">
        <v>976</v>
      </c>
      <c r="B670" s="5" t="s">
        <v>977</v>
      </c>
      <c r="C670" s="8">
        <v>20</v>
      </c>
      <c r="D670" s="5" t="s">
        <v>368</v>
      </c>
      <c r="E670" s="5"/>
      <c r="G670" s="5"/>
      <c r="H670" s="5"/>
    </row>
    <row r="671" spans="1:8" x14ac:dyDescent="0.2">
      <c r="A671" s="5" t="s">
        <v>978</v>
      </c>
      <c r="B671" s="5" t="s">
        <v>979</v>
      </c>
      <c r="C671" s="8">
        <v>37</v>
      </c>
      <c r="D671" s="5" t="s">
        <v>368</v>
      </c>
      <c r="E671" s="5"/>
      <c r="G671" s="5"/>
      <c r="H671" s="5"/>
    </row>
    <row r="672" spans="1:8" x14ac:dyDescent="0.2">
      <c r="A672" s="5" t="s">
        <v>980</v>
      </c>
      <c r="B672" s="5" t="s">
        <v>981</v>
      </c>
      <c r="C672" s="8">
        <v>2</v>
      </c>
      <c r="D672" s="5" t="s">
        <v>368</v>
      </c>
      <c r="E672" s="5"/>
      <c r="G672" s="5"/>
      <c r="H672" s="5"/>
    </row>
    <row r="673" spans="1:8" x14ac:dyDescent="0.2">
      <c r="A673" s="5" t="s">
        <v>982</v>
      </c>
      <c r="B673" s="5" t="s">
        <v>983</v>
      </c>
      <c r="C673" s="8">
        <v>10</v>
      </c>
      <c r="D673" s="5" t="s">
        <v>368</v>
      </c>
      <c r="E673" s="5"/>
      <c r="G673" s="5"/>
      <c r="H673" s="5"/>
    </row>
    <row r="674" spans="1:8" x14ac:dyDescent="0.2">
      <c r="A674" s="5" t="s">
        <v>984</v>
      </c>
      <c r="B674" s="5" t="s">
        <v>985</v>
      </c>
      <c r="C674" s="8">
        <v>2</v>
      </c>
      <c r="D674" s="5" t="s">
        <v>368</v>
      </c>
      <c r="E674" s="5"/>
      <c r="G674" s="5"/>
      <c r="H674" s="5"/>
    </row>
    <row r="675" spans="1:8" x14ac:dyDescent="0.2">
      <c r="A675" s="5" t="s">
        <v>986</v>
      </c>
      <c r="B675" s="5" t="s">
        <v>987</v>
      </c>
      <c r="C675" s="8">
        <v>3</v>
      </c>
      <c r="D675" s="5" t="s">
        <v>368</v>
      </c>
      <c r="E675" s="5"/>
      <c r="G675" s="5"/>
      <c r="H675" s="5"/>
    </row>
    <row r="676" spans="1:8" x14ac:dyDescent="0.2">
      <c r="A676" s="5" t="s">
        <v>988</v>
      </c>
      <c r="B676" s="5" t="s">
        <v>989</v>
      </c>
      <c r="C676" s="8">
        <v>21</v>
      </c>
      <c r="D676" s="5" t="s">
        <v>368</v>
      </c>
      <c r="E676" s="5"/>
      <c r="G676" s="5"/>
      <c r="H676" s="5"/>
    </row>
    <row r="677" spans="1:8" x14ac:dyDescent="0.2">
      <c r="A677" s="5" t="s">
        <v>990</v>
      </c>
      <c r="B677" s="5" t="s">
        <v>991</v>
      </c>
      <c r="C677" s="8">
        <v>33</v>
      </c>
      <c r="D677" s="5" t="s">
        <v>368</v>
      </c>
      <c r="E677" s="5"/>
      <c r="G677" s="5"/>
      <c r="H677" s="5"/>
    </row>
    <row r="678" spans="1:8" x14ac:dyDescent="0.2">
      <c r="A678" s="5"/>
      <c r="B678" s="5" t="s">
        <v>662</v>
      </c>
      <c r="C678" s="5"/>
      <c r="D678" s="5" t="s">
        <v>366</v>
      </c>
      <c r="E678" s="5"/>
      <c r="G678" s="5"/>
      <c r="H678" s="5"/>
    </row>
    <row r="679" spans="1:8" x14ac:dyDescent="0.2">
      <c r="A679" s="5" t="s">
        <v>992</v>
      </c>
      <c r="B679" s="5" t="s">
        <v>993</v>
      </c>
      <c r="C679" s="8">
        <v>14</v>
      </c>
      <c r="D679" s="5" t="s">
        <v>368</v>
      </c>
      <c r="E679" s="5"/>
      <c r="G679" s="5"/>
      <c r="H679" s="5"/>
    </row>
    <row r="680" spans="1:8" x14ac:dyDescent="0.2">
      <c r="A680" s="5" t="s">
        <v>994</v>
      </c>
      <c r="B680" s="5" t="s">
        <v>995</v>
      </c>
      <c r="C680" s="8">
        <v>18</v>
      </c>
      <c r="D680" s="5" t="s">
        <v>368</v>
      </c>
      <c r="E680" s="5"/>
      <c r="G680" s="5"/>
      <c r="H680" s="5"/>
    </row>
    <row r="681" spans="1:8" x14ac:dyDescent="0.2">
      <c r="A681" s="5" t="s">
        <v>996</v>
      </c>
      <c r="B681" s="5" t="s">
        <v>997</v>
      </c>
      <c r="C681" s="8">
        <v>1</v>
      </c>
      <c r="D681" s="5" t="s">
        <v>368</v>
      </c>
      <c r="E681" s="5"/>
      <c r="G681" s="5"/>
      <c r="H681" s="5"/>
    </row>
    <row r="682" spans="1:8" x14ac:dyDescent="0.2">
      <c r="A682" s="5" t="s">
        <v>998</v>
      </c>
      <c r="B682" s="5" t="s">
        <v>999</v>
      </c>
      <c r="C682" s="8">
        <v>3</v>
      </c>
      <c r="D682" s="5" t="s">
        <v>368</v>
      </c>
      <c r="E682" s="5"/>
      <c r="G682" s="5"/>
      <c r="H682" s="5"/>
    </row>
    <row r="683" spans="1:8" x14ac:dyDescent="0.2">
      <c r="A683" s="5" t="s">
        <v>1000</v>
      </c>
      <c r="B683" s="5" t="s">
        <v>1001</v>
      </c>
      <c r="C683" s="8">
        <v>55</v>
      </c>
      <c r="D683" s="5" t="s">
        <v>368</v>
      </c>
      <c r="E683" s="5"/>
      <c r="G683" s="5"/>
      <c r="H683" s="5"/>
    </row>
    <row r="684" spans="1:8" x14ac:dyDescent="0.2">
      <c r="A684" s="5" t="s">
        <v>1002</v>
      </c>
      <c r="B684" s="5" t="s">
        <v>1003</v>
      </c>
      <c r="C684" s="8">
        <v>24</v>
      </c>
      <c r="D684" s="5" t="s">
        <v>368</v>
      </c>
      <c r="E684" s="5"/>
      <c r="G684" s="5"/>
      <c r="H684" s="5"/>
    </row>
    <row r="685" spans="1:8" x14ac:dyDescent="0.2">
      <c r="A685" s="5" t="s">
        <v>1004</v>
      </c>
      <c r="B685" s="5" t="s">
        <v>1005</v>
      </c>
      <c r="C685" s="8">
        <v>4</v>
      </c>
      <c r="D685" s="5" t="s">
        <v>368</v>
      </c>
      <c r="E685" s="5"/>
      <c r="G685" s="5"/>
      <c r="H685" s="5"/>
    </row>
    <row r="686" spans="1:8" x14ac:dyDescent="0.2">
      <c r="A686" s="5" t="s">
        <v>1006</v>
      </c>
      <c r="B686" s="5" t="s">
        <v>1007</v>
      </c>
      <c r="C686" s="8">
        <v>11</v>
      </c>
      <c r="D686" s="5" t="s">
        <v>368</v>
      </c>
      <c r="E686" s="5"/>
      <c r="G686" s="5"/>
      <c r="H686" s="5"/>
    </row>
    <row r="687" spans="1:8" x14ac:dyDescent="0.2">
      <c r="A687" s="5" t="s">
        <v>1008</v>
      </c>
      <c r="B687" s="5" t="s">
        <v>1009</v>
      </c>
      <c r="C687" s="8">
        <v>3</v>
      </c>
      <c r="D687" s="5" t="s">
        <v>368</v>
      </c>
      <c r="E687" s="5"/>
      <c r="G687" s="5"/>
      <c r="H687" s="5"/>
    </row>
    <row r="688" spans="1:8" x14ac:dyDescent="0.2">
      <c r="A688" s="5" t="s">
        <v>1010</v>
      </c>
      <c r="B688" s="5" t="s">
        <v>987</v>
      </c>
      <c r="C688" s="8">
        <v>3</v>
      </c>
      <c r="D688" s="5" t="s">
        <v>368</v>
      </c>
      <c r="E688" s="5"/>
      <c r="G688" s="5"/>
      <c r="H688" s="5"/>
    </row>
    <row r="689" spans="1:8" x14ac:dyDescent="0.2">
      <c r="A689" s="5"/>
      <c r="B689" s="5" t="s">
        <v>666</v>
      </c>
      <c r="C689" s="5"/>
      <c r="D689" s="5" t="s">
        <v>366</v>
      </c>
      <c r="E689" s="5"/>
      <c r="G689" s="5"/>
      <c r="H689" s="5"/>
    </row>
    <row r="690" spans="1:8" x14ac:dyDescent="0.2">
      <c r="A690" s="5" t="s">
        <v>1011</v>
      </c>
      <c r="B690" s="5" t="s">
        <v>1012</v>
      </c>
      <c r="C690" s="8">
        <v>23</v>
      </c>
      <c r="D690" s="5" t="s">
        <v>368</v>
      </c>
      <c r="E690" s="5"/>
      <c r="G690" s="5"/>
      <c r="H690" s="5"/>
    </row>
    <row r="691" spans="1:8" x14ac:dyDescent="0.2">
      <c r="A691" s="5" t="s">
        <v>1013</v>
      </c>
      <c r="B691" s="5" t="s">
        <v>1014</v>
      </c>
      <c r="C691" s="8">
        <v>8</v>
      </c>
      <c r="D691" s="5" t="s">
        <v>368</v>
      </c>
      <c r="E691" s="5"/>
      <c r="G691" s="5"/>
      <c r="H691" s="5"/>
    </row>
    <row r="692" spans="1:8" x14ac:dyDescent="0.2">
      <c r="A692" s="5" t="s">
        <v>1015</v>
      </c>
      <c r="B692" s="5" t="s">
        <v>997</v>
      </c>
      <c r="C692" s="8">
        <v>1</v>
      </c>
      <c r="D692" s="5" t="s">
        <v>368</v>
      </c>
      <c r="E692" s="5"/>
      <c r="G692" s="5"/>
      <c r="H692" s="5"/>
    </row>
    <row r="693" spans="1:8" x14ac:dyDescent="0.2">
      <c r="A693" s="5" t="s">
        <v>1016</v>
      </c>
      <c r="B693" s="5" t="s">
        <v>1017</v>
      </c>
      <c r="C693" s="8">
        <v>1</v>
      </c>
      <c r="D693" s="5" t="s">
        <v>368</v>
      </c>
      <c r="E693" s="5"/>
      <c r="G693" s="5"/>
      <c r="H693" s="5"/>
    </row>
    <row r="694" spans="1:8" x14ac:dyDescent="0.2">
      <c r="A694" s="5" t="s">
        <v>1018</v>
      </c>
      <c r="B694" s="5" t="s">
        <v>1019</v>
      </c>
      <c r="C694" s="8">
        <v>38</v>
      </c>
      <c r="D694" s="5" t="s">
        <v>368</v>
      </c>
      <c r="E694" s="5"/>
      <c r="G694" s="5"/>
      <c r="H694" s="5"/>
    </row>
    <row r="695" spans="1:8" x14ac:dyDescent="0.2">
      <c r="A695" s="5" t="s">
        <v>1020</v>
      </c>
      <c r="B695" s="5" t="s">
        <v>1021</v>
      </c>
      <c r="C695" s="8">
        <v>93</v>
      </c>
      <c r="D695" s="5" t="s">
        <v>368</v>
      </c>
      <c r="E695" s="5"/>
      <c r="G695" s="5"/>
      <c r="H695" s="5"/>
    </row>
    <row r="696" spans="1:8" x14ac:dyDescent="0.2">
      <c r="A696" s="5" t="s">
        <v>1022</v>
      </c>
      <c r="B696" s="5" t="s">
        <v>1023</v>
      </c>
      <c r="C696" s="8">
        <v>18</v>
      </c>
      <c r="D696" s="5" t="s">
        <v>368</v>
      </c>
      <c r="E696" s="5"/>
      <c r="G696" s="5"/>
      <c r="H696" s="5"/>
    </row>
    <row r="697" spans="1:8" x14ac:dyDescent="0.2">
      <c r="A697" s="5" t="s">
        <v>1024</v>
      </c>
      <c r="B697" s="5" t="s">
        <v>1025</v>
      </c>
      <c r="C697" s="8">
        <v>4</v>
      </c>
      <c r="D697" s="5" t="s">
        <v>368</v>
      </c>
      <c r="E697" s="5"/>
      <c r="G697" s="5"/>
      <c r="H697" s="5"/>
    </row>
    <row r="698" spans="1:8" x14ac:dyDescent="0.2">
      <c r="A698" s="5" t="s">
        <v>1026</v>
      </c>
      <c r="B698" s="5" t="s">
        <v>1027</v>
      </c>
      <c r="C698" s="8">
        <v>2</v>
      </c>
      <c r="D698" s="5" t="s">
        <v>368</v>
      </c>
      <c r="E698" s="5"/>
      <c r="G698" s="5"/>
      <c r="H698" s="5"/>
    </row>
    <row r="699" spans="1:8" x14ac:dyDescent="0.2">
      <c r="A699" s="5" t="s">
        <v>1028</v>
      </c>
      <c r="B699" s="5" t="s">
        <v>1029</v>
      </c>
      <c r="C699" s="8">
        <v>1</v>
      </c>
      <c r="D699" s="5" t="s">
        <v>368</v>
      </c>
      <c r="E699" s="5"/>
      <c r="G699" s="5"/>
      <c r="H699" s="5"/>
    </row>
    <row r="700" spans="1:8" x14ac:dyDescent="0.2">
      <c r="A700" s="5" t="s">
        <v>1030</v>
      </c>
      <c r="B700" s="5" t="s">
        <v>987</v>
      </c>
      <c r="C700" s="8">
        <v>3</v>
      </c>
      <c r="D700" s="5" t="s">
        <v>368</v>
      </c>
      <c r="E700" s="5"/>
      <c r="G700" s="5"/>
      <c r="H700" s="5"/>
    </row>
    <row r="701" spans="1:8" x14ac:dyDescent="0.2">
      <c r="A701" s="5"/>
      <c r="B701" s="5" t="s">
        <v>1031</v>
      </c>
      <c r="C701" s="5"/>
      <c r="D701" s="5" t="s">
        <v>15</v>
      </c>
      <c r="E701" s="5"/>
      <c r="G701" s="5"/>
      <c r="H701" s="5"/>
    </row>
    <row r="702" spans="1:8" x14ac:dyDescent="0.2">
      <c r="A702" s="5" t="s">
        <v>1032</v>
      </c>
      <c r="B702" s="5" t="s">
        <v>1033</v>
      </c>
      <c r="C702" s="8">
        <v>15</v>
      </c>
      <c r="D702" s="5" t="s">
        <v>368</v>
      </c>
      <c r="E702" s="5"/>
      <c r="G702" s="5"/>
      <c r="H702" s="5"/>
    </row>
    <row r="703" spans="1:8" x14ac:dyDescent="0.2">
      <c r="A703" s="5" t="s">
        <v>1034</v>
      </c>
      <c r="B703" s="5" t="s">
        <v>1035</v>
      </c>
      <c r="C703" s="8">
        <v>50</v>
      </c>
      <c r="D703" s="5" t="s">
        <v>368</v>
      </c>
      <c r="E703" s="5"/>
      <c r="G703" s="5"/>
      <c r="H703" s="5"/>
    </row>
    <row r="704" spans="1:8" x14ac:dyDescent="0.2">
      <c r="A704" s="5" t="s">
        <v>1036</v>
      </c>
      <c r="B704" s="5" t="s">
        <v>1037</v>
      </c>
      <c r="C704" s="8">
        <v>23</v>
      </c>
      <c r="D704" s="5" t="s">
        <v>368</v>
      </c>
      <c r="E704" s="5"/>
      <c r="G704" s="5"/>
      <c r="H704" s="5"/>
    </row>
    <row r="705" spans="1:8" x14ac:dyDescent="0.2">
      <c r="A705" s="5"/>
      <c r="B705" s="5" t="s">
        <v>422</v>
      </c>
      <c r="C705" s="5"/>
      <c r="D705" s="5" t="s">
        <v>15</v>
      </c>
      <c r="E705" s="5"/>
      <c r="G705" s="5"/>
      <c r="H705" s="5"/>
    </row>
    <row r="706" spans="1:8" x14ac:dyDescent="0.2">
      <c r="A706" s="5"/>
      <c r="B706" s="5" t="s">
        <v>1038</v>
      </c>
      <c r="C706" s="5"/>
      <c r="D706" s="5" t="s">
        <v>322</v>
      </c>
      <c r="E706" s="5"/>
      <c r="G706" s="5"/>
      <c r="H706" s="5"/>
    </row>
    <row r="707" spans="1:8" x14ac:dyDescent="0.2">
      <c r="A707" s="5" t="s">
        <v>1039</v>
      </c>
      <c r="B707" s="5" t="s">
        <v>1040</v>
      </c>
      <c r="C707" s="8">
        <v>697</v>
      </c>
      <c r="D707" s="5" t="s">
        <v>42</v>
      </c>
      <c r="E707" s="5"/>
      <c r="G707" s="5"/>
      <c r="H707" s="5"/>
    </row>
    <row r="708" spans="1:8" x14ac:dyDescent="0.2">
      <c r="A708" s="5" t="s">
        <v>1041</v>
      </c>
      <c r="B708" s="5" t="s">
        <v>1042</v>
      </c>
      <c r="C708" s="8">
        <v>4945</v>
      </c>
      <c r="D708" s="5" t="s">
        <v>42</v>
      </c>
      <c r="E708" s="5"/>
      <c r="G708" s="5"/>
      <c r="H708" s="5"/>
    </row>
    <row r="709" spans="1:8" x14ac:dyDescent="0.2">
      <c r="A709" s="5" t="s">
        <v>1043</v>
      </c>
      <c r="B709" s="5" t="s">
        <v>1044</v>
      </c>
      <c r="C709" s="8">
        <v>267</v>
      </c>
      <c r="D709" s="5" t="s">
        <v>42</v>
      </c>
      <c r="E709" s="5"/>
      <c r="G709" s="5"/>
      <c r="H709" s="5"/>
    </row>
    <row r="710" spans="1:8" x14ac:dyDescent="0.2">
      <c r="A710" s="5"/>
      <c r="B710" s="5" t="s">
        <v>1045</v>
      </c>
      <c r="C710" s="5"/>
      <c r="D710" s="5" t="s">
        <v>322</v>
      </c>
      <c r="E710" s="5"/>
      <c r="G710" s="5"/>
      <c r="H710" s="5"/>
    </row>
    <row r="711" spans="1:8" x14ac:dyDescent="0.2">
      <c r="A711" s="5" t="s">
        <v>1046</v>
      </c>
      <c r="B711" s="5" t="s">
        <v>1047</v>
      </c>
      <c r="C711" s="8">
        <v>5084</v>
      </c>
      <c r="D711" s="5" t="s">
        <v>42</v>
      </c>
      <c r="E711" s="5"/>
      <c r="G711" s="5"/>
      <c r="H711" s="5"/>
    </row>
    <row r="712" spans="1:8" x14ac:dyDescent="0.2">
      <c r="A712" s="5" t="s">
        <v>1048</v>
      </c>
      <c r="B712" s="5" t="s">
        <v>1049</v>
      </c>
      <c r="C712" s="8">
        <v>14</v>
      </c>
      <c r="D712" s="5" t="s">
        <v>42</v>
      </c>
      <c r="E712" s="5"/>
      <c r="G712" s="5"/>
      <c r="H712" s="5"/>
    </row>
    <row r="713" spans="1:8" x14ac:dyDescent="0.2">
      <c r="A713" s="5" t="s">
        <v>1050</v>
      </c>
      <c r="B713" s="5" t="s">
        <v>1051</v>
      </c>
      <c r="C713" s="8">
        <v>545</v>
      </c>
      <c r="D713" s="5" t="s">
        <v>42</v>
      </c>
      <c r="E713" s="5"/>
      <c r="G713" s="5"/>
      <c r="H713" s="5"/>
    </row>
    <row r="714" spans="1:8" x14ac:dyDescent="0.2">
      <c r="A714" s="5"/>
      <c r="B714" s="5" t="s">
        <v>1052</v>
      </c>
      <c r="C714" s="5"/>
      <c r="D714" s="5" t="s">
        <v>366</v>
      </c>
      <c r="E714" s="5"/>
      <c r="G714" s="5"/>
      <c r="H714" s="5"/>
    </row>
    <row r="715" spans="1:8" x14ac:dyDescent="0.2">
      <c r="A715" s="5" t="s">
        <v>1053</v>
      </c>
      <c r="B715" s="5" t="s">
        <v>1054</v>
      </c>
      <c r="C715" s="8">
        <v>211</v>
      </c>
      <c r="D715" s="5" t="s">
        <v>155</v>
      </c>
      <c r="E715" s="5"/>
      <c r="G715" s="5"/>
      <c r="H715" s="5"/>
    </row>
    <row r="716" spans="1:8" x14ac:dyDescent="0.2">
      <c r="A716" s="5" t="s">
        <v>1055</v>
      </c>
      <c r="B716" s="5" t="s">
        <v>1056</v>
      </c>
      <c r="C716" s="8">
        <v>53</v>
      </c>
      <c r="D716" s="5" t="s">
        <v>42</v>
      </c>
      <c r="E716" s="5"/>
      <c r="G716" s="5"/>
      <c r="H716" s="5"/>
    </row>
    <row r="717" spans="1:8" x14ac:dyDescent="0.2">
      <c r="A717" s="5"/>
      <c r="B717" s="5" t="s">
        <v>1057</v>
      </c>
      <c r="C717" s="5"/>
      <c r="D717" s="5" t="s">
        <v>366</v>
      </c>
      <c r="E717" s="5"/>
      <c r="G717" s="5"/>
      <c r="H717" s="5"/>
    </row>
    <row r="718" spans="1:8" x14ac:dyDescent="0.2">
      <c r="A718" s="5" t="s">
        <v>1058</v>
      </c>
      <c r="B718" s="5" t="s">
        <v>1054</v>
      </c>
      <c r="C718" s="8">
        <v>204</v>
      </c>
      <c r="D718" s="5" t="s">
        <v>155</v>
      </c>
      <c r="E718" s="5"/>
      <c r="G718" s="5"/>
      <c r="H718" s="5"/>
    </row>
    <row r="719" spans="1:8" x14ac:dyDescent="0.2">
      <c r="A719" s="5" t="s">
        <v>1059</v>
      </c>
      <c r="B719" s="5" t="s">
        <v>1056</v>
      </c>
      <c r="C719" s="8">
        <v>100</v>
      </c>
      <c r="D719" s="5" t="s">
        <v>42</v>
      </c>
      <c r="E719" s="5"/>
      <c r="G719" s="5"/>
      <c r="H719" s="5"/>
    </row>
    <row r="720" spans="1:8" x14ac:dyDescent="0.2">
      <c r="A720" s="5"/>
      <c r="B720" s="5" t="s">
        <v>1060</v>
      </c>
      <c r="C720" s="5"/>
      <c r="D720" s="5" t="s">
        <v>322</v>
      </c>
      <c r="E720" s="5"/>
      <c r="G720" s="5"/>
      <c r="H720" s="5"/>
    </row>
    <row r="721" spans="1:8" x14ac:dyDescent="0.2">
      <c r="A721" s="5" t="s">
        <v>1061</v>
      </c>
      <c r="B721" s="5" t="s">
        <v>1062</v>
      </c>
      <c r="C721" s="8">
        <v>37</v>
      </c>
      <c r="D721" s="5" t="s">
        <v>42</v>
      </c>
      <c r="E721" s="5"/>
      <c r="G721" s="5"/>
      <c r="H721" s="5"/>
    </row>
    <row r="722" spans="1:8" x14ac:dyDescent="0.2">
      <c r="A722" s="5" t="s">
        <v>1063</v>
      </c>
      <c r="B722" s="5" t="s">
        <v>1064</v>
      </c>
      <c r="C722" s="8">
        <v>37</v>
      </c>
      <c r="D722" s="5" t="s">
        <v>42</v>
      </c>
      <c r="E722" s="5"/>
      <c r="G722" s="5"/>
      <c r="H722" s="5"/>
    </row>
    <row r="723" spans="1:8" x14ac:dyDescent="0.2">
      <c r="A723" s="5" t="s">
        <v>1065</v>
      </c>
      <c r="B723" s="5" t="s">
        <v>1066</v>
      </c>
      <c r="C723" s="8">
        <v>37</v>
      </c>
      <c r="D723" s="5" t="s">
        <v>155</v>
      </c>
      <c r="E723" s="5"/>
      <c r="G723" s="5"/>
      <c r="H723" s="5"/>
    </row>
    <row r="724" spans="1:8" x14ac:dyDescent="0.2">
      <c r="A724" s="5" t="s">
        <v>1067</v>
      </c>
      <c r="B724" s="5" t="s">
        <v>1068</v>
      </c>
      <c r="C724" s="8">
        <v>37</v>
      </c>
      <c r="D724" s="5" t="s">
        <v>42</v>
      </c>
      <c r="E724" s="5"/>
      <c r="G724" s="5"/>
      <c r="H724" s="5"/>
    </row>
    <row r="725" spans="1:8" x14ac:dyDescent="0.2">
      <c r="A725" s="5"/>
      <c r="B725" s="5" t="s">
        <v>1069</v>
      </c>
      <c r="C725" s="5"/>
      <c r="D725" s="5" t="s">
        <v>15</v>
      </c>
      <c r="E725" s="5"/>
      <c r="G725" s="5"/>
      <c r="H725" s="5"/>
    </row>
    <row r="726" spans="1:8" x14ac:dyDescent="0.2">
      <c r="A726" s="5" t="s">
        <v>1070</v>
      </c>
      <c r="B726" s="5" t="s">
        <v>1071</v>
      </c>
      <c r="C726" s="8">
        <v>136</v>
      </c>
      <c r="D726" s="5" t="s">
        <v>155</v>
      </c>
      <c r="E726" s="5"/>
      <c r="G726" s="5"/>
      <c r="H726" s="5"/>
    </row>
    <row r="727" spans="1:8" x14ac:dyDescent="0.2">
      <c r="A727" s="5" t="s">
        <v>1072</v>
      </c>
      <c r="B727" s="5" t="s">
        <v>1073</v>
      </c>
      <c r="C727" s="8">
        <v>546</v>
      </c>
      <c r="D727" s="5" t="s">
        <v>162</v>
      </c>
      <c r="E727" s="5"/>
      <c r="G727" s="5"/>
      <c r="H727" s="5"/>
    </row>
    <row r="728" spans="1:8" x14ac:dyDescent="0.2">
      <c r="A728" s="5" t="s">
        <v>1074</v>
      </c>
      <c r="B728" s="5" t="s">
        <v>1075</v>
      </c>
      <c r="C728" s="8">
        <v>15</v>
      </c>
      <c r="D728" s="5" t="s">
        <v>155</v>
      </c>
      <c r="E728" s="5"/>
      <c r="G728" s="5"/>
      <c r="H728" s="5"/>
    </row>
    <row r="729" spans="1:8" x14ac:dyDescent="0.2">
      <c r="A729" s="5"/>
      <c r="B729" s="5" t="s">
        <v>1076</v>
      </c>
      <c r="C729" s="5"/>
      <c r="D729" s="5" t="s">
        <v>15</v>
      </c>
      <c r="E729" s="5"/>
      <c r="G729" s="5"/>
      <c r="H729" s="5"/>
    </row>
    <row r="730" spans="1:8" x14ac:dyDescent="0.2">
      <c r="A730" s="5" t="s">
        <v>1077</v>
      </c>
      <c r="B730" s="5" t="s">
        <v>1078</v>
      </c>
      <c r="C730" s="8">
        <v>697</v>
      </c>
      <c r="D730" s="5" t="s">
        <v>42</v>
      </c>
      <c r="E730" s="5"/>
      <c r="G730" s="5"/>
      <c r="H730" s="5"/>
    </row>
    <row r="731" spans="1:8" x14ac:dyDescent="0.2">
      <c r="A731" s="5" t="s">
        <v>1079</v>
      </c>
      <c r="B731" s="5" t="s">
        <v>1080</v>
      </c>
      <c r="C731" s="8">
        <v>899</v>
      </c>
      <c r="D731" s="5" t="s">
        <v>42</v>
      </c>
      <c r="E731" s="5"/>
      <c r="G731" s="5"/>
      <c r="H731" s="5"/>
    </row>
    <row r="732" spans="1:8" x14ac:dyDescent="0.2">
      <c r="A732" s="5"/>
      <c r="B732" s="5" t="s">
        <v>53</v>
      </c>
      <c r="C732" s="5"/>
      <c r="D732" s="5" t="s">
        <v>13</v>
      </c>
      <c r="E732" s="5"/>
      <c r="G732" s="5"/>
      <c r="H732" s="5"/>
    </row>
    <row r="733" spans="1:8" x14ac:dyDescent="0.2">
      <c r="A733" s="5"/>
      <c r="B733" s="5" t="s">
        <v>620</v>
      </c>
      <c r="C733" s="5"/>
      <c r="D733" s="5" t="s">
        <v>15</v>
      </c>
      <c r="E733" s="5"/>
      <c r="G733" s="5"/>
      <c r="H733" s="5"/>
    </row>
    <row r="734" spans="1:8" x14ac:dyDescent="0.2">
      <c r="A734" s="5"/>
      <c r="B734" s="5" t="s">
        <v>621</v>
      </c>
      <c r="C734" s="5"/>
      <c r="D734" s="5" t="s">
        <v>322</v>
      </c>
      <c r="E734" s="5"/>
      <c r="G734" s="5"/>
      <c r="H734" s="5"/>
    </row>
    <row r="735" spans="1:8" x14ac:dyDescent="0.2">
      <c r="A735" s="5"/>
      <c r="B735" s="5" t="s">
        <v>1081</v>
      </c>
      <c r="C735" s="5"/>
      <c r="D735" s="5" t="s">
        <v>366</v>
      </c>
      <c r="E735" s="5"/>
      <c r="G735" s="5"/>
      <c r="H735" s="5"/>
    </row>
    <row r="736" spans="1:8" x14ac:dyDescent="0.2">
      <c r="A736" s="5" t="s">
        <v>1082</v>
      </c>
      <c r="B736" s="5" t="s">
        <v>1083</v>
      </c>
      <c r="C736" s="8">
        <v>52</v>
      </c>
      <c r="D736" s="5" t="s">
        <v>368</v>
      </c>
      <c r="E736" s="5"/>
      <c r="G736" s="5"/>
      <c r="H736" s="5"/>
    </row>
    <row r="737" spans="1:8" x14ac:dyDescent="0.2">
      <c r="A737" s="5" t="s">
        <v>1084</v>
      </c>
      <c r="B737" s="5" t="s">
        <v>1085</v>
      </c>
      <c r="C737" s="8">
        <v>25</v>
      </c>
      <c r="D737" s="5" t="s">
        <v>368</v>
      </c>
      <c r="E737" s="5"/>
      <c r="G737" s="5"/>
      <c r="H737" s="5"/>
    </row>
    <row r="738" spans="1:8" x14ac:dyDescent="0.2">
      <c r="A738" s="5"/>
      <c r="B738" s="5" t="s">
        <v>630</v>
      </c>
      <c r="C738" s="5"/>
      <c r="D738" s="5" t="s">
        <v>322</v>
      </c>
      <c r="E738" s="5"/>
      <c r="G738" s="5"/>
      <c r="H738" s="5"/>
    </row>
    <row r="739" spans="1:8" x14ac:dyDescent="0.2">
      <c r="A739" s="5"/>
      <c r="B739" s="5" t="s">
        <v>1081</v>
      </c>
      <c r="C739" s="5"/>
      <c r="D739" s="5" t="s">
        <v>366</v>
      </c>
      <c r="E739" s="5"/>
      <c r="G739" s="5"/>
      <c r="H739" s="5"/>
    </row>
    <row r="740" spans="1:8" x14ac:dyDescent="0.2">
      <c r="A740" s="5" t="s">
        <v>1086</v>
      </c>
      <c r="B740" s="5" t="s">
        <v>1087</v>
      </c>
      <c r="C740" s="8">
        <v>39</v>
      </c>
      <c r="D740" s="5" t="s">
        <v>368</v>
      </c>
      <c r="E740" s="5"/>
      <c r="G740" s="5"/>
      <c r="H740" s="5"/>
    </row>
    <row r="741" spans="1:8" x14ac:dyDescent="0.2">
      <c r="A741" s="5" t="s">
        <v>1088</v>
      </c>
      <c r="B741" s="5" t="s">
        <v>1089</v>
      </c>
      <c r="C741" s="8">
        <v>4</v>
      </c>
      <c r="D741" s="5" t="s">
        <v>368</v>
      </c>
      <c r="E741" s="5"/>
      <c r="G741" s="5"/>
      <c r="H741" s="5"/>
    </row>
    <row r="742" spans="1:8" x14ac:dyDescent="0.2">
      <c r="A742" s="5" t="s">
        <v>1090</v>
      </c>
      <c r="B742" s="5" t="s">
        <v>1091</v>
      </c>
      <c r="C742" s="8">
        <v>14</v>
      </c>
      <c r="D742" s="5" t="s">
        <v>368</v>
      </c>
      <c r="E742" s="5"/>
      <c r="G742" s="5"/>
      <c r="H742" s="5"/>
    </row>
    <row r="743" spans="1:8" x14ac:dyDescent="0.2">
      <c r="A743" s="5" t="s">
        <v>1092</v>
      </c>
      <c r="B743" s="5" t="s">
        <v>1093</v>
      </c>
      <c r="C743" s="8">
        <v>8</v>
      </c>
      <c r="D743" s="5" t="s">
        <v>368</v>
      </c>
      <c r="E743" s="5"/>
      <c r="G743" s="5"/>
      <c r="H743" s="5"/>
    </row>
    <row r="744" spans="1:8" x14ac:dyDescent="0.2">
      <c r="A744" s="5"/>
      <c r="B744" s="5" t="s">
        <v>643</v>
      </c>
      <c r="C744" s="5"/>
      <c r="D744" s="5" t="s">
        <v>322</v>
      </c>
      <c r="E744" s="5"/>
      <c r="G744" s="5"/>
      <c r="H744" s="5"/>
    </row>
    <row r="745" spans="1:8" x14ac:dyDescent="0.2">
      <c r="A745" s="5"/>
      <c r="B745" s="5" t="s">
        <v>1081</v>
      </c>
      <c r="C745" s="5"/>
      <c r="D745" s="5" t="s">
        <v>366</v>
      </c>
      <c r="E745" s="5"/>
      <c r="G745" s="5"/>
      <c r="H745" s="5"/>
    </row>
    <row r="746" spans="1:8" x14ac:dyDescent="0.2">
      <c r="A746" s="5" t="s">
        <v>1094</v>
      </c>
      <c r="B746" s="5" t="s">
        <v>1095</v>
      </c>
      <c r="C746" s="8">
        <v>9</v>
      </c>
      <c r="D746" s="5" t="s">
        <v>368</v>
      </c>
      <c r="E746" s="5"/>
      <c r="G746" s="5"/>
      <c r="H746" s="5"/>
    </row>
    <row r="747" spans="1:8" x14ac:dyDescent="0.2">
      <c r="A747" s="5" t="s">
        <v>1096</v>
      </c>
      <c r="B747" s="5" t="s">
        <v>1097</v>
      </c>
      <c r="C747" s="8">
        <v>1</v>
      </c>
      <c r="D747" s="5" t="s">
        <v>368</v>
      </c>
      <c r="E747" s="5"/>
      <c r="G747" s="5"/>
      <c r="H747" s="5"/>
    </row>
    <row r="748" spans="1:8" x14ac:dyDescent="0.2">
      <c r="A748" s="5"/>
      <c r="B748" s="5" t="s">
        <v>650</v>
      </c>
      <c r="C748" s="5"/>
      <c r="D748" s="5" t="s">
        <v>322</v>
      </c>
      <c r="E748" s="5"/>
      <c r="G748" s="5"/>
      <c r="H748" s="5"/>
    </row>
    <row r="749" spans="1:8" x14ac:dyDescent="0.2">
      <c r="A749" s="5"/>
      <c r="B749" s="5" t="s">
        <v>651</v>
      </c>
      <c r="C749" s="5"/>
      <c r="D749" s="5" t="s">
        <v>366</v>
      </c>
      <c r="E749" s="5"/>
      <c r="G749" s="5"/>
      <c r="H749" s="5"/>
    </row>
    <row r="750" spans="1:8" x14ac:dyDescent="0.2">
      <c r="A750" s="5" t="s">
        <v>1098</v>
      </c>
      <c r="B750" s="5" t="s">
        <v>1081</v>
      </c>
      <c r="C750" s="5"/>
      <c r="D750" s="5" t="s">
        <v>654</v>
      </c>
      <c r="E750" s="5"/>
      <c r="G750" s="5"/>
      <c r="H750" s="5"/>
    </row>
    <row r="751" spans="1:8" x14ac:dyDescent="0.2">
      <c r="A751" s="5" t="s">
        <v>1099</v>
      </c>
      <c r="B751" s="5" t="s">
        <v>1100</v>
      </c>
      <c r="C751" s="8">
        <v>3</v>
      </c>
      <c r="D751" s="5" t="s">
        <v>368</v>
      </c>
      <c r="E751" s="5"/>
      <c r="G751" s="5"/>
      <c r="H751" s="5"/>
    </row>
    <row r="752" spans="1:8" x14ac:dyDescent="0.2">
      <c r="A752" s="5" t="s">
        <v>1101</v>
      </c>
      <c r="B752" s="5" t="s">
        <v>1102</v>
      </c>
      <c r="C752" s="5"/>
      <c r="D752" s="5" t="s">
        <v>654</v>
      </c>
      <c r="E752" s="5"/>
      <c r="G752" s="5"/>
      <c r="H752" s="5"/>
    </row>
    <row r="753" spans="1:8" x14ac:dyDescent="0.2">
      <c r="A753" s="5" t="s">
        <v>1103</v>
      </c>
      <c r="B753" s="5" t="s">
        <v>1104</v>
      </c>
      <c r="C753" s="8">
        <v>29</v>
      </c>
      <c r="D753" s="5" t="s">
        <v>368</v>
      </c>
      <c r="E753" s="5"/>
      <c r="G753" s="5"/>
      <c r="H753" s="5"/>
    </row>
    <row r="754" spans="1:8" x14ac:dyDescent="0.2">
      <c r="A754" s="5" t="s">
        <v>1105</v>
      </c>
      <c r="B754" s="5" t="s">
        <v>1106</v>
      </c>
      <c r="C754" s="5"/>
      <c r="D754" s="5" t="s">
        <v>654</v>
      </c>
      <c r="E754" s="5"/>
      <c r="G754" s="5"/>
      <c r="H754" s="5"/>
    </row>
    <row r="755" spans="1:8" x14ac:dyDescent="0.2">
      <c r="A755" s="5" t="s">
        <v>1107</v>
      </c>
      <c r="B755" s="5" t="s">
        <v>1108</v>
      </c>
      <c r="C755" s="8">
        <v>3</v>
      </c>
      <c r="D755" s="5" t="s">
        <v>368</v>
      </c>
      <c r="E755" s="5"/>
      <c r="G755" s="5"/>
      <c r="H755" s="5"/>
    </row>
    <row r="756" spans="1:8" x14ac:dyDescent="0.2">
      <c r="A756" s="5" t="s">
        <v>1109</v>
      </c>
      <c r="B756" s="5" t="s">
        <v>1110</v>
      </c>
      <c r="C756" s="5"/>
      <c r="D756" s="5" t="s">
        <v>654</v>
      </c>
      <c r="E756" s="5"/>
      <c r="G756" s="5"/>
      <c r="H756" s="5"/>
    </row>
    <row r="757" spans="1:8" x14ac:dyDescent="0.2">
      <c r="A757" s="5" t="s">
        <v>1111</v>
      </c>
      <c r="B757" s="5" t="s">
        <v>1112</v>
      </c>
      <c r="C757" s="8">
        <v>9</v>
      </c>
      <c r="D757" s="5" t="s">
        <v>368</v>
      </c>
      <c r="E757" s="5"/>
      <c r="G757" s="5"/>
      <c r="H757" s="5"/>
    </row>
    <row r="758" spans="1:8" x14ac:dyDescent="0.2">
      <c r="A758" s="5"/>
      <c r="B758" s="5" t="s">
        <v>669</v>
      </c>
      <c r="C758" s="5"/>
      <c r="D758" s="5" t="s">
        <v>366</v>
      </c>
      <c r="E758" s="5"/>
      <c r="G758" s="5"/>
      <c r="H758" s="5"/>
    </row>
    <row r="759" spans="1:8" x14ac:dyDescent="0.2">
      <c r="A759" s="5" t="s">
        <v>1113</v>
      </c>
      <c r="B759" s="5" t="s">
        <v>1081</v>
      </c>
      <c r="C759" s="5"/>
      <c r="D759" s="5" t="s">
        <v>654</v>
      </c>
      <c r="E759" s="5"/>
      <c r="G759" s="5"/>
      <c r="H759" s="5"/>
    </row>
    <row r="760" spans="1:8" x14ac:dyDescent="0.2">
      <c r="A760" s="5" t="s">
        <v>1114</v>
      </c>
      <c r="B760" s="5" t="s">
        <v>1115</v>
      </c>
      <c r="C760" s="8">
        <v>3</v>
      </c>
      <c r="D760" s="5" t="s">
        <v>368</v>
      </c>
      <c r="E760" s="5"/>
      <c r="G760" s="5"/>
      <c r="H760" s="5"/>
    </row>
    <row r="761" spans="1:8" x14ac:dyDescent="0.2">
      <c r="A761" s="5" t="s">
        <v>1116</v>
      </c>
      <c r="B761" s="5" t="s">
        <v>1102</v>
      </c>
      <c r="C761" s="5"/>
      <c r="D761" s="5" t="s">
        <v>654</v>
      </c>
      <c r="E761" s="5"/>
      <c r="G761" s="5"/>
      <c r="H761" s="5"/>
    </row>
    <row r="762" spans="1:8" x14ac:dyDescent="0.2">
      <c r="A762" s="5" t="s">
        <v>1117</v>
      </c>
      <c r="B762" s="5" t="s">
        <v>1118</v>
      </c>
      <c r="C762" s="8">
        <v>11</v>
      </c>
      <c r="D762" s="5" t="s">
        <v>368</v>
      </c>
      <c r="E762" s="5"/>
      <c r="G762" s="5"/>
      <c r="H762" s="5"/>
    </row>
    <row r="763" spans="1:8" x14ac:dyDescent="0.2">
      <c r="A763" s="5" t="s">
        <v>1119</v>
      </c>
      <c r="B763" s="5" t="s">
        <v>1120</v>
      </c>
      <c r="C763" s="8">
        <v>8</v>
      </c>
      <c r="D763" s="5" t="s">
        <v>368</v>
      </c>
      <c r="E763" s="5"/>
      <c r="G763" s="5"/>
      <c r="H763" s="5"/>
    </row>
    <row r="764" spans="1:8" x14ac:dyDescent="0.2">
      <c r="A764" s="5" t="s">
        <v>1121</v>
      </c>
      <c r="B764" s="5" t="s">
        <v>1122</v>
      </c>
      <c r="C764" s="8">
        <v>27</v>
      </c>
      <c r="D764" s="5" t="s">
        <v>368</v>
      </c>
      <c r="E764" s="5"/>
      <c r="G764" s="5"/>
      <c r="H764" s="5"/>
    </row>
    <row r="765" spans="1:8" x14ac:dyDescent="0.2">
      <c r="A765" s="5" t="s">
        <v>1123</v>
      </c>
      <c r="B765" s="5" t="s">
        <v>1124</v>
      </c>
      <c r="C765" s="8">
        <v>8</v>
      </c>
      <c r="D765" s="5" t="s">
        <v>368</v>
      </c>
      <c r="E765" s="5"/>
      <c r="G765" s="5"/>
      <c r="H765" s="5"/>
    </row>
    <row r="766" spans="1:8" x14ac:dyDescent="0.2">
      <c r="A766" s="5" t="s">
        <v>1125</v>
      </c>
      <c r="B766" s="5" t="s">
        <v>1106</v>
      </c>
      <c r="C766" s="5"/>
      <c r="D766" s="5" t="s">
        <v>654</v>
      </c>
      <c r="E766" s="5"/>
      <c r="G766" s="5"/>
      <c r="H766" s="5"/>
    </row>
    <row r="767" spans="1:8" x14ac:dyDescent="0.2">
      <c r="A767" s="5" t="s">
        <v>1126</v>
      </c>
      <c r="B767" s="5" t="s">
        <v>1127</v>
      </c>
      <c r="C767" s="8">
        <v>9</v>
      </c>
      <c r="D767" s="5" t="s">
        <v>368</v>
      </c>
      <c r="E767" s="5"/>
      <c r="G767" s="5"/>
      <c r="H767" s="5"/>
    </row>
    <row r="768" spans="1:8" x14ac:dyDescent="0.2">
      <c r="A768" s="5" t="s">
        <v>1128</v>
      </c>
      <c r="B768" s="5" t="s">
        <v>1129</v>
      </c>
      <c r="C768" s="8">
        <v>6</v>
      </c>
      <c r="D768" s="5" t="s">
        <v>368</v>
      </c>
      <c r="E768" s="5"/>
      <c r="G768" s="5"/>
      <c r="H768" s="5"/>
    </row>
    <row r="769" spans="1:8" x14ac:dyDescent="0.2">
      <c r="A769" s="5" t="s">
        <v>1130</v>
      </c>
      <c r="B769" s="5" t="s">
        <v>1131</v>
      </c>
      <c r="C769" s="5"/>
      <c r="D769" s="5" t="s">
        <v>654</v>
      </c>
      <c r="E769" s="5"/>
      <c r="G769" s="5"/>
      <c r="H769" s="5"/>
    </row>
    <row r="770" spans="1:8" x14ac:dyDescent="0.2">
      <c r="A770" s="5" t="s">
        <v>1132</v>
      </c>
      <c r="B770" s="5" t="s">
        <v>1133</v>
      </c>
      <c r="C770" s="8">
        <v>8</v>
      </c>
      <c r="D770" s="5" t="s">
        <v>368</v>
      </c>
      <c r="E770" s="5"/>
      <c r="G770" s="5"/>
      <c r="H770" s="5"/>
    </row>
    <row r="771" spans="1:8" x14ac:dyDescent="0.2">
      <c r="A771" s="5" t="s">
        <v>1134</v>
      </c>
      <c r="B771" s="5" t="s">
        <v>1135</v>
      </c>
      <c r="C771" s="8">
        <v>8</v>
      </c>
      <c r="D771" s="5" t="s">
        <v>368</v>
      </c>
      <c r="E771" s="5"/>
      <c r="G771" s="5"/>
      <c r="H771" s="5"/>
    </row>
    <row r="772" spans="1:8" x14ac:dyDescent="0.2">
      <c r="A772" s="5" t="s">
        <v>1136</v>
      </c>
      <c r="B772" s="5" t="s">
        <v>1110</v>
      </c>
      <c r="C772" s="5"/>
      <c r="D772" s="5" t="s">
        <v>654</v>
      </c>
      <c r="E772" s="5"/>
      <c r="G772" s="5"/>
      <c r="H772" s="5"/>
    </row>
    <row r="773" spans="1:8" x14ac:dyDescent="0.2">
      <c r="A773" s="5" t="s">
        <v>1137</v>
      </c>
      <c r="B773" s="5" t="s">
        <v>1138</v>
      </c>
      <c r="C773" s="8">
        <v>9</v>
      </c>
      <c r="D773" s="5" t="s">
        <v>368</v>
      </c>
      <c r="E773" s="5"/>
      <c r="G773" s="5"/>
      <c r="H773" s="5"/>
    </row>
    <row r="774" spans="1:8" x14ac:dyDescent="0.2">
      <c r="A774" s="5"/>
      <c r="B774" s="5" t="s">
        <v>714</v>
      </c>
      <c r="C774" s="5"/>
      <c r="D774" s="5" t="s">
        <v>322</v>
      </c>
      <c r="E774" s="5"/>
      <c r="G774" s="5"/>
      <c r="H774" s="5"/>
    </row>
    <row r="775" spans="1:8" x14ac:dyDescent="0.2">
      <c r="A775" s="5"/>
      <c r="B775" s="5" t="s">
        <v>651</v>
      </c>
      <c r="C775" s="5"/>
      <c r="D775" s="5" t="s">
        <v>366</v>
      </c>
      <c r="E775" s="5"/>
      <c r="G775" s="5"/>
      <c r="H775" s="5"/>
    </row>
    <row r="776" spans="1:8" x14ac:dyDescent="0.2">
      <c r="A776" s="5" t="s">
        <v>1139</v>
      </c>
      <c r="B776" s="5" t="s">
        <v>1110</v>
      </c>
      <c r="C776" s="5"/>
      <c r="D776" s="5" t="s">
        <v>654</v>
      </c>
      <c r="E776" s="5"/>
      <c r="G776" s="5"/>
      <c r="H776" s="5"/>
    </row>
    <row r="777" spans="1:8" x14ac:dyDescent="0.2">
      <c r="A777" s="5" t="s">
        <v>1140</v>
      </c>
      <c r="B777" s="5" t="s">
        <v>1141</v>
      </c>
      <c r="C777" s="8">
        <v>10</v>
      </c>
      <c r="D777" s="5" t="s">
        <v>368</v>
      </c>
      <c r="E777" s="5"/>
      <c r="G777" s="5"/>
      <c r="H777" s="5"/>
    </row>
    <row r="778" spans="1:8" x14ac:dyDescent="0.2">
      <c r="A778" s="5"/>
      <c r="B778" s="5" t="s">
        <v>721</v>
      </c>
      <c r="C778" s="5"/>
      <c r="D778" s="5" t="s">
        <v>322</v>
      </c>
      <c r="E778" s="5"/>
      <c r="G778" s="5"/>
      <c r="H778" s="5"/>
    </row>
    <row r="779" spans="1:8" x14ac:dyDescent="0.2">
      <c r="A779" s="5"/>
      <c r="B779" s="5" t="s">
        <v>1102</v>
      </c>
      <c r="C779" s="5"/>
      <c r="D779" s="5" t="s">
        <v>366</v>
      </c>
      <c r="E779" s="5"/>
      <c r="G779" s="5"/>
      <c r="H779" s="5"/>
    </row>
    <row r="780" spans="1:8" x14ac:dyDescent="0.2">
      <c r="A780" s="5" t="s">
        <v>1142</v>
      </c>
      <c r="B780" s="5" t="s">
        <v>1143</v>
      </c>
      <c r="C780" s="8">
        <v>2</v>
      </c>
      <c r="D780" s="5" t="s">
        <v>368</v>
      </c>
      <c r="E780" s="5"/>
      <c r="G780" s="5"/>
      <c r="H780" s="5"/>
    </row>
    <row r="781" spans="1:8" x14ac:dyDescent="0.2">
      <c r="A781" s="5" t="s">
        <v>1144</v>
      </c>
      <c r="B781" s="5" t="s">
        <v>1145</v>
      </c>
      <c r="C781" s="8">
        <v>2</v>
      </c>
      <c r="D781" s="5" t="s">
        <v>368</v>
      </c>
      <c r="E781" s="5"/>
      <c r="G781" s="5"/>
      <c r="H781" s="5"/>
    </row>
    <row r="782" spans="1:8" x14ac:dyDescent="0.2">
      <c r="A782" s="5" t="s">
        <v>1146</v>
      </c>
      <c r="B782" s="5" t="s">
        <v>1147</v>
      </c>
      <c r="C782" s="8">
        <v>2</v>
      </c>
      <c r="D782" s="5" t="s">
        <v>368</v>
      </c>
      <c r="E782" s="5"/>
      <c r="G782" s="5"/>
      <c r="H782" s="5"/>
    </row>
    <row r="783" spans="1:8" x14ac:dyDescent="0.2">
      <c r="A783" s="5" t="s">
        <v>1148</v>
      </c>
      <c r="B783" s="5" t="s">
        <v>1149</v>
      </c>
      <c r="C783" s="8">
        <v>1</v>
      </c>
      <c r="D783" s="5" t="s">
        <v>368</v>
      </c>
      <c r="E783" s="5"/>
      <c r="G783" s="5"/>
      <c r="H783" s="5"/>
    </row>
    <row r="784" spans="1:8" x14ac:dyDescent="0.2">
      <c r="A784" s="5" t="s">
        <v>1150</v>
      </c>
      <c r="B784" s="5" t="s">
        <v>1151</v>
      </c>
      <c r="C784" s="8">
        <v>1</v>
      </c>
      <c r="D784" s="5" t="s">
        <v>368</v>
      </c>
      <c r="E784" s="5"/>
      <c r="G784" s="5"/>
      <c r="H784" s="5"/>
    </row>
    <row r="785" spans="1:8" x14ac:dyDescent="0.2">
      <c r="A785" s="5" t="s">
        <v>1152</v>
      </c>
      <c r="B785" s="5" t="s">
        <v>1153</v>
      </c>
      <c r="C785" s="8">
        <v>1</v>
      </c>
      <c r="D785" s="5" t="s">
        <v>368</v>
      </c>
      <c r="E785" s="5"/>
      <c r="G785" s="5"/>
      <c r="H785" s="5"/>
    </row>
    <row r="786" spans="1:8" x14ac:dyDescent="0.2">
      <c r="A786" s="5" t="s">
        <v>1154</v>
      </c>
      <c r="B786" s="5" t="s">
        <v>1155</v>
      </c>
      <c r="C786" s="8">
        <v>1</v>
      </c>
      <c r="D786" s="5" t="s">
        <v>368</v>
      </c>
      <c r="E786" s="5"/>
      <c r="G786" s="5"/>
      <c r="H786" s="5"/>
    </row>
    <row r="787" spans="1:8" x14ac:dyDescent="0.2">
      <c r="A787" s="5" t="s">
        <v>1156</v>
      </c>
      <c r="B787" s="5" t="s">
        <v>1157</v>
      </c>
      <c r="C787" s="8">
        <v>1</v>
      </c>
      <c r="D787" s="5" t="s">
        <v>368</v>
      </c>
      <c r="E787" s="5"/>
      <c r="G787" s="5"/>
      <c r="H787" s="5"/>
    </row>
    <row r="788" spans="1:8" x14ac:dyDescent="0.2">
      <c r="A788" s="5" t="s">
        <v>1158</v>
      </c>
      <c r="B788" s="5" t="s">
        <v>1159</v>
      </c>
      <c r="C788" s="8">
        <v>1</v>
      </c>
      <c r="D788" s="5" t="s">
        <v>368</v>
      </c>
      <c r="E788" s="5"/>
      <c r="G788" s="5"/>
      <c r="H788" s="5"/>
    </row>
    <row r="789" spans="1:8" x14ac:dyDescent="0.2">
      <c r="A789" s="5" t="s">
        <v>1160</v>
      </c>
      <c r="B789" s="5" t="s">
        <v>1161</v>
      </c>
      <c r="C789" s="8">
        <v>1</v>
      </c>
      <c r="D789" s="5" t="s">
        <v>368</v>
      </c>
      <c r="E789" s="5"/>
      <c r="G789" s="5"/>
      <c r="H789" s="5"/>
    </row>
    <row r="790" spans="1:8" x14ac:dyDescent="0.2">
      <c r="A790" s="5" t="s">
        <v>1162</v>
      </c>
      <c r="B790" s="5" t="s">
        <v>1163</v>
      </c>
      <c r="C790" s="8">
        <v>1</v>
      </c>
      <c r="D790" s="5" t="s">
        <v>368</v>
      </c>
      <c r="E790" s="5"/>
      <c r="G790" s="5"/>
      <c r="H790" s="5"/>
    </row>
    <row r="791" spans="1:8" x14ac:dyDescent="0.2">
      <c r="A791" s="5" t="s">
        <v>1164</v>
      </c>
      <c r="B791" s="5" t="s">
        <v>1165</v>
      </c>
      <c r="C791" s="8">
        <v>1</v>
      </c>
      <c r="D791" s="5" t="s">
        <v>368</v>
      </c>
      <c r="E791" s="5"/>
      <c r="G791" s="5"/>
      <c r="H791" s="5"/>
    </row>
    <row r="792" spans="1:8" x14ac:dyDescent="0.2">
      <c r="A792" s="5" t="s">
        <v>1166</v>
      </c>
      <c r="B792" s="5" t="s">
        <v>1167</v>
      </c>
      <c r="C792" s="8">
        <v>1</v>
      </c>
      <c r="D792" s="5" t="s">
        <v>368</v>
      </c>
      <c r="E792" s="5"/>
      <c r="G792" s="5"/>
      <c r="H792" s="5"/>
    </row>
    <row r="793" spans="1:8" x14ac:dyDescent="0.2">
      <c r="A793" s="5" t="s">
        <v>1168</v>
      </c>
      <c r="B793" s="5" t="s">
        <v>1169</v>
      </c>
      <c r="C793" s="8">
        <v>1</v>
      </c>
      <c r="D793" s="5" t="s">
        <v>368</v>
      </c>
      <c r="E793" s="5"/>
      <c r="G793" s="5"/>
      <c r="H793" s="5"/>
    </row>
    <row r="794" spans="1:8" x14ac:dyDescent="0.2">
      <c r="A794" s="5" t="s">
        <v>1170</v>
      </c>
      <c r="B794" s="5" t="s">
        <v>1171</v>
      </c>
      <c r="C794" s="8">
        <v>1</v>
      </c>
      <c r="D794" s="5" t="s">
        <v>368</v>
      </c>
      <c r="E794" s="5"/>
      <c r="G794" s="5"/>
      <c r="H794" s="5"/>
    </row>
    <row r="795" spans="1:8" x14ac:dyDescent="0.2">
      <c r="A795" s="5" t="s">
        <v>1172</v>
      </c>
      <c r="B795" s="5" t="s">
        <v>1173</v>
      </c>
      <c r="C795" s="8">
        <v>1</v>
      </c>
      <c r="D795" s="5" t="s">
        <v>368</v>
      </c>
      <c r="E795" s="5"/>
      <c r="G795" s="5"/>
      <c r="H795" s="5"/>
    </row>
    <row r="796" spans="1:8" x14ac:dyDescent="0.2">
      <c r="A796" s="5" t="s">
        <v>1174</v>
      </c>
      <c r="B796" s="5" t="s">
        <v>1175</v>
      </c>
      <c r="C796" s="8">
        <v>1</v>
      </c>
      <c r="D796" s="5" t="s">
        <v>368</v>
      </c>
      <c r="E796" s="5"/>
      <c r="G796" s="5"/>
      <c r="H796" s="5"/>
    </row>
    <row r="797" spans="1:8" x14ac:dyDescent="0.2">
      <c r="A797" s="5" t="s">
        <v>1176</v>
      </c>
      <c r="B797" s="5" t="s">
        <v>1177</v>
      </c>
      <c r="C797" s="8">
        <v>1</v>
      </c>
      <c r="D797" s="5" t="s">
        <v>368</v>
      </c>
      <c r="E797" s="5"/>
      <c r="G797" s="5"/>
      <c r="H797" s="5"/>
    </row>
    <row r="798" spans="1:8" x14ac:dyDescent="0.2">
      <c r="A798" s="5" t="s">
        <v>1178</v>
      </c>
      <c r="B798" s="5" t="s">
        <v>1179</v>
      </c>
      <c r="C798" s="8">
        <v>1</v>
      </c>
      <c r="D798" s="5" t="s">
        <v>368</v>
      </c>
      <c r="E798" s="5"/>
      <c r="G798" s="5"/>
      <c r="H798" s="5"/>
    </row>
    <row r="799" spans="1:8" x14ac:dyDescent="0.2">
      <c r="A799" s="5" t="s">
        <v>1180</v>
      </c>
      <c r="B799" s="5" t="s">
        <v>1181</v>
      </c>
      <c r="C799" s="8">
        <v>1</v>
      </c>
      <c r="D799" s="5" t="s">
        <v>368</v>
      </c>
      <c r="E799" s="5"/>
      <c r="G799" s="5"/>
      <c r="H799" s="5"/>
    </row>
    <row r="800" spans="1:8" x14ac:dyDescent="0.2">
      <c r="A800" s="5" t="s">
        <v>1182</v>
      </c>
      <c r="B800" s="5" t="s">
        <v>1183</v>
      </c>
      <c r="C800" s="8">
        <v>1</v>
      </c>
      <c r="D800" s="5" t="s">
        <v>368</v>
      </c>
      <c r="E800" s="5"/>
      <c r="G800" s="5"/>
      <c r="H800" s="5"/>
    </row>
    <row r="801" spans="1:8" x14ac:dyDescent="0.2">
      <c r="A801" s="5" t="s">
        <v>1184</v>
      </c>
      <c r="B801" s="5" t="s">
        <v>1185</v>
      </c>
      <c r="C801" s="8">
        <v>1</v>
      </c>
      <c r="D801" s="5" t="s">
        <v>368</v>
      </c>
      <c r="E801" s="5"/>
      <c r="G801" s="5"/>
      <c r="H801" s="5"/>
    </row>
    <row r="802" spans="1:8" x14ac:dyDescent="0.2">
      <c r="A802" s="5" t="s">
        <v>1186</v>
      </c>
      <c r="B802" s="5" t="s">
        <v>1187</v>
      </c>
      <c r="C802" s="8">
        <v>1</v>
      </c>
      <c r="D802" s="5" t="s">
        <v>368</v>
      </c>
      <c r="E802" s="5"/>
      <c r="G802" s="5"/>
      <c r="H802" s="5"/>
    </row>
    <row r="803" spans="1:8" x14ac:dyDescent="0.2">
      <c r="A803" s="5" t="s">
        <v>1188</v>
      </c>
      <c r="B803" s="5" t="s">
        <v>1189</v>
      </c>
      <c r="C803" s="8">
        <v>1</v>
      </c>
      <c r="D803" s="5" t="s">
        <v>368</v>
      </c>
      <c r="E803" s="5"/>
      <c r="G803" s="5"/>
      <c r="H803" s="5"/>
    </row>
    <row r="804" spans="1:8" x14ac:dyDescent="0.2">
      <c r="A804" s="5" t="s">
        <v>1190</v>
      </c>
      <c r="B804" s="5" t="s">
        <v>1191</v>
      </c>
      <c r="C804" s="8">
        <v>2</v>
      </c>
      <c r="D804" s="5" t="s">
        <v>368</v>
      </c>
      <c r="E804" s="5"/>
      <c r="G804" s="5"/>
      <c r="H804" s="5"/>
    </row>
    <row r="805" spans="1:8" x14ac:dyDescent="0.2">
      <c r="A805" s="5" t="s">
        <v>1192</v>
      </c>
      <c r="B805" s="5" t="s">
        <v>1193</v>
      </c>
      <c r="C805" s="8">
        <v>1</v>
      </c>
      <c r="D805" s="5" t="s">
        <v>368</v>
      </c>
      <c r="E805" s="5"/>
      <c r="G805" s="5"/>
      <c r="H805" s="5"/>
    </row>
    <row r="806" spans="1:8" x14ac:dyDescent="0.2">
      <c r="A806" s="5" t="s">
        <v>1194</v>
      </c>
      <c r="B806" s="5" t="s">
        <v>1195</v>
      </c>
      <c r="C806" s="8">
        <v>2</v>
      </c>
      <c r="D806" s="5" t="s">
        <v>368</v>
      </c>
      <c r="E806" s="5"/>
      <c r="G806" s="5"/>
      <c r="H806" s="5"/>
    </row>
    <row r="807" spans="1:8" x14ac:dyDescent="0.2">
      <c r="A807" s="5"/>
      <c r="B807" s="5" t="s">
        <v>1106</v>
      </c>
      <c r="C807" s="5"/>
      <c r="D807" s="5" t="s">
        <v>366</v>
      </c>
      <c r="E807" s="5"/>
      <c r="G807" s="5"/>
      <c r="H807" s="5"/>
    </row>
    <row r="808" spans="1:8" x14ac:dyDescent="0.2">
      <c r="A808" s="5" t="s">
        <v>1196</v>
      </c>
      <c r="B808" s="5" t="s">
        <v>1197</v>
      </c>
      <c r="C808" s="8">
        <v>1</v>
      </c>
      <c r="D808" s="5" t="s">
        <v>368</v>
      </c>
      <c r="E808" s="5"/>
      <c r="G808" s="5"/>
      <c r="H808" s="5"/>
    </row>
    <row r="809" spans="1:8" x14ac:dyDescent="0.2">
      <c r="A809" s="5" t="s">
        <v>1198</v>
      </c>
      <c r="B809" s="5" t="s">
        <v>1199</v>
      </c>
      <c r="C809" s="8">
        <v>2</v>
      </c>
      <c r="D809" s="5" t="s">
        <v>368</v>
      </c>
      <c r="E809" s="5"/>
      <c r="G809" s="5"/>
      <c r="H809" s="5"/>
    </row>
    <row r="810" spans="1:8" x14ac:dyDescent="0.2">
      <c r="A810" s="5" t="s">
        <v>1200</v>
      </c>
      <c r="B810" s="5" t="s">
        <v>1201</v>
      </c>
      <c r="C810" s="8">
        <v>2</v>
      </c>
      <c r="D810" s="5" t="s">
        <v>368</v>
      </c>
      <c r="E810" s="5"/>
      <c r="G810" s="5"/>
      <c r="H810" s="5"/>
    </row>
    <row r="811" spans="1:8" x14ac:dyDescent="0.2">
      <c r="A811" s="5" t="s">
        <v>1202</v>
      </c>
      <c r="B811" s="5" t="s">
        <v>1153</v>
      </c>
      <c r="C811" s="8">
        <v>1</v>
      </c>
      <c r="D811" s="5" t="s">
        <v>368</v>
      </c>
      <c r="E811" s="5"/>
      <c r="G811" s="5"/>
      <c r="H811" s="5"/>
    </row>
    <row r="812" spans="1:8" x14ac:dyDescent="0.2">
      <c r="A812" s="5" t="s">
        <v>1203</v>
      </c>
      <c r="B812" s="5" t="s">
        <v>1161</v>
      </c>
      <c r="C812" s="8">
        <v>1</v>
      </c>
      <c r="D812" s="5" t="s">
        <v>368</v>
      </c>
      <c r="E812" s="5"/>
      <c r="G812" s="5"/>
      <c r="H812" s="5"/>
    </row>
    <row r="813" spans="1:8" x14ac:dyDescent="0.2">
      <c r="A813" s="5" t="s">
        <v>1204</v>
      </c>
      <c r="B813" s="5" t="s">
        <v>1205</v>
      </c>
      <c r="C813" s="8">
        <v>1</v>
      </c>
      <c r="D813" s="5" t="s">
        <v>368</v>
      </c>
      <c r="E813" s="5"/>
      <c r="G813" s="5"/>
      <c r="H813" s="5"/>
    </row>
    <row r="814" spans="1:8" x14ac:dyDescent="0.2">
      <c r="A814" s="5" t="s">
        <v>1206</v>
      </c>
      <c r="B814" s="5" t="s">
        <v>1169</v>
      </c>
      <c r="C814" s="8">
        <v>1</v>
      </c>
      <c r="D814" s="5" t="s">
        <v>368</v>
      </c>
      <c r="E814" s="5"/>
      <c r="G814" s="5"/>
      <c r="H814" s="5"/>
    </row>
    <row r="815" spans="1:8" x14ac:dyDescent="0.2">
      <c r="A815" s="5" t="s">
        <v>1207</v>
      </c>
      <c r="B815" s="5" t="s">
        <v>1208</v>
      </c>
      <c r="C815" s="8">
        <v>1</v>
      </c>
      <c r="D815" s="5" t="s">
        <v>368</v>
      </c>
      <c r="E815" s="5"/>
      <c r="G815" s="5"/>
      <c r="H815" s="5"/>
    </row>
    <row r="816" spans="1:8" x14ac:dyDescent="0.2">
      <c r="A816" s="5" t="s">
        <v>1209</v>
      </c>
      <c r="B816" s="5" t="s">
        <v>1173</v>
      </c>
      <c r="C816" s="8">
        <v>1</v>
      </c>
      <c r="D816" s="5" t="s">
        <v>368</v>
      </c>
      <c r="E816" s="5"/>
      <c r="G816" s="5"/>
      <c r="H816" s="5"/>
    </row>
    <row r="817" spans="1:8" x14ac:dyDescent="0.2">
      <c r="A817" s="5" t="s">
        <v>1210</v>
      </c>
      <c r="B817" s="5" t="s">
        <v>1177</v>
      </c>
      <c r="C817" s="8">
        <v>1</v>
      </c>
      <c r="D817" s="5" t="s">
        <v>368</v>
      </c>
      <c r="E817" s="5"/>
      <c r="G817" s="5"/>
      <c r="H817" s="5"/>
    </row>
    <row r="818" spans="1:8" x14ac:dyDescent="0.2">
      <c r="A818" s="5" t="s">
        <v>1211</v>
      </c>
      <c r="B818" s="5" t="s">
        <v>1212</v>
      </c>
      <c r="C818" s="8">
        <v>1</v>
      </c>
      <c r="D818" s="5" t="s">
        <v>368</v>
      </c>
      <c r="E818" s="5"/>
      <c r="G818" s="5"/>
      <c r="H818" s="5"/>
    </row>
    <row r="819" spans="1:8" x14ac:dyDescent="0.2">
      <c r="A819" s="5" t="s">
        <v>1213</v>
      </c>
      <c r="B819" s="5" t="s">
        <v>1214</v>
      </c>
      <c r="C819" s="8">
        <v>1</v>
      </c>
      <c r="D819" s="5" t="s">
        <v>368</v>
      </c>
      <c r="E819" s="5"/>
      <c r="G819" s="5"/>
      <c r="H819" s="5"/>
    </row>
    <row r="820" spans="1:8" x14ac:dyDescent="0.2">
      <c r="A820" s="5" t="s">
        <v>1215</v>
      </c>
      <c r="B820" s="5" t="s">
        <v>1185</v>
      </c>
      <c r="C820" s="8">
        <v>1</v>
      </c>
      <c r="D820" s="5" t="s">
        <v>368</v>
      </c>
      <c r="E820" s="5"/>
      <c r="G820" s="5"/>
      <c r="H820" s="5"/>
    </row>
    <row r="821" spans="1:8" x14ac:dyDescent="0.2">
      <c r="A821" s="5" t="s">
        <v>1216</v>
      </c>
      <c r="B821" s="5" t="s">
        <v>1187</v>
      </c>
      <c r="C821" s="8">
        <v>1</v>
      </c>
      <c r="D821" s="5" t="s">
        <v>368</v>
      </c>
      <c r="E821" s="5"/>
      <c r="G821" s="5"/>
      <c r="H821" s="5"/>
    </row>
    <row r="822" spans="1:8" x14ac:dyDescent="0.2">
      <c r="A822" s="5" t="s">
        <v>1217</v>
      </c>
      <c r="B822" s="5" t="s">
        <v>1189</v>
      </c>
      <c r="C822" s="8">
        <v>1</v>
      </c>
      <c r="D822" s="5" t="s">
        <v>368</v>
      </c>
      <c r="E822" s="5"/>
      <c r="G822" s="5"/>
      <c r="H822" s="5"/>
    </row>
    <row r="823" spans="1:8" x14ac:dyDescent="0.2">
      <c r="A823" s="5" t="s">
        <v>1218</v>
      </c>
      <c r="B823" s="5" t="s">
        <v>1191</v>
      </c>
      <c r="C823" s="8">
        <v>3</v>
      </c>
      <c r="D823" s="5" t="s">
        <v>368</v>
      </c>
      <c r="E823" s="5"/>
      <c r="G823" s="5"/>
      <c r="H823" s="5"/>
    </row>
    <row r="824" spans="1:8" x14ac:dyDescent="0.2">
      <c r="A824" s="5" t="s">
        <v>1219</v>
      </c>
      <c r="B824" s="5" t="s">
        <v>1220</v>
      </c>
      <c r="C824" s="8">
        <v>2</v>
      </c>
      <c r="D824" s="5" t="s">
        <v>368</v>
      </c>
      <c r="E824" s="5"/>
      <c r="G824" s="5"/>
      <c r="H824" s="5"/>
    </row>
    <row r="825" spans="1:8" x14ac:dyDescent="0.2">
      <c r="A825" s="5" t="s">
        <v>1221</v>
      </c>
      <c r="B825" s="5" t="s">
        <v>1222</v>
      </c>
      <c r="C825" s="8">
        <v>2</v>
      </c>
      <c r="D825" s="5" t="s">
        <v>368</v>
      </c>
      <c r="E825" s="5"/>
      <c r="G825" s="5"/>
      <c r="H825" s="5"/>
    </row>
    <row r="826" spans="1:8" x14ac:dyDescent="0.2">
      <c r="A826" s="5" t="s">
        <v>1223</v>
      </c>
      <c r="B826" s="5" t="s">
        <v>1224</v>
      </c>
      <c r="C826" s="8">
        <v>1</v>
      </c>
      <c r="D826" s="5" t="s">
        <v>368</v>
      </c>
      <c r="E826" s="5"/>
      <c r="G826" s="5"/>
      <c r="H826" s="5"/>
    </row>
    <row r="827" spans="1:8" x14ac:dyDescent="0.2">
      <c r="A827" s="5" t="s">
        <v>1225</v>
      </c>
      <c r="B827" s="5" t="s">
        <v>1226</v>
      </c>
      <c r="C827" s="8">
        <v>2</v>
      </c>
      <c r="D827" s="5" t="s">
        <v>368</v>
      </c>
      <c r="E827" s="5"/>
      <c r="G827" s="5"/>
      <c r="H827" s="5"/>
    </row>
    <row r="828" spans="1:8" x14ac:dyDescent="0.2">
      <c r="A828" s="5" t="s">
        <v>1227</v>
      </c>
      <c r="B828" s="5" t="s">
        <v>1228</v>
      </c>
      <c r="C828" s="8">
        <v>1</v>
      </c>
      <c r="D828" s="5" t="s">
        <v>368</v>
      </c>
      <c r="E828" s="5"/>
      <c r="G828" s="5"/>
      <c r="H828" s="5"/>
    </row>
    <row r="829" spans="1:8" x14ac:dyDescent="0.2">
      <c r="A829" s="5"/>
      <c r="B829" s="5" t="s">
        <v>1131</v>
      </c>
      <c r="C829" s="5"/>
      <c r="D829" s="5" t="s">
        <v>366</v>
      </c>
      <c r="E829" s="5"/>
      <c r="G829" s="5"/>
      <c r="H829" s="5"/>
    </row>
    <row r="830" spans="1:8" x14ac:dyDescent="0.2">
      <c r="A830" s="5" t="s">
        <v>1229</v>
      </c>
      <c r="B830" s="5" t="s">
        <v>1197</v>
      </c>
      <c r="C830" s="8">
        <v>1</v>
      </c>
      <c r="D830" s="5" t="s">
        <v>368</v>
      </c>
      <c r="E830" s="5"/>
      <c r="G830" s="5"/>
      <c r="H830" s="5"/>
    </row>
    <row r="831" spans="1:8" x14ac:dyDescent="0.2">
      <c r="A831" s="5" t="s">
        <v>1230</v>
      </c>
      <c r="B831" s="5" t="s">
        <v>1199</v>
      </c>
      <c r="C831" s="8">
        <v>2</v>
      </c>
      <c r="D831" s="5" t="s">
        <v>368</v>
      </c>
      <c r="E831" s="5"/>
      <c r="G831" s="5"/>
      <c r="H831" s="5"/>
    </row>
    <row r="832" spans="1:8" x14ac:dyDescent="0.2">
      <c r="A832" s="5" t="s">
        <v>1231</v>
      </c>
      <c r="B832" s="5" t="s">
        <v>1201</v>
      </c>
      <c r="C832" s="8">
        <v>2</v>
      </c>
      <c r="D832" s="5" t="s">
        <v>368</v>
      </c>
      <c r="E832" s="5"/>
      <c r="G832" s="5"/>
      <c r="H832" s="5"/>
    </row>
    <row r="833" spans="1:8" x14ac:dyDescent="0.2">
      <c r="A833" s="5" t="s">
        <v>1232</v>
      </c>
      <c r="B833" s="5" t="s">
        <v>1153</v>
      </c>
      <c r="C833" s="8">
        <v>1</v>
      </c>
      <c r="D833" s="5" t="s">
        <v>368</v>
      </c>
      <c r="E833" s="5"/>
      <c r="G833" s="5"/>
      <c r="H833" s="5"/>
    </row>
    <row r="834" spans="1:8" x14ac:dyDescent="0.2">
      <c r="A834" s="5" t="s">
        <v>1233</v>
      </c>
      <c r="B834" s="5" t="s">
        <v>1161</v>
      </c>
      <c r="C834" s="8">
        <v>1</v>
      </c>
      <c r="D834" s="5" t="s">
        <v>368</v>
      </c>
      <c r="E834" s="5"/>
      <c r="G834" s="5"/>
      <c r="H834" s="5"/>
    </row>
    <row r="835" spans="1:8" x14ac:dyDescent="0.2">
      <c r="A835" s="5" t="s">
        <v>1234</v>
      </c>
      <c r="B835" s="5" t="s">
        <v>1205</v>
      </c>
      <c r="C835" s="8">
        <v>1</v>
      </c>
      <c r="D835" s="5" t="s">
        <v>368</v>
      </c>
      <c r="E835" s="5"/>
      <c r="G835" s="5"/>
      <c r="H835" s="5"/>
    </row>
    <row r="836" spans="1:8" x14ac:dyDescent="0.2">
      <c r="A836" s="5" t="s">
        <v>1235</v>
      </c>
      <c r="B836" s="5" t="s">
        <v>1169</v>
      </c>
      <c r="C836" s="8">
        <v>1</v>
      </c>
      <c r="D836" s="5" t="s">
        <v>368</v>
      </c>
      <c r="E836" s="5"/>
      <c r="G836" s="5"/>
      <c r="H836" s="5"/>
    </row>
    <row r="837" spans="1:8" x14ac:dyDescent="0.2">
      <c r="A837" s="5" t="s">
        <v>1236</v>
      </c>
      <c r="B837" s="5" t="s">
        <v>1208</v>
      </c>
      <c r="C837" s="8">
        <v>1</v>
      </c>
      <c r="D837" s="5" t="s">
        <v>368</v>
      </c>
      <c r="E837" s="5"/>
      <c r="G837" s="5"/>
      <c r="H837" s="5"/>
    </row>
    <row r="838" spans="1:8" x14ac:dyDescent="0.2">
      <c r="A838" s="5" t="s">
        <v>1237</v>
      </c>
      <c r="B838" s="5" t="s">
        <v>1173</v>
      </c>
      <c r="C838" s="8">
        <v>1</v>
      </c>
      <c r="D838" s="5" t="s">
        <v>368</v>
      </c>
      <c r="E838" s="5"/>
      <c r="G838" s="5"/>
      <c r="H838" s="5"/>
    </row>
    <row r="839" spans="1:8" x14ac:dyDescent="0.2">
      <c r="A839" s="5" t="s">
        <v>1238</v>
      </c>
      <c r="B839" s="5" t="s">
        <v>1177</v>
      </c>
      <c r="C839" s="8">
        <v>1</v>
      </c>
      <c r="D839" s="5" t="s">
        <v>368</v>
      </c>
      <c r="E839" s="5"/>
      <c r="G839" s="5"/>
      <c r="H839" s="5"/>
    </row>
    <row r="840" spans="1:8" x14ac:dyDescent="0.2">
      <c r="A840" s="5" t="s">
        <v>1239</v>
      </c>
      <c r="B840" s="5" t="s">
        <v>1212</v>
      </c>
      <c r="C840" s="8">
        <v>1</v>
      </c>
      <c r="D840" s="5" t="s">
        <v>368</v>
      </c>
      <c r="E840" s="5"/>
      <c r="G840" s="5"/>
      <c r="H840" s="5"/>
    </row>
    <row r="841" spans="1:8" x14ac:dyDescent="0.2">
      <c r="A841" s="5" t="s">
        <v>1240</v>
      </c>
      <c r="B841" s="5" t="s">
        <v>1214</v>
      </c>
      <c r="C841" s="8">
        <v>1</v>
      </c>
      <c r="D841" s="5" t="s">
        <v>368</v>
      </c>
      <c r="E841" s="5"/>
      <c r="G841" s="5"/>
      <c r="H841" s="5"/>
    </row>
    <row r="842" spans="1:8" x14ac:dyDescent="0.2">
      <c r="A842" s="5" t="s">
        <v>1241</v>
      </c>
      <c r="B842" s="5" t="s">
        <v>1185</v>
      </c>
      <c r="C842" s="8">
        <v>1</v>
      </c>
      <c r="D842" s="5" t="s">
        <v>368</v>
      </c>
      <c r="E842" s="5"/>
      <c r="G842" s="5"/>
      <c r="H842" s="5"/>
    </row>
    <row r="843" spans="1:8" x14ac:dyDescent="0.2">
      <c r="A843" s="5" t="s">
        <v>1242</v>
      </c>
      <c r="B843" s="5" t="s">
        <v>1187</v>
      </c>
      <c r="C843" s="8">
        <v>1</v>
      </c>
      <c r="D843" s="5" t="s">
        <v>368</v>
      </c>
      <c r="E843" s="5"/>
      <c r="G843" s="5"/>
      <c r="H843" s="5"/>
    </row>
    <row r="844" spans="1:8" x14ac:dyDescent="0.2">
      <c r="A844" s="5" t="s">
        <v>1243</v>
      </c>
      <c r="B844" s="5" t="s">
        <v>1189</v>
      </c>
      <c r="C844" s="8">
        <v>1</v>
      </c>
      <c r="D844" s="5" t="s">
        <v>368</v>
      </c>
      <c r="E844" s="5"/>
      <c r="G844" s="5"/>
      <c r="H844" s="5"/>
    </row>
    <row r="845" spans="1:8" x14ac:dyDescent="0.2">
      <c r="A845" s="5" t="s">
        <v>1244</v>
      </c>
      <c r="B845" s="5" t="s">
        <v>1191</v>
      </c>
      <c r="C845" s="8">
        <v>3</v>
      </c>
      <c r="D845" s="5" t="s">
        <v>368</v>
      </c>
      <c r="E845" s="5"/>
      <c r="G845" s="5"/>
      <c r="H845" s="5"/>
    </row>
    <row r="846" spans="1:8" x14ac:dyDescent="0.2">
      <c r="A846" s="5" t="s">
        <v>1245</v>
      </c>
      <c r="B846" s="5" t="s">
        <v>1220</v>
      </c>
      <c r="C846" s="8">
        <v>2</v>
      </c>
      <c r="D846" s="5" t="s">
        <v>368</v>
      </c>
      <c r="E846" s="5"/>
      <c r="G846" s="5"/>
      <c r="H846" s="5"/>
    </row>
    <row r="847" spans="1:8" x14ac:dyDescent="0.2">
      <c r="A847" s="5" t="s">
        <v>1246</v>
      </c>
      <c r="B847" s="5" t="s">
        <v>1222</v>
      </c>
      <c r="C847" s="8">
        <v>2</v>
      </c>
      <c r="D847" s="5" t="s">
        <v>368</v>
      </c>
      <c r="E847" s="5"/>
      <c r="G847" s="5"/>
      <c r="H847" s="5"/>
    </row>
    <row r="848" spans="1:8" x14ac:dyDescent="0.2">
      <c r="A848" s="5" t="s">
        <v>1247</v>
      </c>
      <c r="B848" s="5" t="s">
        <v>1224</v>
      </c>
      <c r="C848" s="8">
        <v>1</v>
      </c>
      <c r="D848" s="5" t="s">
        <v>368</v>
      </c>
      <c r="E848" s="5"/>
      <c r="G848" s="5"/>
      <c r="H848" s="5"/>
    </row>
    <row r="849" spans="1:8" x14ac:dyDescent="0.2">
      <c r="A849" s="5" t="s">
        <v>1248</v>
      </c>
      <c r="B849" s="5" t="s">
        <v>1249</v>
      </c>
      <c r="C849" s="8">
        <v>1</v>
      </c>
      <c r="D849" s="5" t="s">
        <v>368</v>
      </c>
      <c r="E849" s="5"/>
      <c r="G849" s="5"/>
      <c r="H849" s="5"/>
    </row>
    <row r="850" spans="1:8" x14ac:dyDescent="0.2">
      <c r="A850" s="5"/>
      <c r="B850" s="5" t="s">
        <v>1250</v>
      </c>
      <c r="C850" s="5"/>
      <c r="D850" s="5" t="s">
        <v>322</v>
      </c>
      <c r="E850" s="5"/>
      <c r="G850" s="5"/>
      <c r="H850" s="5"/>
    </row>
    <row r="851" spans="1:8" x14ac:dyDescent="0.2">
      <c r="A851" s="5"/>
      <c r="B851" s="5" t="s">
        <v>1110</v>
      </c>
      <c r="C851" s="5"/>
      <c r="D851" s="5" t="s">
        <v>366</v>
      </c>
      <c r="E851" s="5"/>
      <c r="G851" s="5"/>
      <c r="H851" s="5"/>
    </row>
    <row r="852" spans="1:8" x14ac:dyDescent="0.2">
      <c r="A852" s="5" t="s">
        <v>1251</v>
      </c>
      <c r="B852" s="5" t="s">
        <v>1252</v>
      </c>
      <c r="C852" s="8">
        <v>1</v>
      </c>
      <c r="D852" s="5" t="s">
        <v>368</v>
      </c>
      <c r="E852" s="5"/>
      <c r="G852" s="5"/>
      <c r="H852" s="5"/>
    </row>
    <row r="853" spans="1:8" x14ac:dyDescent="0.2">
      <c r="A853" s="5" t="s">
        <v>1253</v>
      </c>
      <c r="B853" s="5" t="s">
        <v>1254</v>
      </c>
      <c r="C853" s="8">
        <v>1</v>
      </c>
      <c r="D853" s="5" t="s">
        <v>368</v>
      </c>
      <c r="E853" s="5"/>
      <c r="G853" s="5"/>
      <c r="H853" s="5"/>
    </row>
    <row r="854" spans="1:8" x14ac:dyDescent="0.2">
      <c r="A854" s="5" t="s">
        <v>1255</v>
      </c>
      <c r="B854" s="5" t="s">
        <v>1256</v>
      </c>
      <c r="C854" s="8">
        <v>1</v>
      </c>
      <c r="D854" s="5" t="s">
        <v>368</v>
      </c>
      <c r="E854" s="5"/>
      <c r="G854" s="5"/>
      <c r="H854" s="5"/>
    </row>
    <row r="855" spans="1:8" x14ac:dyDescent="0.2">
      <c r="A855" s="5" t="s">
        <v>1257</v>
      </c>
      <c r="B855" s="5" t="s">
        <v>1258</v>
      </c>
      <c r="C855" s="8">
        <v>1</v>
      </c>
      <c r="D855" s="5" t="s">
        <v>368</v>
      </c>
      <c r="E855" s="5"/>
      <c r="G855" s="5"/>
      <c r="H855" s="5"/>
    </row>
    <row r="856" spans="1:8" x14ac:dyDescent="0.2">
      <c r="A856" s="5"/>
      <c r="B856" s="5" t="s">
        <v>909</v>
      </c>
      <c r="C856" s="5"/>
      <c r="D856" s="5" t="s">
        <v>322</v>
      </c>
      <c r="E856" s="5"/>
      <c r="G856" s="5"/>
      <c r="H856" s="5"/>
    </row>
    <row r="857" spans="1:8" x14ac:dyDescent="0.2">
      <c r="A857" s="5"/>
      <c r="B857" s="5" t="s">
        <v>1102</v>
      </c>
      <c r="C857" s="5"/>
      <c r="D857" s="5" t="s">
        <v>366</v>
      </c>
      <c r="E857" s="5"/>
      <c r="G857" s="5"/>
      <c r="H857" s="5"/>
    </row>
    <row r="858" spans="1:8" x14ac:dyDescent="0.2">
      <c r="A858" s="5" t="s">
        <v>1259</v>
      </c>
      <c r="B858" s="5" t="s">
        <v>1260</v>
      </c>
      <c r="C858" s="8">
        <v>140</v>
      </c>
      <c r="D858" s="5" t="s">
        <v>368</v>
      </c>
      <c r="E858" s="5"/>
      <c r="G858" s="5"/>
      <c r="H858" s="5"/>
    </row>
    <row r="859" spans="1:8" x14ac:dyDescent="0.2">
      <c r="A859" s="5"/>
      <c r="B859" s="5" t="s">
        <v>1261</v>
      </c>
      <c r="C859" s="5"/>
      <c r="D859" s="5" t="s">
        <v>322</v>
      </c>
      <c r="E859" s="5"/>
      <c r="G859" s="5"/>
      <c r="H859" s="5"/>
    </row>
    <row r="860" spans="1:8" x14ac:dyDescent="0.2">
      <c r="A860" s="5"/>
      <c r="B860" s="5" t="s">
        <v>1106</v>
      </c>
      <c r="C860" s="5"/>
      <c r="D860" s="5" t="s">
        <v>366</v>
      </c>
      <c r="E860" s="5"/>
      <c r="G860" s="5"/>
      <c r="H860" s="5"/>
    </row>
    <row r="861" spans="1:8" x14ac:dyDescent="0.2">
      <c r="A861" s="5" t="s">
        <v>1262</v>
      </c>
      <c r="B861" s="5" t="s">
        <v>1263</v>
      </c>
      <c r="C861" s="8">
        <v>8</v>
      </c>
      <c r="D861" s="5" t="s">
        <v>368</v>
      </c>
      <c r="E861" s="5"/>
      <c r="G861" s="5"/>
      <c r="H861" s="5"/>
    </row>
    <row r="862" spans="1:8" x14ac:dyDescent="0.2">
      <c r="A862" s="5"/>
      <c r="B862" s="5" t="s">
        <v>912</v>
      </c>
      <c r="C862" s="5"/>
      <c r="D862" s="5" t="s">
        <v>322</v>
      </c>
      <c r="E862" s="5"/>
      <c r="G862" s="5"/>
      <c r="H862" s="5"/>
    </row>
    <row r="863" spans="1:8" x14ac:dyDescent="0.2">
      <c r="A863" s="5"/>
      <c r="B863" s="5" t="s">
        <v>1106</v>
      </c>
      <c r="C863" s="5"/>
      <c r="D863" s="5" t="s">
        <v>366</v>
      </c>
      <c r="E863" s="5"/>
      <c r="G863" s="5"/>
      <c r="H863" s="5"/>
    </row>
    <row r="864" spans="1:8" x14ac:dyDescent="0.2">
      <c r="A864" s="5" t="s">
        <v>1264</v>
      </c>
      <c r="B864" s="5" t="s">
        <v>1265</v>
      </c>
      <c r="C864" s="8">
        <v>14</v>
      </c>
      <c r="D864" s="5" t="s">
        <v>368</v>
      </c>
      <c r="E864" s="5"/>
      <c r="G864" s="5"/>
      <c r="H864" s="5"/>
    </row>
    <row r="865" spans="1:8" x14ac:dyDescent="0.2">
      <c r="A865" s="5" t="s">
        <v>1266</v>
      </c>
      <c r="B865" s="5" t="s">
        <v>1267</v>
      </c>
      <c r="C865" s="8">
        <v>31</v>
      </c>
      <c r="D865" s="5" t="s">
        <v>368</v>
      </c>
      <c r="E865" s="5"/>
      <c r="G865" s="5"/>
      <c r="H865" s="5"/>
    </row>
    <row r="866" spans="1:8" x14ac:dyDescent="0.2">
      <c r="A866" s="5" t="s">
        <v>1268</v>
      </c>
      <c r="B866" s="5" t="s">
        <v>1269</v>
      </c>
      <c r="C866" s="8">
        <v>38</v>
      </c>
      <c r="D866" s="5" t="s">
        <v>368</v>
      </c>
      <c r="E866" s="5"/>
      <c r="G866" s="5"/>
      <c r="H866" s="5"/>
    </row>
    <row r="867" spans="1:8" x14ac:dyDescent="0.2">
      <c r="A867" s="5" t="s">
        <v>1270</v>
      </c>
      <c r="B867" s="5" t="s">
        <v>1271</v>
      </c>
      <c r="C867" s="8">
        <v>4</v>
      </c>
      <c r="D867" s="5" t="s">
        <v>368</v>
      </c>
      <c r="E867" s="5"/>
      <c r="G867" s="5"/>
      <c r="H867" s="5"/>
    </row>
    <row r="868" spans="1:8" x14ac:dyDescent="0.2">
      <c r="A868" s="5" t="s">
        <v>1272</v>
      </c>
      <c r="B868" s="5" t="s">
        <v>1273</v>
      </c>
      <c r="C868" s="8">
        <v>146</v>
      </c>
      <c r="D868" s="5" t="s">
        <v>368</v>
      </c>
      <c r="E868" s="5"/>
      <c r="G868" s="5"/>
      <c r="H868" s="5"/>
    </row>
    <row r="869" spans="1:8" x14ac:dyDescent="0.2">
      <c r="A869" s="5" t="s">
        <v>1274</v>
      </c>
      <c r="B869" s="5" t="s">
        <v>1275</v>
      </c>
      <c r="C869" s="8">
        <v>15</v>
      </c>
      <c r="D869" s="5" t="s">
        <v>368</v>
      </c>
      <c r="E869" s="5"/>
      <c r="G869" s="5"/>
      <c r="H869" s="5"/>
    </row>
    <row r="870" spans="1:8" x14ac:dyDescent="0.2">
      <c r="A870" s="5" t="s">
        <v>1276</v>
      </c>
      <c r="B870" s="5" t="s">
        <v>1277</v>
      </c>
      <c r="C870" s="8">
        <v>3</v>
      </c>
      <c r="D870" s="5" t="s">
        <v>368</v>
      </c>
      <c r="E870" s="5"/>
      <c r="G870" s="5"/>
      <c r="H870" s="5"/>
    </row>
    <row r="871" spans="1:8" x14ac:dyDescent="0.2">
      <c r="A871" s="5" t="s">
        <v>1278</v>
      </c>
      <c r="B871" s="5" t="s">
        <v>1279</v>
      </c>
      <c r="C871" s="8">
        <v>3</v>
      </c>
      <c r="D871" s="5" t="s">
        <v>368</v>
      </c>
      <c r="E871" s="5"/>
      <c r="G871" s="5"/>
      <c r="H871" s="5"/>
    </row>
    <row r="872" spans="1:8" x14ac:dyDescent="0.2">
      <c r="A872" s="5" t="s">
        <v>1280</v>
      </c>
      <c r="B872" s="5" t="s">
        <v>1281</v>
      </c>
      <c r="C872" s="8">
        <v>1</v>
      </c>
      <c r="D872" s="5" t="s">
        <v>368</v>
      </c>
      <c r="E872" s="5"/>
      <c r="G872" s="5"/>
      <c r="H872" s="5"/>
    </row>
    <row r="873" spans="1:8" x14ac:dyDescent="0.2">
      <c r="A873" s="5" t="s">
        <v>1282</v>
      </c>
      <c r="B873" s="5" t="s">
        <v>1283</v>
      </c>
      <c r="C873" s="8">
        <v>1</v>
      </c>
      <c r="D873" s="5" t="s">
        <v>368</v>
      </c>
      <c r="E873" s="5"/>
      <c r="G873" s="5"/>
      <c r="H873" s="5"/>
    </row>
    <row r="874" spans="1:8" x14ac:dyDescent="0.2">
      <c r="A874" s="5" t="s">
        <v>1284</v>
      </c>
      <c r="B874" s="5" t="s">
        <v>1285</v>
      </c>
      <c r="C874" s="8">
        <v>5</v>
      </c>
      <c r="D874" s="5" t="s">
        <v>368</v>
      </c>
      <c r="E874" s="5"/>
      <c r="G874" s="5"/>
      <c r="H874" s="5"/>
    </row>
    <row r="875" spans="1:8" x14ac:dyDescent="0.2">
      <c r="A875" s="5" t="s">
        <v>1286</v>
      </c>
      <c r="B875" s="5" t="s">
        <v>1287</v>
      </c>
      <c r="C875" s="8">
        <v>1</v>
      </c>
      <c r="D875" s="5" t="s">
        <v>368</v>
      </c>
      <c r="E875" s="5"/>
      <c r="G875" s="5"/>
      <c r="H875" s="5"/>
    </row>
    <row r="876" spans="1:8" x14ac:dyDescent="0.2">
      <c r="A876" s="5" t="s">
        <v>1288</v>
      </c>
      <c r="B876" s="5" t="s">
        <v>1289</v>
      </c>
      <c r="C876" s="8">
        <v>16</v>
      </c>
      <c r="D876" s="5" t="s">
        <v>368</v>
      </c>
      <c r="E876" s="5"/>
      <c r="G876" s="5"/>
      <c r="H876" s="5"/>
    </row>
    <row r="877" spans="1:8" x14ac:dyDescent="0.2">
      <c r="A877" s="5" t="s">
        <v>1290</v>
      </c>
      <c r="B877" s="5" t="s">
        <v>926</v>
      </c>
      <c r="C877" s="8">
        <v>16</v>
      </c>
      <c r="D877" s="5" t="s">
        <v>42</v>
      </c>
      <c r="E877" s="5"/>
      <c r="G877" s="5"/>
      <c r="H877" s="5"/>
    </row>
    <row r="878" spans="1:8" x14ac:dyDescent="0.2">
      <c r="A878" s="5"/>
      <c r="B878" s="5" t="s">
        <v>1131</v>
      </c>
      <c r="C878" s="5"/>
      <c r="D878" s="5" t="s">
        <v>366</v>
      </c>
      <c r="E878" s="5"/>
      <c r="G878" s="5"/>
      <c r="H878" s="5"/>
    </row>
    <row r="879" spans="1:8" x14ac:dyDescent="0.2">
      <c r="A879" s="5" t="s">
        <v>1291</v>
      </c>
      <c r="B879" s="5" t="s">
        <v>1292</v>
      </c>
      <c r="C879" s="8">
        <v>1</v>
      </c>
      <c r="D879" s="5" t="s">
        <v>368</v>
      </c>
      <c r="E879" s="5"/>
      <c r="G879" s="5"/>
      <c r="H879" s="5"/>
    </row>
    <row r="880" spans="1:8" x14ac:dyDescent="0.2">
      <c r="A880" s="5" t="s">
        <v>1293</v>
      </c>
      <c r="B880" s="5" t="s">
        <v>1294</v>
      </c>
      <c r="C880" s="8">
        <v>145</v>
      </c>
      <c r="D880" s="5" t="s">
        <v>368</v>
      </c>
      <c r="E880" s="5"/>
      <c r="G880" s="5"/>
      <c r="H880" s="5"/>
    </row>
    <row r="881" spans="1:8" x14ac:dyDescent="0.2">
      <c r="A881" s="5" t="s">
        <v>1295</v>
      </c>
      <c r="B881" s="5" t="s">
        <v>1296</v>
      </c>
      <c r="C881" s="8">
        <v>5</v>
      </c>
      <c r="D881" s="5" t="s">
        <v>368</v>
      </c>
      <c r="E881" s="5"/>
      <c r="G881" s="5"/>
      <c r="H881" s="5"/>
    </row>
    <row r="882" spans="1:8" x14ac:dyDescent="0.2">
      <c r="A882" s="5" t="s">
        <v>1297</v>
      </c>
      <c r="B882" s="5" t="s">
        <v>1298</v>
      </c>
      <c r="C882" s="8">
        <v>1</v>
      </c>
      <c r="D882" s="5" t="s">
        <v>368</v>
      </c>
      <c r="E882" s="5"/>
      <c r="G882" s="5"/>
      <c r="H882" s="5"/>
    </row>
    <row r="883" spans="1:8" x14ac:dyDescent="0.2">
      <c r="A883" s="5" t="s">
        <v>1299</v>
      </c>
      <c r="B883" s="5" t="s">
        <v>1287</v>
      </c>
      <c r="C883" s="8">
        <v>1</v>
      </c>
      <c r="D883" s="5" t="s">
        <v>368</v>
      </c>
      <c r="E883" s="5"/>
      <c r="G883" s="5"/>
      <c r="H883" s="5"/>
    </row>
    <row r="884" spans="1:8" x14ac:dyDescent="0.2">
      <c r="A884" s="5" t="s">
        <v>1300</v>
      </c>
      <c r="B884" s="5" t="s">
        <v>926</v>
      </c>
      <c r="C884" s="8">
        <v>17</v>
      </c>
      <c r="D884" s="5" t="s">
        <v>42</v>
      </c>
      <c r="E884" s="5"/>
      <c r="G884" s="5"/>
      <c r="H884" s="5"/>
    </row>
    <row r="885" spans="1:8" x14ac:dyDescent="0.2">
      <c r="A885" s="5"/>
      <c r="B885" s="5" t="s">
        <v>1110</v>
      </c>
      <c r="C885" s="5"/>
      <c r="D885" s="5" t="s">
        <v>366</v>
      </c>
      <c r="E885" s="5"/>
      <c r="G885" s="5"/>
      <c r="H885" s="5"/>
    </row>
    <row r="886" spans="1:8" x14ac:dyDescent="0.2">
      <c r="A886" s="5" t="s">
        <v>1301</v>
      </c>
      <c r="B886" s="5" t="s">
        <v>1292</v>
      </c>
      <c r="C886" s="8">
        <v>1</v>
      </c>
      <c r="D886" s="5" t="s">
        <v>368</v>
      </c>
      <c r="E886" s="5"/>
      <c r="G886" s="5"/>
      <c r="H886" s="5"/>
    </row>
    <row r="887" spans="1:8" x14ac:dyDescent="0.2">
      <c r="A887" s="5" t="s">
        <v>1302</v>
      </c>
      <c r="B887" s="5" t="s">
        <v>1303</v>
      </c>
      <c r="C887" s="8">
        <v>150</v>
      </c>
      <c r="D887" s="5" t="s">
        <v>368</v>
      </c>
      <c r="E887" s="5"/>
      <c r="G887" s="5"/>
      <c r="H887" s="5"/>
    </row>
    <row r="888" spans="1:8" x14ac:dyDescent="0.2">
      <c r="A888" s="5" t="s">
        <v>1304</v>
      </c>
      <c r="B888" s="5" t="s">
        <v>1305</v>
      </c>
      <c r="C888" s="8">
        <v>5</v>
      </c>
      <c r="D888" s="5" t="s">
        <v>368</v>
      </c>
      <c r="E888" s="5"/>
      <c r="G888" s="5"/>
      <c r="H888" s="5"/>
    </row>
    <row r="889" spans="1:8" x14ac:dyDescent="0.2">
      <c r="A889" s="5" t="s">
        <v>1306</v>
      </c>
      <c r="B889" s="5" t="s">
        <v>1307</v>
      </c>
      <c r="C889" s="8">
        <v>1</v>
      </c>
      <c r="D889" s="5" t="s">
        <v>368</v>
      </c>
      <c r="E889" s="5"/>
      <c r="G889" s="5"/>
      <c r="H889" s="5"/>
    </row>
    <row r="890" spans="1:8" x14ac:dyDescent="0.2">
      <c r="A890" s="5" t="s">
        <v>1308</v>
      </c>
      <c r="B890" s="5" t="s">
        <v>926</v>
      </c>
      <c r="C890" s="8">
        <v>19</v>
      </c>
      <c r="D890" s="5" t="s">
        <v>42</v>
      </c>
      <c r="E890" s="5"/>
      <c r="G890" s="5"/>
      <c r="H890" s="5"/>
    </row>
    <row r="891" spans="1:8" x14ac:dyDescent="0.2">
      <c r="A891" s="5"/>
      <c r="B891" s="5" t="s">
        <v>1309</v>
      </c>
      <c r="C891" s="5"/>
      <c r="D891" s="5" t="s">
        <v>366</v>
      </c>
      <c r="E891" s="5"/>
      <c r="G891" s="5"/>
      <c r="H891" s="5"/>
    </row>
    <row r="892" spans="1:8" x14ac:dyDescent="0.2">
      <c r="A892" s="5" t="s">
        <v>1310</v>
      </c>
      <c r="B892" s="5" t="s">
        <v>1311</v>
      </c>
      <c r="C892" s="8">
        <v>2</v>
      </c>
      <c r="D892" s="5" t="s">
        <v>368</v>
      </c>
      <c r="E892" s="5"/>
      <c r="G892" s="5"/>
      <c r="H892" s="5"/>
    </row>
    <row r="893" spans="1:8" x14ac:dyDescent="0.2">
      <c r="A893" s="5" t="s">
        <v>1312</v>
      </c>
      <c r="B893" s="5" t="s">
        <v>1313</v>
      </c>
      <c r="C893" s="8">
        <v>2</v>
      </c>
      <c r="D893" s="5" t="s">
        <v>368</v>
      </c>
      <c r="E893" s="5"/>
      <c r="G893" s="5"/>
      <c r="H893" s="5"/>
    </row>
    <row r="894" spans="1:8" x14ac:dyDescent="0.2">
      <c r="A894" s="5"/>
      <c r="B894" s="5" t="s">
        <v>959</v>
      </c>
      <c r="C894" s="5"/>
      <c r="D894" s="5" t="s">
        <v>322</v>
      </c>
      <c r="E894" s="5"/>
      <c r="G894" s="5"/>
      <c r="H894" s="5"/>
    </row>
    <row r="895" spans="1:8" x14ac:dyDescent="0.2">
      <c r="A895" s="5"/>
      <c r="B895" s="5" t="s">
        <v>1106</v>
      </c>
      <c r="C895" s="5"/>
      <c r="D895" s="5" t="s">
        <v>366</v>
      </c>
      <c r="E895" s="5"/>
      <c r="G895" s="5"/>
      <c r="H895" s="5"/>
    </row>
    <row r="896" spans="1:8" x14ac:dyDescent="0.2">
      <c r="A896" s="5" t="s">
        <v>1314</v>
      </c>
      <c r="B896" s="5" t="s">
        <v>1315</v>
      </c>
      <c r="C896" s="8">
        <v>4</v>
      </c>
      <c r="D896" s="5" t="s">
        <v>368</v>
      </c>
      <c r="E896" s="5"/>
      <c r="G896" s="5"/>
      <c r="H896" s="5"/>
    </row>
    <row r="897" spans="1:8" x14ac:dyDescent="0.2">
      <c r="A897" s="5" t="s">
        <v>1316</v>
      </c>
      <c r="B897" s="5" t="s">
        <v>1317</v>
      </c>
      <c r="C897" s="8">
        <v>3</v>
      </c>
      <c r="D897" s="5" t="s">
        <v>368</v>
      </c>
      <c r="E897" s="5"/>
      <c r="G897" s="5"/>
      <c r="H897" s="5"/>
    </row>
    <row r="898" spans="1:8" x14ac:dyDescent="0.2">
      <c r="A898" s="5" t="s">
        <v>1318</v>
      </c>
      <c r="B898" s="5" t="s">
        <v>1319</v>
      </c>
      <c r="C898" s="8">
        <v>5</v>
      </c>
      <c r="D898" s="5" t="s">
        <v>368</v>
      </c>
      <c r="E898" s="5"/>
      <c r="G898" s="5"/>
      <c r="H898" s="5"/>
    </row>
    <row r="899" spans="1:8" x14ac:dyDescent="0.2">
      <c r="A899" s="5" t="s">
        <v>1320</v>
      </c>
      <c r="B899" s="5" t="s">
        <v>1321</v>
      </c>
      <c r="C899" s="8">
        <v>1</v>
      </c>
      <c r="D899" s="5" t="s">
        <v>368</v>
      </c>
      <c r="E899" s="5"/>
      <c r="G899" s="5"/>
      <c r="H899" s="5"/>
    </row>
    <row r="900" spans="1:8" x14ac:dyDescent="0.2">
      <c r="A900" s="5" t="s">
        <v>1322</v>
      </c>
      <c r="B900" s="5" t="s">
        <v>1323</v>
      </c>
      <c r="C900" s="8">
        <v>1</v>
      </c>
      <c r="D900" s="5" t="s">
        <v>368</v>
      </c>
      <c r="E900" s="5"/>
      <c r="G900" s="5"/>
      <c r="H900" s="5"/>
    </row>
    <row r="901" spans="1:8" x14ac:dyDescent="0.2">
      <c r="A901" s="5" t="s">
        <v>1324</v>
      </c>
      <c r="B901" s="5" t="s">
        <v>1325</v>
      </c>
      <c r="C901" s="8">
        <v>1</v>
      </c>
      <c r="D901" s="5" t="s">
        <v>368</v>
      </c>
      <c r="E901" s="5"/>
      <c r="G901" s="5"/>
      <c r="H901" s="5"/>
    </row>
    <row r="902" spans="1:8" x14ac:dyDescent="0.2">
      <c r="A902" s="5" t="s">
        <v>1326</v>
      </c>
      <c r="B902" s="5" t="s">
        <v>1327</v>
      </c>
      <c r="C902" s="8">
        <v>1</v>
      </c>
      <c r="D902" s="5" t="s">
        <v>368</v>
      </c>
      <c r="E902" s="5"/>
      <c r="G902" s="5"/>
      <c r="H902" s="5"/>
    </row>
    <row r="903" spans="1:8" x14ac:dyDescent="0.2">
      <c r="A903" s="5" t="s">
        <v>1328</v>
      </c>
      <c r="B903" s="5" t="s">
        <v>1329</v>
      </c>
      <c r="C903" s="8">
        <v>3</v>
      </c>
      <c r="D903" s="5" t="s">
        <v>368</v>
      </c>
      <c r="E903" s="5"/>
      <c r="G903" s="5"/>
      <c r="H903" s="5"/>
    </row>
    <row r="904" spans="1:8" x14ac:dyDescent="0.2">
      <c r="A904" s="5" t="s">
        <v>1330</v>
      </c>
      <c r="B904" s="5" t="s">
        <v>1331</v>
      </c>
      <c r="C904" s="8">
        <v>1</v>
      </c>
      <c r="D904" s="5" t="s">
        <v>368</v>
      </c>
      <c r="E904" s="5"/>
      <c r="G904" s="5"/>
      <c r="H904" s="5"/>
    </row>
    <row r="905" spans="1:8" x14ac:dyDescent="0.2">
      <c r="A905" s="5" t="s">
        <v>1332</v>
      </c>
      <c r="B905" s="5" t="s">
        <v>1333</v>
      </c>
      <c r="C905" s="8">
        <v>1</v>
      </c>
      <c r="D905" s="5" t="s">
        <v>368</v>
      </c>
      <c r="E905" s="5"/>
      <c r="G905" s="5"/>
      <c r="H905" s="5"/>
    </row>
    <row r="906" spans="1:8" x14ac:dyDescent="0.2">
      <c r="A906" s="5" t="s">
        <v>1334</v>
      </c>
      <c r="B906" s="5" t="s">
        <v>1335</v>
      </c>
      <c r="C906" s="8">
        <v>6</v>
      </c>
      <c r="D906" s="5" t="s">
        <v>368</v>
      </c>
      <c r="E906" s="5"/>
      <c r="G906" s="5"/>
      <c r="H906" s="5"/>
    </row>
    <row r="907" spans="1:8" x14ac:dyDescent="0.2">
      <c r="A907" s="5" t="s">
        <v>1336</v>
      </c>
      <c r="B907" s="5" t="s">
        <v>1337</v>
      </c>
      <c r="C907" s="8">
        <v>2</v>
      </c>
      <c r="D907" s="5" t="s">
        <v>368</v>
      </c>
      <c r="E907" s="5"/>
      <c r="G907" s="5"/>
      <c r="H907" s="5"/>
    </row>
    <row r="908" spans="1:8" x14ac:dyDescent="0.2">
      <c r="A908" s="5" t="s">
        <v>1338</v>
      </c>
      <c r="B908" s="5" t="s">
        <v>1339</v>
      </c>
      <c r="C908" s="8">
        <v>7</v>
      </c>
      <c r="D908" s="5" t="s">
        <v>368</v>
      </c>
      <c r="E908" s="5"/>
      <c r="G908" s="5"/>
      <c r="H908" s="5"/>
    </row>
    <row r="909" spans="1:8" x14ac:dyDescent="0.2">
      <c r="A909" s="5" t="s">
        <v>1340</v>
      </c>
      <c r="B909" s="5" t="s">
        <v>1341</v>
      </c>
      <c r="C909" s="8">
        <v>4</v>
      </c>
      <c r="D909" s="5" t="s">
        <v>368</v>
      </c>
      <c r="E909" s="5"/>
      <c r="G909" s="5"/>
      <c r="H909" s="5"/>
    </row>
    <row r="910" spans="1:8" x14ac:dyDescent="0.2">
      <c r="A910" s="5" t="s">
        <v>1342</v>
      </c>
      <c r="B910" s="5" t="s">
        <v>1343</v>
      </c>
      <c r="C910" s="8">
        <v>7</v>
      </c>
      <c r="D910" s="5" t="s">
        <v>368</v>
      </c>
      <c r="E910" s="5"/>
      <c r="G910" s="5"/>
      <c r="H910" s="5"/>
    </row>
    <row r="911" spans="1:8" x14ac:dyDescent="0.2">
      <c r="A911" s="5" t="s">
        <v>1344</v>
      </c>
      <c r="B911" s="5" t="s">
        <v>1345</v>
      </c>
      <c r="C911" s="8">
        <v>17</v>
      </c>
      <c r="D911" s="5" t="s">
        <v>368</v>
      </c>
      <c r="E911" s="5"/>
      <c r="G911" s="5"/>
      <c r="H911" s="5"/>
    </row>
    <row r="912" spans="1:8" x14ac:dyDescent="0.2">
      <c r="A912" s="5" t="s">
        <v>1346</v>
      </c>
      <c r="B912" s="5" t="s">
        <v>1347</v>
      </c>
      <c r="C912" s="8">
        <v>9</v>
      </c>
      <c r="D912" s="5" t="s">
        <v>368</v>
      </c>
      <c r="E912" s="5"/>
      <c r="G912" s="5"/>
      <c r="H912" s="5"/>
    </row>
    <row r="913" spans="1:8" x14ac:dyDescent="0.2">
      <c r="A913" s="5"/>
      <c r="B913" s="5" t="s">
        <v>1131</v>
      </c>
      <c r="C913" s="5"/>
      <c r="D913" s="5" t="s">
        <v>366</v>
      </c>
      <c r="E913" s="5"/>
      <c r="G913" s="5"/>
      <c r="H913" s="5"/>
    </row>
    <row r="914" spans="1:8" x14ac:dyDescent="0.2">
      <c r="A914" s="5" t="s">
        <v>1348</v>
      </c>
      <c r="B914" s="5" t="s">
        <v>1349</v>
      </c>
      <c r="C914" s="8">
        <v>16</v>
      </c>
      <c r="D914" s="5" t="s">
        <v>368</v>
      </c>
      <c r="E914" s="5"/>
      <c r="G914" s="5"/>
      <c r="H914" s="5"/>
    </row>
    <row r="915" spans="1:8" x14ac:dyDescent="0.2">
      <c r="A915" s="5" t="s">
        <v>1350</v>
      </c>
      <c r="B915" s="5" t="s">
        <v>1351</v>
      </c>
      <c r="C915" s="8">
        <v>1</v>
      </c>
      <c r="D915" s="5" t="s">
        <v>368</v>
      </c>
      <c r="E915" s="5"/>
      <c r="G915" s="5"/>
      <c r="H915" s="5"/>
    </row>
    <row r="916" spans="1:8" x14ac:dyDescent="0.2">
      <c r="A916" s="5" t="s">
        <v>1352</v>
      </c>
      <c r="B916" s="5" t="s">
        <v>1353</v>
      </c>
      <c r="C916" s="8">
        <v>28</v>
      </c>
      <c r="D916" s="5" t="s">
        <v>368</v>
      </c>
      <c r="E916" s="5"/>
      <c r="G916" s="5"/>
      <c r="H916" s="5"/>
    </row>
    <row r="917" spans="1:8" x14ac:dyDescent="0.2">
      <c r="A917" s="5" t="s">
        <v>1354</v>
      </c>
      <c r="B917" s="5" t="s">
        <v>1355</v>
      </c>
      <c r="C917" s="8">
        <v>2</v>
      </c>
      <c r="D917" s="5" t="s">
        <v>368</v>
      </c>
      <c r="E917" s="5"/>
      <c r="G917" s="5"/>
      <c r="H917" s="5"/>
    </row>
    <row r="918" spans="1:8" x14ac:dyDescent="0.2">
      <c r="A918" s="5" t="s">
        <v>1356</v>
      </c>
      <c r="B918" s="5" t="s">
        <v>1357</v>
      </c>
      <c r="C918" s="8">
        <v>2</v>
      </c>
      <c r="D918" s="5" t="s">
        <v>368</v>
      </c>
      <c r="E918" s="5"/>
      <c r="G918" s="5"/>
      <c r="H918" s="5"/>
    </row>
    <row r="919" spans="1:8" x14ac:dyDescent="0.2">
      <c r="A919" s="5" t="s">
        <v>1358</v>
      </c>
      <c r="B919" s="5" t="s">
        <v>1359</v>
      </c>
      <c r="C919" s="8">
        <v>16</v>
      </c>
      <c r="D919" s="5" t="s">
        <v>368</v>
      </c>
      <c r="E919" s="5"/>
      <c r="G919" s="5"/>
      <c r="H919" s="5"/>
    </row>
    <row r="920" spans="1:8" x14ac:dyDescent="0.2">
      <c r="A920" s="5"/>
      <c r="B920" s="5" t="s">
        <v>1110</v>
      </c>
      <c r="C920" s="5"/>
      <c r="D920" s="5" t="s">
        <v>366</v>
      </c>
      <c r="E920" s="5"/>
      <c r="G920" s="5"/>
      <c r="H920" s="5"/>
    </row>
    <row r="921" spans="1:8" x14ac:dyDescent="0.2">
      <c r="A921" s="5" t="s">
        <v>1360</v>
      </c>
      <c r="B921" s="5" t="s">
        <v>1361</v>
      </c>
      <c r="C921" s="8">
        <v>20</v>
      </c>
      <c r="D921" s="5" t="s">
        <v>368</v>
      </c>
      <c r="E921" s="5"/>
      <c r="G921" s="5"/>
      <c r="H921" s="5"/>
    </row>
    <row r="922" spans="1:8" x14ac:dyDescent="0.2">
      <c r="A922" s="5" t="s">
        <v>1362</v>
      </c>
      <c r="B922" s="5" t="s">
        <v>1351</v>
      </c>
      <c r="C922" s="8">
        <v>2</v>
      </c>
      <c r="D922" s="5" t="s">
        <v>368</v>
      </c>
      <c r="E922" s="5"/>
      <c r="G922" s="5"/>
      <c r="H922" s="5"/>
    </row>
    <row r="923" spans="1:8" x14ac:dyDescent="0.2">
      <c r="A923" s="5" t="s">
        <v>1363</v>
      </c>
      <c r="B923" s="5" t="s">
        <v>1364</v>
      </c>
      <c r="C923" s="8">
        <v>1</v>
      </c>
      <c r="D923" s="5" t="s">
        <v>368</v>
      </c>
      <c r="E923" s="5"/>
      <c r="G923" s="5"/>
      <c r="H923" s="5"/>
    </row>
    <row r="924" spans="1:8" x14ac:dyDescent="0.2">
      <c r="A924" s="5" t="s">
        <v>1365</v>
      </c>
      <c r="B924" s="5" t="s">
        <v>1366</v>
      </c>
      <c r="C924" s="8">
        <v>35</v>
      </c>
      <c r="D924" s="5" t="s">
        <v>368</v>
      </c>
      <c r="E924" s="5"/>
      <c r="G924" s="5"/>
      <c r="H924" s="5"/>
    </row>
    <row r="925" spans="1:8" x14ac:dyDescent="0.2">
      <c r="A925" s="5" t="s">
        <v>1367</v>
      </c>
      <c r="B925" s="5" t="s">
        <v>1355</v>
      </c>
      <c r="C925" s="8">
        <v>2</v>
      </c>
      <c r="D925" s="5" t="s">
        <v>368</v>
      </c>
      <c r="E925" s="5"/>
      <c r="G925" s="5"/>
      <c r="H925" s="5"/>
    </row>
    <row r="926" spans="1:8" x14ac:dyDescent="0.2">
      <c r="A926" s="5" t="s">
        <v>1368</v>
      </c>
      <c r="B926" s="5" t="s">
        <v>1369</v>
      </c>
      <c r="C926" s="8">
        <v>16</v>
      </c>
      <c r="D926" s="5" t="s">
        <v>368</v>
      </c>
      <c r="E926" s="5"/>
      <c r="G926" s="5"/>
      <c r="H926" s="5"/>
    </row>
    <row r="927" spans="1:8" x14ac:dyDescent="0.2">
      <c r="A927" s="5"/>
      <c r="B927" s="5" t="s">
        <v>1031</v>
      </c>
      <c r="C927" s="5"/>
      <c r="D927" s="5" t="s">
        <v>15</v>
      </c>
      <c r="E927" s="5"/>
      <c r="G927" s="5"/>
      <c r="H927" s="5"/>
    </row>
    <row r="928" spans="1:8" x14ac:dyDescent="0.2">
      <c r="A928" s="5" t="s">
        <v>1370</v>
      </c>
      <c r="B928" s="5" t="s">
        <v>1371</v>
      </c>
      <c r="C928" s="8">
        <v>16</v>
      </c>
      <c r="D928" s="5" t="s">
        <v>368</v>
      </c>
      <c r="E928" s="5"/>
      <c r="G928" s="5"/>
      <c r="H928" s="5"/>
    </row>
    <row r="929" spans="1:8" x14ac:dyDescent="0.2">
      <c r="A929" s="5" t="s">
        <v>1372</v>
      </c>
      <c r="B929" s="5" t="s">
        <v>1373</v>
      </c>
      <c r="C929" s="8">
        <v>2</v>
      </c>
      <c r="D929" s="5" t="s">
        <v>368</v>
      </c>
      <c r="E929" s="5"/>
      <c r="G929" s="5"/>
      <c r="H929" s="5"/>
    </row>
    <row r="930" spans="1:8" x14ac:dyDescent="0.2">
      <c r="A930" s="5" t="s">
        <v>1374</v>
      </c>
      <c r="B930" s="5" t="s">
        <v>1375</v>
      </c>
      <c r="C930" s="8">
        <v>2</v>
      </c>
      <c r="D930" s="5" t="s">
        <v>368</v>
      </c>
      <c r="E930" s="5"/>
      <c r="G930" s="5"/>
      <c r="H930" s="5"/>
    </row>
    <row r="931" spans="1:8" x14ac:dyDescent="0.2">
      <c r="A931" s="5" t="s">
        <v>1376</v>
      </c>
      <c r="B931" s="5" t="s">
        <v>1377</v>
      </c>
      <c r="C931" s="8">
        <v>8</v>
      </c>
      <c r="D931" s="5" t="s">
        <v>368</v>
      </c>
      <c r="E931" s="5"/>
      <c r="G931" s="5"/>
      <c r="H931" s="5"/>
    </row>
    <row r="932" spans="1:8" x14ac:dyDescent="0.2">
      <c r="A932" s="5"/>
      <c r="B932" s="5" t="s">
        <v>422</v>
      </c>
      <c r="C932" s="5"/>
      <c r="D932" s="5" t="s">
        <v>15</v>
      </c>
      <c r="E932" s="5"/>
      <c r="G932" s="5"/>
      <c r="H932" s="5"/>
    </row>
    <row r="933" spans="1:8" x14ac:dyDescent="0.2">
      <c r="A933" s="5"/>
      <c r="B933" s="5" t="s">
        <v>1038</v>
      </c>
      <c r="C933" s="5"/>
      <c r="D933" s="5" t="s">
        <v>322</v>
      </c>
      <c r="E933" s="5"/>
      <c r="G933" s="5"/>
      <c r="H933" s="5"/>
    </row>
    <row r="934" spans="1:8" x14ac:dyDescent="0.2">
      <c r="A934" s="5" t="s">
        <v>1378</v>
      </c>
      <c r="B934" s="5" t="s">
        <v>1040</v>
      </c>
      <c r="C934" s="8">
        <v>884</v>
      </c>
      <c r="D934" s="5" t="s">
        <v>42</v>
      </c>
      <c r="E934" s="5"/>
      <c r="G934" s="5"/>
      <c r="H934" s="5"/>
    </row>
    <row r="935" spans="1:8" x14ac:dyDescent="0.2">
      <c r="A935" s="5" t="s">
        <v>1379</v>
      </c>
      <c r="B935" s="5" t="s">
        <v>1042</v>
      </c>
      <c r="C935" s="8">
        <v>2499</v>
      </c>
      <c r="D935" s="5" t="s">
        <v>42</v>
      </c>
      <c r="E935" s="5"/>
      <c r="G935" s="5"/>
      <c r="H935" s="5"/>
    </row>
    <row r="936" spans="1:8" x14ac:dyDescent="0.2">
      <c r="A936" s="5" t="s">
        <v>1380</v>
      </c>
      <c r="B936" s="5" t="s">
        <v>1044</v>
      </c>
      <c r="C936" s="8">
        <v>75</v>
      </c>
      <c r="D936" s="5" t="s">
        <v>42</v>
      </c>
      <c r="E936" s="5"/>
      <c r="G936" s="5"/>
      <c r="H936" s="5"/>
    </row>
    <row r="937" spans="1:8" x14ac:dyDescent="0.2">
      <c r="A937" s="5"/>
      <c r="B937" s="5" t="s">
        <v>1045</v>
      </c>
      <c r="C937" s="5"/>
      <c r="D937" s="5" t="s">
        <v>322</v>
      </c>
      <c r="E937" s="5"/>
      <c r="G937" s="5"/>
      <c r="H937" s="5"/>
    </row>
    <row r="938" spans="1:8" x14ac:dyDescent="0.2">
      <c r="A938" s="5" t="s">
        <v>1381</v>
      </c>
      <c r="B938" s="5" t="s">
        <v>1047</v>
      </c>
      <c r="C938" s="8">
        <v>3248</v>
      </c>
      <c r="D938" s="5" t="s">
        <v>42</v>
      </c>
      <c r="E938" s="5"/>
      <c r="G938" s="5"/>
      <c r="H938" s="5"/>
    </row>
    <row r="939" spans="1:8" x14ac:dyDescent="0.2">
      <c r="A939" s="5" t="s">
        <v>1382</v>
      </c>
      <c r="B939" s="5" t="s">
        <v>1049</v>
      </c>
      <c r="C939" s="8">
        <v>52</v>
      </c>
      <c r="D939" s="5" t="s">
        <v>42</v>
      </c>
      <c r="E939" s="5"/>
      <c r="G939" s="5"/>
      <c r="H939" s="5"/>
    </row>
    <row r="940" spans="1:8" x14ac:dyDescent="0.2">
      <c r="A940" s="5" t="s">
        <v>1383</v>
      </c>
      <c r="B940" s="5" t="s">
        <v>1051</v>
      </c>
      <c r="C940" s="8">
        <v>83</v>
      </c>
      <c r="D940" s="5" t="s">
        <v>42</v>
      </c>
      <c r="E940" s="5"/>
      <c r="G940" s="5"/>
      <c r="H940" s="5"/>
    </row>
    <row r="941" spans="1:8" x14ac:dyDescent="0.2">
      <c r="A941" s="5"/>
      <c r="B941" s="5" t="s">
        <v>1052</v>
      </c>
      <c r="C941" s="5"/>
      <c r="D941" s="5" t="s">
        <v>366</v>
      </c>
      <c r="E941" s="5"/>
      <c r="G941" s="5"/>
      <c r="H941" s="5"/>
    </row>
    <row r="942" spans="1:8" x14ac:dyDescent="0.2">
      <c r="A942" s="5" t="s">
        <v>1384</v>
      </c>
      <c r="B942" s="5" t="s">
        <v>1054</v>
      </c>
      <c r="C942" s="8">
        <v>140</v>
      </c>
      <c r="D942" s="5" t="s">
        <v>155</v>
      </c>
      <c r="E942" s="5"/>
      <c r="G942" s="5"/>
      <c r="H942" s="5"/>
    </row>
    <row r="943" spans="1:8" x14ac:dyDescent="0.2">
      <c r="A943" s="5" t="s">
        <v>1385</v>
      </c>
      <c r="B943" s="5" t="s">
        <v>1056</v>
      </c>
      <c r="C943" s="8">
        <v>31</v>
      </c>
      <c r="D943" s="5" t="s">
        <v>42</v>
      </c>
      <c r="E943" s="5"/>
      <c r="G943" s="5"/>
      <c r="H943" s="5"/>
    </row>
    <row r="944" spans="1:8" x14ac:dyDescent="0.2">
      <c r="A944" s="5"/>
      <c r="B944" s="5" t="s">
        <v>1060</v>
      </c>
      <c r="C944" s="5"/>
      <c r="D944" s="5" t="s">
        <v>322</v>
      </c>
      <c r="E944" s="5"/>
      <c r="G944" s="5"/>
      <c r="H944" s="5"/>
    </row>
    <row r="945" spans="1:9" x14ac:dyDescent="0.2">
      <c r="A945" s="5" t="s">
        <v>1386</v>
      </c>
      <c r="B945" s="5" t="s">
        <v>1387</v>
      </c>
      <c r="C945" s="8">
        <v>127</v>
      </c>
      <c r="D945" s="5" t="s">
        <v>42</v>
      </c>
      <c r="E945" s="5"/>
      <c r="G945" s="5"/>
      <c r="H945" s="5"/>
    </row>
    <row r="946" spans="1:9" x14ac:dyDescent="0.2">
      <c r="A946" s="5" t="s">
        <v>1388</v>
      </c>
      <c r="B946" s="5" t="s">
        <v>1062</v>
      </c>
      <c r="C946" s="8">
        <v>33</v>
      </c>
      <c r="D946" s="5" t="s">
        <v>42</v>
      </c>
      <c r="E946" s="5"/>
      <c r="G946" s="5"/>
      <c r="H946" s="5"/>
    </row>
    <row r="947" spans="1:9" x14ac:dyDescent="0.2">
      <c r="A947" s="5" t="s">
        <v>1389</v>
      </c>
      <c r="B947" s="5" t="s">
        <v>1064</v>
      </c>
      <c r="C947" s="8">
        <v>33</v>
      </c>
      <c r="D947" s="5" t="s">
        <v>42</v>
      </c>
      <c r="E947" s="5"/>
      <c r="G947" s="5"/>
      <c r="H947" s="5"/>
    </row>
    <row r="948" spans="1:9" x14ac:dyDescent="0.2">
      <c r="A948" s="5" t="s">
        <v>1390</v>
      </c>
      <c r="B948" s="5" t="s">
        <v>1066</v>
      </c>
      <c r="C948" s="8">
        <v>77</v>
      </c>
      <c r="D948" s="5" t="s">
        <v>155</v>
      </c>
      <c r="E948" s="5"/>
      <c r="G948" s="5"/>
      <c r="H948" s="5"/>
    </row>
    <row r="949" spans="1:9" x14ac:dyDescent="0.2">
      <c r="A949" s="5" t="s">
        <v>1391</v>
      </c>
      <c r="B949" s="5" t="s">
        <v>1068</v>
      </c>
      <c r="C949" s="8">
        <v>159</v>
      </c>
      <c r="D949" s="5" t="s">
        <v>42</v>
      </c>
      <c r="E949" s="5"/>
      <c r="G949" s="5"/>
      <c r="H949" s="5"/>
    </row>
    <row r="950" spans="1:9" x14ac:dyDescent="0.2">
      <c r="A950" s="5"/>
      <c r="B950" s="5" t="s">
        <v>1069</v>
      </c>
      <c r="C950" s="5"/>
      <c r="D950" s="5" t="s">
        <v>15</v>
      </c>
      <c r="E950" s="5"/>
      <c r="G950" s="5"/>
      <c r="H950" s="5"/>
    </row>
    <row r="951" spans="1:9" x14ac:dyDescent="0.2">
      <c r="A951" s="5" t="s">
        <v>1392</v>
      </c>
      <c r="B951" s="5" t="s">
        <v>1075</v>
      </c>
      <c r="C951" s="8">
        <v>105</v>
      </c>
      <c r="D951" s="5" t="s">
        <v>155</v>
      </c>
      <c r="E951" s="5"/>
      <c r="G951" s="5"/>
      <c r="H951" s="5"/>
    </row>
    <row r="952" spans="1:9" x14ac:dyDescent="0.2">
      <c r="A952" s="5"/>
      <c r="B952" s="5" t="s">
        <v>1076</v>
      </c>
      <c r="C952" s="5"/>
      <c r="D952" s="5" t="s">
        <v>15</v>
      </c>
      <c r="E952" s="5"/>
      <c r="G952" s="5"/>
      <c r="H952" s="5"/>
    </row>
    <row r="953" spans="1:9" x14ac:dyDescent="0.2">
      <c r="A953" s="5" t="s">
        <v>1393</v>
      </c>
      <c r="B953" s="5" t="s">
        <v>1078</v>
      </c>
      <c r="C953" s="8">
        <v>884</v>
      </c>
      <c r="D953" s="5" t="s">
        <v>42</v>
      </c>
      <c r="E953" s="5"/>
      <c r="G953" s="5"/>
      <c r="H953" s="5"/>
    </row>
    <row r="954" spans="1:9" x14ac:dyDescent="0.2">
      <c r="A954" s="5" t="s">
        <v>1394</v>
      </c>
      <c r="B954" s="5" t="s">
        <v>1395</v>
      </c>
      <c r="C954" s="8">
        <v>1059</v>
      </c>
      <c r="D954" s="5" t="s">
        <v>42</v>
      </c>
      <c r="E954" s="5"/>
      <c r="G954" s="5"/>
      <c r="H954" s="5"/>
    </row>
    <row r="955" spans="1:9" x14ac:dyDescent="0.2">
      <c r="B955" s="6" t="s">
        <v>1396</v>
      </c>
      <c r="C955" s="6"/>
      <c r="D955" s="6"/>
      <c r="E955" s="6"/>
      <c r="F955" s="9">
        <f>SUM(H413:H955)</f>
        <v>0</v>
      </c>
      <c r="G955" s="6"/>
      <c r="I955" s="9">
        <f>PRODUCT(F955,G955)</f>
        <v>0</v>
      </c>
    </row>
    <row r="957" spans="1:9" x14ac:dyDescent="0.2">
      <c r="A957" s="6" t="s">
        <v>1397</v>
      </c>
      <c r="B957" s="6" t="s">
        <v>1398</v>
      </c>
    </row>
    <row r="958" spans="1:9" x14ac:dyDescent="0.2">
      <c r="A958" s="5"/>
      <c r="B958" s="5" t="s">
        <v>64</v>
      </c>
      <c r="C958" s="5"/>
      <c r="D958" s="5" t="s">
        <v>13</v>
      </c>
      <c r="E958" s="5"/>
      <c r="G958" s="5"/>
      <c r="H958" s="5"/>
    </row>
    <row r="959" spans="1:9" x14ac:dyDescent="0.2">
      <c r="A959" s="5" t="s">
        <v>1399</v>
      </c>
      <c r="B959" s="5" t="s">
        <v>66</v>
      </c>
      <c r="C959" s="5"/>
      <c r="D959" s="5" t="s">
        <v>18</v>
      </c>
      <c r="E959" s="5"/>
      <c r="G959" s="5"/>
      <c r="H959" s="5"/>
    </row>
    <row r="960" spans="1:9" x14ac:dyDescent="0.2">
      <c r="A960" s="5" t="s">
        <v>1400</v>
      </c>
      <c r="B960" s="5" t="s">
        <v>68</v>
      </c>
      <c r="C960" s="5"/>
      <c r="D960" s="5" t="s">
        <v>18</v>
      </c>
      <c r="E960" s="5"/>
      <c r="G960" s="5"/>
      <c r="H960" s="5"/>
    </row>
    <row r="961" spans="1:8" x14ac:dyDescent="0.2">
      <c r="A961" s="5"/>
      <c r="B961" s="5" t="s">
        <v>71</v>
      </c>
      <c r="C961" s="5"/>
      <c r="D961" s="5" t="s">
        <v>13</v>
      </c>
      <c r="E961" s="5"/>
      <c r="G961" s="5"/>
      <c r="H961" s="5"/>
    </row>
    <row r="962" spans="1:8" x14ac:dyDescent="0.2">
      <c r="A962" s="5" t="s">
        <v>1401</v>
      </c>
      <c r="B962" s="5" t="s">
        <v>269</v>
      </c>
      <c r="C962" s="5"/>
      <c r="D962" s="5" t="s">
        <v>18</v>
      </c>
      <c r="E962" s="5"/>
      <c r="G962" s="5"/>
      <c r="H962" s="5"/>
    </row>
    <row r="963" spans="1:8" x14ac:dyDescent="0.2">
      <c r="A963" s="5" t="s">
        <v>1402</v>
      </c>
      <c r="B963" s="5" t="s">
        <v>271</v>
      </c>
      <c r="C963" s="5"/>
      <c r="D963" s="5" t="s">
        <v>18</v>
      </c>
      <c r="E963" s="5"/>
      <c r="G963" s="5"/>
      <c r="H963" s="5"/>
    </row>
    <row r="964" spans="1:8" x14ac:dyDescent="0.2">
      <c r="A964" s="5"/>
      <c r="B964" s="5" t="s">
        <v>76</v>
      </c>
      <c r="C964" s="5"/>
      <c r="D964" s="5" t="s">
        <v>13</v>
      </c>
      <c r="E964" s="5"/>
      <c r="G964" s="5"/>
      <c r="H964" s="5"/>
    </row>
    <row r="965" spans="1:8" x14ac:dyDescent="0.2">
      <c r="A965" s="5"/>
      <c r="B965" s="5" t="s">
        <v>77</v>
      </c>
      <c r="C965" s="5"/>
      <c r="D965" s="5" t="s">
        <v>15</v>
      </c>
      <c r="E965" s="5"/>
      <c r="G965" s="5"/>
      <c r="H965" s="5"/>
    </row>
    <row r="966" spans="1:8" x14ac:dyDescent="0.2">
      <c r="A966" s="5" t="s">
        <v>1403</v>
      </c>
      <c r="B966" s="5" t="s">
        <v>1404</v>
      </c>
      <c r="C966" s="5"/>
      <c r="D966" s="5" t="s">
        <v>18</v>
      </c>
      <c r="E966" s="5"/>
      <c r="G966" s="5"/>
      <c r="H966" s="5"/>
    </row>
    <row r="967" spans="1:8" x14ac:dyDescent="0.2">
      <c r="A967" s="5" t="s">
        <v>1405</v>
      </c>
      <c r="B967" s="5" t="s">
        <v>1406</v>
      </c>
      <c r="C967" s="5"/>
      <c r="D967" s="5" t="s">
        <v>18</v>
      </c>
      <c r="E967" s="5"/>
      <c r="G967" s="5"/>
      <c r="H967" s="5"/>
    </row>
    <row r="968" spans="1:8" x14ac:dyDescent="0.2">
      <c r="A968" s="5" t="s">
        <v>1407</v>
      </c>
      <c r="B968" s="5" t="s">
        <v>1408</v>
      </c>
      <c r="C968" s="5"/>
      <c r="D968" s="5" t="s">
        <v>18</v>
      </c>
      <c r="E968" s="5"/>
      <c r="G968" s="5"/>
      <c r="H968" s="5"/>
    </row>
    <row r="969" spans="1:8" x14ac:dyDescent="0.2">
      <c r="A969" s="5" t="s">
        <v>1409</v>
      </c>
      <c r="B969" s="5" t="s">
        <v>1410</v>
      </c>
      <c r="C969" s="5"/>
      <c r="D969" s="5" t="s">
        <v>18</v>
      </c>
      <c r="E969" s="5"/>
      <c r="G969" s="5"/>
      <c r="H969" s="5"/>
    </row>
    <row r="970" spans="1:8" x14ac:dyDescent="0.2">
      <c r="A970" s="5" t="s">
        <v>1411</v>
      </c>
      <c r="B970" s="5" t="s">
        <v>1412</v>
      </c>
      <c r="C970" s="5"/>
      <c r="D970" s="5" t="s">
        <v>18</v>
      </c>
      <c r="E970" s="5"/>
      <c r="G970" s="5"/>
      <c r="H970" s="5"/>
    </row>
    <row r="971" spans="1:8" x14ac:dyDescent="0.2">
      <c r="A971" s="5" t="s">
        <v>1413</v>
      </c>
      <c r="B971" s="5" t="s">
        <v>1414</v>
      </c>
      <c r="C971" s="5"/>
      <c r="D971" s="5" t="s">
        <v>18</v>
      </c>
      <c r="E971" s="5"/>
      <c r="G971" s="5"/>
      <c r="H971" s="5"/>
    </row>
    <row r="972" spans="1:8" x14ac:dyDescent="0.2">
      <c r="A972" s="5" t="s">
        <v>1415</v>
      </c>
      <c r="B972" s="5" t="s">
        <v>1416</v>
      </c>
      <c r="C972" s="5"/>
      <c r="D972" s="5" t="s">
        <v>18</v>
      </c>
      <c r="E972" s="5"/>
      <c r="G972" s="5"/>
      <c r="H972" s="5"/>
    </row>
    <row r="973" spans="1:8" x14ac:dyDescent="0.2">
      <c r="A973" s="5" t="s">
        <v>1417</v>
      </c>
      <c r="B973" s="5" t="s">
        <v>1418</v>
      </c>
      <c r="C973" s="5"/>
      <c r="D973" s="5" t="s">
        <v>18</v>
      </c>
      <c r="E973" s="5"/>
      <c r="G973" s="5"/>
      <c r="H973" s="5"/>
    </row>
    <row r="974" spans="1:8" x14ac:dyDescent="0.2">
      <c r="A974" s="5" t="s">
        <v>1419</v>
      </c>
      <c r="B974" s="5" t="s">
        <v>1420</v>
      </c>
      <c r="C974" s="5"/>
      <c r="D974" s="5" t="s">
        <v>18</v>
      </c>
      <c r="E974" s="5"/>
      <c r="G974" s="5"/>
      <c r="H974" s="5"/>
    </row>
    <row r="975" spans="1:8" x14ac:dyDescent="0.2">
      <c r="A975" s="5" t="s">
        <v>1421</v>
      </c>
      <c r="B975" s="5" t="s">
        <v>299</v>
      </c>
      <c r="C975" s="5"/>
      <c r="D975" s="5" t="s">
        <v>18</v>
      </c>
      <c r="E975" s="5"/>
      <c r="G975" s="5"/>
      <c r="H975" s="5"/>
    </row>
    <row r="976" spans="1:8" x14ac:dyDescent="0.2">
      <c r="A976" s="5"/>
      <c r="B976" s="5" t="s">
        <v>94</v>
      </c>
      <c r="C976" s="5"/>
      <c r="D976" s="5" t="s">
        <v>13</v>
      </c>
      <c r="E976" s="5"/>
      <c r="G976" s="5"/>
      <c r="H976" s="5"/>
    </row>
    <row r="977" spans="1:8" x14ac:dyDescent="0.2">
      <c r="A977" s="5" t="s">
        <v>1422</v>
      </c>
      <c r="B977" s="5" t="s">
        <v>111</v>
      </c>
      <c r="C977" s="8">
        <v>1</v>
      </c>
      <c r="D977" s="5" t="s">
        <v>97</v>
      </c>
      <c r="E977" s="5"/>
      <c r="G977" s="5"/>
      <c r="H977" s="5"/>
    </row>
    <row r="978" spans="1:8" x14ac:dyDescent="0.2">
      <c r="A978" s="5" t="s">
        <v>1423</v>
      </c>
      <c r="B978" s="5" t="s">
        <v>113</v>
      </c>
      <c r="C978" s="8">
        <v>1</v>
      </c>
      <c r="D978" s="5" t="s">
        <v>97</v>
      </c>
      <c r="E978" s="5"/>
      <c r="G978" s="5"/>
      <c r="H978" s="5"/>
    </row>
    <row r="979" spans="1:8" x14ac:dyDescent="0.2">
      <c r="A979" s="5" t="s">
        <v>1424</v>
      </c>
      <c r="B979" s="5" t="s">
        <v>216</v>
      </c>
      <c r="C979" s="8">
        <v>1</v>
      </c>
      <c r="D979" s="5" t="s">
        <v>97</v>
      </c>
      <c r="E979" s="5"/>
      <c r="G979" s="5"/>
      <c r="H979" s="5"/>
    </row>
    <row r="980" spans="1:8" x14ac:dyDescent="0.2">
      <c r="A980" s="5" t="s">
        <v>1425</v>
      </c>
      <c r="B980" s="5" t="s">
        <v>1426</v>
      </c>
      <c r="C980" s="8">
        <v>1</v>
      </c>
      <c r="D980" s="5" t="s">
        <v>97</v>
      </c>
      <c r="E980" s="5"/>
      <c r="G980" s="5"/>
      <c r="H980" s="5"/>
    </row>
    <row r="981" spans="1:8" x14ac:dyDescent="0.2">
      <c r="A981" s="5" t="s">
        <v>1427</v>
      </c>
      <c r="B981" s="5" t="s">
        <v>1428</v>
      </c>
      <c r="C981" s="8">
        <v>1</v>
      </c>
      <c r="D981" s="5" t="s">
        <v>97</v>
      </c>
      <c r="E981" s="5"/>
      <c r="G981" s="5"/>
      <c r="H981" s="5"/>
    </row>
    <row r="982" spans="1:8" x14ac:dyDescent="0.2">
      <c r="A982" s="5"/>
      <c r="B982" s="5" t="s">
        <v>135</v>
      </c>
      <c r="C982" s="5"/>
      <c r="D982" s="5" t="s">
        <v>13</v>
      </c>
      <c r="E982" s="5"/>
      <c r="G982" s="5"/>
      <c r="H982" s="5"/>
    </row>
    <row r="983" spans="1:8" x14ac:dyDescent="0.2">
      <c r="A983" s="5" t="s">
        <v>1429</v>
      </c>
      <c r="B983" s="5" t="s">
        <v>1430</v>
      </c>
      <c r="C983" s="5"/>
      <c r="D983" s="5" t="s">
        <v>18</v>
      </c>
      <c r="E983" s="5"/>
      <c r="G983" s="5"/>
      <c r="H983" s="5"/>
    </row>
    <row r="984" spans="1:8" ht="45" x14ac:dyDescent="0.2">
      <c r="A984" s="5" t="s">
        <v>1431</v>
      </c>
      <c r="B984" s="10" t="s">
        <v>1432</v>
      </c>
      <c r="C984" s="5"/>
      <c r="D984" s="5" t="s">
        <v>18</v>
      </c>
      <c r="E984" s="5"/>
      <c r="G984" s="5"/>
      <c r="H984" s="5"/>
    </row>
    <row r="985" spans="1:8" ht="45" x14ac:dyDescent="0.2">
      <c r="A985" s="5" t="s">
        <v>1433</v>
      </c>
      <c r="B985" s="10" t="s">
        <v>1434</v>
      </c>
      <c r="C985" s="5"/>
      <c r="D985" s="5" t="s">
        <v>608</v>
      </c>
      <c r="E985" s="5"/>
      <c r="G985" s="5"/>
      <c r="H985" s="5"/>
    </row>
    <row r="986" spans="1:8" x14ac:dyDescent="0.2">
      <c r="A986" s="5"/>
      <c r="B986" s="5" t="s">
        <v>38</v>
      </c>
      <c r="C986" s="5"/>
      <c r="D986" s="5" t="s">
        <v>13</v>
      </c>
      <c r="E986" s="5"/>
      <c r="G986" s="5"/>
      <c r="H986" s="5"/>
    </row>
    <row r="987" spans="1:8" x14ac:dyDescent="0.2">
      <c r="A987" s="5"/>
      <c r="B987" s="5" t="s">
        <v>1435</v>
      </c>
      <c r="C987" s="5"/>
      <c r="D987" s="5" t="s">
        <v>15</v>
      </c>
      <c r="E987" s="5"/>
      <c r="G987" s="5"/>
      <c r="H987" s="5"/>
    </row>
    <row r="988" spans="1:8" x14ac:dyDescent="0.2">
      <c r="A988" s="5"/>
      <c r="B988" s="5" t="s">
        <v>1436</v>
      </c>
      <c r="C988" s="5"/>
      <c r="D988" s="5" t="s">
        <v>322</v>
      </c>
      <c r="E988" s="5"/>
      <c r="G988" s="5"/>
      <c r="H988" s="5"/>
    </row>
    <row r="989" spans="1:8" x14ac:dyDescent="0.2">
      <c r="A989" s="5"/>
      <c r="B989" s="5" t="s">
        <v>651</v>
      </c>
      <c r="C989" s="5"/>
      <c r="D989" s="5" t="s">
        <v>366</v>
      </c>
      <c r="E989" s="5"/>
      <c r="G989" s="5"/>
      <c r="H989" s="5"/>
    </row>
    <row r="990" spans="1:8" x14ac:dyDescent="0.2">
      <c r="A990" s="5" t="s">
        <v>1437</v>
      </c>
      <c r="B990" s="5" t="s">
        <v>653</v>
      </c>
      <c r="C990" s="5"/>
      <c r="D990" s="5" t="s">
        <v>654</v>
      </c>
      <c r="E990" s="5"/>
      <c r="G990" s="5"/>
      <c r="H990" s="5"/>
    </row>
    <row r="991" spans="1:8" x14ac:dyDescent="0.2">
      <c r="A991" s="5" t="s">
        <v>1438</v>
      </c>
      <c r="B991" s="5" t="s">
        <v>1439</v>
      </c>
      <c r="C991" s="8">
        <v>63</v>
      </c>
      <c r="D991" s="5" t="s">
        <v>42</v>
      </c>
      <c r="E991" s="5"/>
      <c r="G991" s="5"/>
      <c r="H991" s="5"/>
    </row>
    <row r="992" spans="1:8" x14ac:dyDescent="0.2">
      <c r="A992" s="5" t="s">
        <v>1440</v>
      </c>
      <c r="B992" s="5" t="s">
        <v>666</v>
      </c>
      <c r="C992" s="5"/>
      <c r="D992" s="5" t="s">
        <v>654</v>
      </c>
      <c r="E992" s="5"/>
      <c r="G992" s="5"/>
      <c r="H992" s="5"/>
    </row>
    <row r="993" spans="1:8" x14ac:dyDescent="0.2">
      <c r="A993" s="5" t="s">
        <v>1441</v>
      </c>
      <c r="B993" s="5" t="s">
        <v>1442</v>
      </c>
      <c r="C993" s="8">
        <v>449</v>
      </c>
      <c r="D993" s="5" t="s">
        <v>42</v>
      </c>
      <c r="E993" s="5"/>
      <c r="G993" s="5"/>
      <c r="H993" s="5"/>
    </row>
    <row r="994" spans="1:8" x14ac:dyDescent="0.2">
      <c r="A994" s="5" t="s">
        <v>1443</v>
      </c>
      <c r="B994" s="5" t="s">
        <v>658</v>
      </c>
      <c r="C994" s="5"/>
      <c r="D994" s="5" t="s">
        <v>654</v>
      </c>
      <c r="E994" s="5"/>
      <c r="G994" s="5"/>
      <c r="H994" s="5"/>
    </row>
    <row r="995" spans="1:8" x14ac:dyDescent="0.2">
      <c r="A995" s="5" t="s">
        <v>1444</v>
      </c>
      <c r="B995" s="5" t="s">
        <v>1445</v>
      </c>
      <c r="C995" s="8">
        <v>23</v>
      </c>
      <c r="D995" s="5" t="s">
        <v>42</v>
      </c>
      <c r="E995" s="5"/>
      <c r="G995" s="5"/>
      <c r="H995" s="5"/>
    </row>
    <row r="996" spans="1:8" x14ac:dyDescent="0.2">
      <c r="A996" s="5" t="s">
        <v>1446</v>
      </c>
      <c r="B996" s="5" t="s">
        <v>662</v>
      </c>
      <c r="C996" s="5"/>
      <c r="D996" s="5" t="s">
        <v>654</v>
      </c>
      <c r="E996" s="5"/>
      <c r="G996" s="5"/>
      <c r="H996" s="5"/>
    </row>
    <row r="997" spans="1:8" x14ac:dyDescent="0.2">
      <c r="A997" s="5" t="s">
        <v>1447</v>
      </c>
      <c r="B997" s="5" t="s">
        <v>1445</v>
      </c>
      <c r="C997" s="8">
        <v>22</v>
      </c>
      <c r="D997" s="5" t="s">
        <v>42</v>
      </c>
      <c r="E997" s="5"/>
      <c r="G997" s="5"/>
      <c r="H997" s="5"/>
    </row>
    <row r="998" spans="1:8" x14ac:dyDescent="0.2">
      <c r="A998" s="5" t="s">
        <v>1448</v>
      </c>
      <c r="B998" s="5" t="s">
        <v>666</v>
      </c>
      <c r="C998" s="5"/>
      <c r="D998" s="5" t="s">
        <v>654</v>
      </c>
      <c r="E998" s="5"/>
      <c r="G998" s="5"/>
      <c r="H998" s="5"/>
    </row>
    <row r="999" spans="1:8" x14ac:dyDescent="0.2">
      <c r="A999" s="5" t="s">
        <v>1449</v>
      </c>
      <c r="B999" s="5" t="s">
        <v>1445</v>
      </c>
      <c r="C999" s="8">
        <v>27</v>
      </c>
      <c r="D999" s="5" t="s">
        <v>42</v>
      </c>
      <c r="E999" s="5"/>
      <c r="G999" s="5"/>
      <c r="H999" s="5"/>
    </row>
    <row r="1000" spans="1:8" x14ac:dyDescent="0.2">
      <c r="A1000" s="5"/>
      <c r="B1000" s="5" t="s">
        <v>669</v>
      </c>
      <c r="C1000" s="5"/>
      <c r="D1000" s="5" t="s">
        <v>366</v>
      </c>
      <c r="E1000" s="5"/>
      <c r="G1000" s="5"/>
      <c r="H1000" s="5"/>
    </row>
    <row r="1001" spans="1:8" x14ac:dyDescent="0.2">
      <c r="A1001" s="5" t="s">
        <v>1450</v>
      </c>
      <c r="B1001" s="5" t="s">
        <v>653</v>
      </c>
      <c r="C1001" s="5"/>
      <c r="D1001" s="5" t="s">
        <v>654</v>
      </c>
      <c r="E1001" s="5"/>
      <c r="G1001" s="5"/>
      <c r="H1001" s="5"/>
    </row>
    <row r="1002" spans="1:8" x14ac:dyDescent="0.2">
      <c r="A1002" s="5" t="s">
        <v>1451</v>
      </c>
      <c r="B1002" s="5" t="s">
        <v>1452</v>
      </c>
      <c r="C1002" s="8">
        <v>298</v>
      </c>
      <c r="D1002" s="5" t="s">
        <v>42</v>
      </c>
      <c r="E1002" s="5"/>
      <c r="G1002" s="5"/>
      <c r="H1002" s="5"/>
    </row>
    <row r="1003" spans="1:8" x14ac:dyDescent="0.2">
      <c r="A1003" s="5" t="s">
        <v>1453</v>
      </c>
      <c r="B1003" s="5" t="s">
        <v>1454</v>
      </c>
      <c r="C1003" s="8">
        <v>52</v>
      </c>
      <c r="D1003" s="5" t="s">
        <v>42</v>
      </c>
      <c r="E1003" s="5"/>
      <c r="G1003" s="5"/>
      <c r="H1003" s="5"/>
    </row>
    <row r="1004" spans="1:8" x14ac:dyDescent="0.2">
      <c r="A1004" s="5" t="s">
        <v>1455</v>
      </c>
      <c r="B1004" s="5" t="s">
        <v>1456</v>
      </c>
      <c r="C1004" s="8">
        <v>27</v>
      </c>
      <c r="D1004" s="5" t="s">
        <v>42</v>
      </c>
      <c r="E1004" s="5"/>
      <c r="G1004" s="5"/>
      <c r="H1004" s="5"/>
    </row>
    <row r="1005" spans="1:8" x14ac:dyDescent="0.2">
      <c r="A1005" s="5" t="s">
        <v>1457</v>
      </c>
      <c r="B1005" s="5" t="s">
        <v>1458</v>
      </c>
      <c r="C1005" s="8">
        <v>45</v>
      </c>
      <c r="D1005" s="5" t="s">
        <v>42</v>
      </c>
      <c r="E1005" s="5"/>
      <c r="G1005" s="5"/>
      <c r="H1005" s="5"/>
    </row>
    <row r="1006" spans="1:8" x14ac:dyDescent="0.2">
      <c r="A1006" s="5" t="s">
        <v>1459</v>
      </c>
      <c r="B1006" s="5" t="s">
        <v>1460</v>
      </c>
      <c r="C1006" s="8">
        <v>38</v>
      </c>
      <c r="D1006" s="5" t="s">
        <v>42</v>
      </c>
      <c r="E1006" s="5"/>
      <c r="G1006" s="5"/>
      <c r="H1006" s="5"/>
    </row>
    <row r="1007" spans="1:8" x14ac:dyDescent="0.2">
      <c r="A1007" s="5" t="s">
        <v>1461</v>
      </c>
      <c r="B1007" s="5" t="s">
        <v>1462</v>
      </c>
      <c r="C1007" s="8">
        <v>133</v>
      </c>
      <c r="D1007" s="5" t="s">
        <v>42</v>
      </c>
      <c r="E1007" s="5"/>
      <c r="G1007" s="5"/>
      <c r="H1007" s="5"/>
    </row>
    <row r="1008" spans="1:8" x14ac:dyDescent="0.2">
      <c r="A1008" s="5" t="s">
        <v>1463</v>
      </c>
      <c r="B1008" s="5" t="s">
        <v>1464</v>
      </c>
      <c r="C1008" s="8">
        <v>37</v>
      </c>
      <c r="D1008" s="5" t="s">
        <v>42</v>
      </c>
      <c r="E1008" s="5"/>
      <c r="G1008" s="5"/>
      <c r="H1008" s="5"/>
    </row>
    <row r="1009" spans="1:8" x14ac:dyDescent="0.2">
      <c r="A1009" s="5" t="s">
        <v>1465</v>
      </c>
      <c r="B1009" s="5" t="s">
        <v>658</v>
      </c>
      <c r="C1009" s="5"/>
      <c r="D1009" s="5" t="s">
        <v>654</v>
      </c>
      <c r="E1009" s="5"/>
      <c r="G1009" s="5"/>
      <c r="H1009" s="5"/>
    </row>
    <row r="1010" spans="1:8" x14ac:dyDescent="0.2">
      <c r="A1010" s="5" t="s">
        <v>1466</v>
      </c>
      <c r="B1010" s="5" t="s">
        <v>1452</v>
      </c>
      <c r="C1010" s="8">
        <v>194</v>
      </c>
      <c r="D1010" s="5" t="s">
        <v>42</v>
      </c>
      <c r="E1010" s="5"/>
      <c r="G1010" s="5"/>
      <c r="H1010" s="5"/>
    </row>
    <row r="1011" spans="1:8" x14ac:dyDescent="0.2">
      <c r="A1011" s="5" t="s">
        <v>1467</v>
      </c>
      <c r="B1011" s="5" t="s">
        <v>1456</v>
      </c>
      <c r="C1011" s="8">
        <v>167</v>
      </c>
      <c r="D1011" s="5" t="s">
        <v>42</v>
      </c>
      <c r="E1011" s="5"/>
      <c r="G1011" s="5"/>
      <c r="H1011" s="5"/>
    </row>
    <row r="1012" spans="1:8" x14ac:dyDescent="0.2">
      <c r="A1012" s="5" t="s">
        <v>1468</v>
      </c>
      <c r="B1012" s="5" t="s">
        <v>1460</v>
      </c>
      <c r="C1012" s="8">
        <v>24</v>
      </c>
      <c r="D1012" s="5" t="s">
        <v>42</v>
      </c>
      <c r="E1012" s="5"/>
      <c r="G1012" s="5"/>
      <c r="H1012" s="5"/>
    </row>
    <row r="1013" spans="1:8" x14ac:dyDescent="0.2">
      <c r="A1013" s="5" t="s">
        <v>1469</v>
      </c>
      <c r="B1013" s="5" t="s">
        <v>1464</v>
      </c>
      <c r="C1013" s="8">
        <v>87</v>
      </c>
      <c r="D1013" s="5" t="s">
        <v>42</v>
      </c>
      <c r="E1013" s="5"/>
      <c r="G1013" s="5"/>
      <c r="H1013" s="5"/>
    </row>
    <row r="1014" spans="1:8" x14ac:dyDescent="0.2">
      <c r="A1014" s="5" t="s">
        <v>1470</v>
      </c>
      <c r="B1014" s="5" t="s">
        <v>662</v>
      </c>
      <c r="C1014" s="5"/>
      <c r="D1014" s="5" t="s">
        <v>654</v>
      </c>
      <c r="E1014" s="5"/>
      <c r="G1014" s="5"/>
      <c r="H1014" s="5"/>
    </row>
    <row r="1015" spans="1:8" x14ac:dyDescent="0.2">
      <c r="A1015" s="5" t="s">
        <v>1471</v>
      </c>
      <c r="B1015" s="5" t="s">
        <v>1454</v>
      </c>
      <c r="C1015" s="8">
        <v>282</v>
      </c>
      <c r="D1015" s="5" t="s">
        <v>42</v>
      </c>
      <c r="E1015" s="5"/>
      <c r="G1015" s="5"/>
      <c r="H1015" s="5"/>
    </row>
    <row r="1016" spans="1:8" x14ac:dyDescent="0.2">
      <c r="A1016" s="5" t="s">
        <v>1472</v>
      </c>
      <c r="B1016" s="5" t="s">
        <v>1456</v>
      </c>
      <c r="C1016" s="8">
        <v>150</v>
      </c>
      <c r="D1016" s="5" t="s">
        <v>42</v>
      </c>
      <c r="E1016" s="5"/>
      <c r="G1016" s="5"/>
      <c r="H1016" s="5"/>
    </row>
    <row r="1017" spans="1:8" x14ac:dyDescent="0.2">
      <c r="A1017" s="5" t="s">
        <v>1473</v>
      </c>
      <c r="B1017" s="5" t="s">
        <v>1460</v>
      </c>
      <c r="C1017" s="8">
        <v>25</v>
      </c>
      <c r="D1017" s="5" t="s">
        <v>42</v>
      </c>
      <c r="E1017" s="5"/>
      <c r="G1017" s="5"/>
      <c r="H1017" s="5"/>
    </row>
    <row r="1018" spans="1:8" x14ac:dyDescent="0.2">
      <c r="A1018" s="5" t="s">
        <v>1474</v>
      </c>
      <c r="B1018" s="5" t="s">
        <v>1464</v>
      </c>
      <c r="C1018" s="8">
        <v>87</v>
      </c>
      <c r="D1018" s="5" t="s">
        <v>42</v>
      </c>
      <c r="E1018" s="5"/>
      <c r="G1018" s="5"/>
      <c r="H1018" s="5"/>
    </row>
    <row r="1019" spans="1:8" x14ac:dyDescent="0.2">
      <c r="A1019" s="5" t="s">
        <v>1475</v>
      </c>
      <c r="B1019" s="5" t="s">
        <v>666</v>
      </c>
      <c r="C1019" s="5"/>
      <c r="D1019" s="5" t="s">
        <v>654</v>
      </c>
      <c r="E1019" s="5"/>
      <c r="G1019" s="5"/>
      <c r="H1019" s="5"/>
    </row>
    <row r="1020" spans="1:8" x14ac:dyDescent="0.2">
      <c r="A1020" s="5" t="s">
        <v>1476</v>
      </c>
      <c r="B1020" s="5" t="s">
        <v>1454</v>
      </c>
      <c r="C1020" s="8">
        <v>253</v>
      </c>
      <c r="D1020" s="5" t="s">
        <v>42</v>
      </c>
      <c r="E1020" s="5"/>
      <c r="G1020" s="5"/>
      <c r="H1020" s="5"/>
    </row>
    <row r="1021" spans="1:8" x14ac:dyDescent="0.2">
      <c r="A1021" s="5" t="s">
        <v>1477</v>
      </c>
      <c r="B1021" s="5" t="s">
        <v>1456</v>
      </c>
      <c r="C1021" s="8">
        <v>156</v>
      </c>
      <c r="D1021" s="5" t="s">
        <v>42</v>
      </c>
      <c r="E1021" s="5"/>
      <c r="G1021" s="5"/>
      <c r="H1021" s="5"/>
    </row>
    <row r="1022" spans="1:8" x14ac:dyDescent="0.2">
      <c r="A1022" s="5" t="s">
        <v>1478</v>
      </c>
      <c r="B1022" s="5" t="s">
        <v>1464</v>
      </c>
      <c r="C1022" s="8">
        <v>57</v>
      </c>
      <c r="D1022" s="5" t="s">
        <v>42</v>
      </c>
      <c r="E1022" s="5"/>
      <c r="G1022" s="5"/>
      <c r="H1022" s="5"/>
    </row>
    <row r="1023" spans="1:8" x14ac:dyDescent="0.2">
      <c r="A1023" s="5" t="s">
        <v>1479</v>
      </c>
      <c r="B1023" s="5" t="s">
        <v>1480</v>
      </c>
      <c r="C1023" s="8">
        <v>260</v>
      </c>
      <c r="D1023" s="5" t="s">
        <v>42</v>
      </c>
      <c r="E1023" s="5"/>
      <c r="G1023" s="5"/>
      <c r="H1023" s="5"/>
    </row>
    <row r="1024" spans="1:8" x14ac:dyDescent="0.2">
      <c r="A1024" s="5" t="s">
        <v>1481</v>
      </c>
      <c r="B1024" s="5" t="s">
        <v>1482</v>
      </c>
      <c r="C1024" s="8">
        <v>12</v>
      </c>
      <c r="D1024" s="5" t="s">
        <v>42</v>
      </c>
      <c r="E1024" s="5"/>
      <c r="G1024" s="5"/>
      <c r="H1024" s="5"/>
    </row>
    <row r="1025" spans="1:8" x14ac:dyDescent="0.2">
      <c r="A1025" s="5"/>
      <c r="B1025" s="5" t="s">
        <v>1483</v>
      </c>
      <c r="C1025" s="5"/>
      <c r="D1025" s="5" t="s">
        <v>322</v>
      </c>
      <c r="E1025" s="5"/>
      <c r="G1025" s="5"/>
      <c r="H1025" s="5"/>
    </row>
    <row r="1026" spans="1:8" x14ac:dyDescent="0.2">
      <c r="A1026" s="5"/>
      <c r="B1026" s="5" t="s">
        <v>653</v>
      </c>
      <c r="C1026" s="5"/>
      <c r="D1026" s="5" t="s">
        <v>366</v>
      </c>
      <c r="E1026" s="5"/>
      <c r="G1026" s="5"/>
      <c r="H1026" s="5"/>
    </row>
    <row r="1027" spans="1:8" x14ac:dyDescent="0.2">
      <c r="A1027" s="5" t="s">
        <v>1484</v>
      </c>
      <c r="B1027" s="5" t="s">
        <v>1485</v>
      </c>
      <c r="C1027" s="8">
        <v>11</v>
      </c>
      <c r="D1027" s="5" t="s">
        <v>42</v>
      </c>
      <c r="E1027" s="5"/>
      <c r="G1027" s="5"/>
      <c r="H1027" s="5"/>
    </row>
    <row r="1028" spans="1:8" x14ac:dyDescent="0.2">
      <c r="A1028" s="5" t="s">
        <v>1486</v>
      </c>
      <c r="B1028" s="5" t="s">
        <v>1487</v>
      </c>
      <c r="C1028" s="8">
        <v>11</v>
      </c>
      <c r="D1028" s="5" t="s">
        <v>42</v>
      </c>
      <c r="E1028" s="5"/>
      <c r="G1028" s="5"/>
      <c r="H1028" s="5"/>
    </row>
    <row r="1029" spans="1:8" x14ac:dyDescent="0.2">
      <c r="A1029" s="5" t="s">
        <v>1488</v>
      </c>
      <c r="B1029" s="5" t="s">
        <v>1489</v>
      </c>
      <c r="C1029" s="8">
        <v>11</v>
      </c>
      <c r="D1029" s="5" t="s">
        <v>42</v>
      </c>
      <c r="E1029" s="5"/>
      <c r="G1029" s="5"/>
      <c r="H1029" s="5"/>
    </row>
    <row r="1030" spans="1:8" x14ac:dyDescent="0.2">
      <c r="A1030" s="5" t="s">
        <v>1490</v>
      </c>
      <c r="B1030" s="5" t="s">
        <v>1491</v>
      </c>
      <c r="C1030" s="8">
        <v>12</v>
      </c>
      <c r="D1030" s="5" t="s">
        <v>42</v>
      </c>
      <c r="E1030" s="5"/>
      <c r="G1030" s="5"/>
      <c r="H1030" s="5"/>
    </row>
    <row r="1031" spans="1:8" x14ac:dyDescent="0.2">
      <c r="A1031" s="5" t="s">
        <v>1492</v>
      </c>
      <c r="B1031" s="5" t="s">
        <v>1493</v>
      </c>
      <c r="C1031" s="8">
        <v>12</v>
      </c>
      <c r="D1031" s="5" t="s">
        <v>42</v>
      </c>
      <c r="E1031" s="5"/>
      <c r="G1031" s="5"/>
      <c r="H1031" s="5"/>
    </row>
    <row r="1032" spans="1:8" x14ac:dyDescent="0.2">
      <c r="A1032" s="5" t="s">
        <v>1494</v>
      </c>
      <c r="B1032" s="5" t="s">
        <v>1495</v>
      </c>
      <c r="C1032" s="8">
        <v>10</v>
      </c>
      <c r="D1032" s="5" t="s">
        <v>42</v>
      </c>
      <c r="E1032" s="5"/>
      <c r="G1032" s="5"/>
      <c r="H1032" s="5"/>
    </row>
    <row r="1033" spans="1:8" x14ac:dyDescent="0.2">
      <c r="A1033" s="5" t="s">
        <v>1496</v>
      </c>
      <c r="B1033" s="5" t="s">
        <v>1497</v>
      </c>
      <c r="C1033" s="8">
        <v>11</v>
      </c>
      <c r="D1033" s="5" t="s">
        <v>42</v>
      </c>
      <c r="E1033" s="5"/>
      <c r="G1033" s="5"/>
      <c r="H1033" s="5"/>
    </row>
    <row r="1034" spans="1:8" x14ac:dyDescent="0.2">
      <c r="A1034" s="5" t="s">
        <v>1498</v>
      </c>
      <c r="B1034" s="5" t="s">
        <v>1499</v>
      </c>
      <c r="C1034" s="8">
        <v>10</v>
      </c>
      <c r="D1034" s="5" t="s">
        <v>42</v>
      </c>
      <c r="E1034" s="5"/>
      <c r="G1034" s="5"/>
      <c r="H1034" s="5"/>
    </row>
    <row r="1035" spans="1:8" x14ac:dyDescent="0.2">
      <c r="A1035" s="5" t="s">
        <v>1500</v>
      </c>
      <c r="B1035" s="5" t="s">
        <v>1501</v>
      </c>
      <c r="C1035" s="8">
        <v>11</v>
      </c>
      <c r="D1035" s="5" t="s">
        <v>42</v>
      </c>
      <c r="E1035" s="5"/>
      <c r="G1035" s="5"/>
      <c r="H1035" s="5"/>
    </row>
    <row r="1036" spans="1:8" x14ac:dyDescent="0.2">
      <c r="A1036" s="5" t="s">
        <v>1502</v>
      </c>
      <c r="B1036" s="5" t="s">
        <v>1503</v>
      </c>
      <c r="C1036" s="8">
        <v>12</v>
      </c>
      <c r="D1036" s="5" t="s">
        <v>42</v>
      </c>
      <c r="E1036" s="5"/>
      <c r="G1036" s="5"/>
      <c r="H1036" s="5"/>
    </row>
    <row r="1037" spans="1:8" x14ac:dyDescent="0.2">
      <c r="A1037" s="5" t="s">
        <v>1504</v>
      </c>
      <c r="B1037" s="5" t="s">
        <v>1505</v>
      </c>
      <c r="C1037" s="8">
        <v>12</v>
      </c>
      <c r="D1037" s="5" t="s">
        <v>42</v>
      </c>
      <c r="E1037" s="5"/>
      <c r="G1037" s="5"/>
      <c r="H1037" s="5"/>
    </row>
    <row r="1038" spans="1:8" x14ac:dyDescent="0.2">
      <c r="A1038" s="5" t="s">
        <v>1506</v>
      </c>
      <c r="B1038" s="5" t="s">
        <v>1507</v>
      </c>
      <c r="C1038" s="8">
        <v>11</v>
      </c>
      <c r="D1038" s="5" t="s">
        <v>42</v>
      </c>
      <c r="E1038" s="5"/>
      <c r="G1038" s="5"/>
      <c r="H1038" s="5"/>
    </row>
    <row r="1039" spans="1:8" x14ac:dyDescent="0.2">
      <c r="A1039" s="5" t="s">
        <v>1508</v>
      </c>
      <c r="B1039" s="5" t="s">
        <v>1509</v>
      </c>
      <c r="C1039" s="8">
        <v>9</v>
      </c>
      <c r="D1039" s="5" t="s">
        <v>42</v>
      </c>
      <c r="E1039" s="5"/>
      <c r="G1039" s="5"/>
      <c r="H1039" s="5"/>
    </row>
    <row r="1040" spans="1:8" x14ac:dyDescent="0.2">
      <c r="A1040" s="5" t="s">
        <v>1510</v>
      </c>
      <c r="B1040" s="5" t="s">
        <v>1511</v>
      </c>
      <c r="C1040" s="8">
        <v>9</v>
      </c>
      <c r="D1040" s="5" t="s">
        <v>42</v>
      </c>
      <c r="E1040" s="5"/>
      <c r="G1040" s="5"/>
      <c r="H1040" s="5"/>
    </row>
    <row r="1041" spans="1:8" x14ac:dyDescent="0.2">
      <c r="A1041" s="5" t="s">
        <v>1512</v>
      </c>
      <c r="B1041" s="5" t="s">
        <v>1513</v>
      </c>
      <c r="C1041" s="8">
        <v>11</v>
      </c>
      <c r="D1041" s="5" t="s">
        <v>42</v>
      </c>
      <c r="E1041" s="5"/>
      <c r="G1041" s="5"/>
      <c r="H1041" s="5"/>
    </row>
    <row r="1042" spans="1:8" x14ac:dyDescent="0.2">
      <c r="A1042" s="5" t="s">
        <v>1514</v>
      </c>
      <c r="B1042" s="5" t="s">
        <v>1515</v>
      </c>
      <c r="C1042" s="8">
        <v>11</v>
      </c>
      <c r="D1042" s="5" t="s">
        <v>42</v>
      </c>
      <c r="E1042" s="5"/>
      <c r="G1042" s="5"/>
      <c r="H1042" s="5"/>
    </row>
    <row r="1043" spans="1:8" x14ac:dyDescent="0.2">
      <c r="A1043" s="5" t="s">
        <v>1516</v>
      </c>
      <c r="B1043" s="5" t="s">
        <v>1517</v>
      </c>
      <c r="C1043" s="8">
        <v>11</v>
      </c>
      <c r="D1043" s="5" t="s">
        <v>42</v>
      </c>
      <c r="E1043" s="5"/>
      <c r="G1043" s="5"/>
      <c r="H1043" s="5"/>
    </row>
    <row r="1044" spans="1:8" x14ac:dyDescent="0.2">
      <c r="A1044" s="5" t="s">
        <v>1518</v>
      </c>
      <c r="B1044" s="5" t="s">
        <v>1519</v>
      </c>
      <c r="C1044" s="8">
        <v>11</v>
      </c>
      <c r="D1044" s="5" t="s">
        <v>42</v>
      </c>
      <c r="E1044" s="5"/>
      <c r="G1044" s="5"/>
      <c r="H1044" s="5"/>
    </row>
    <row r="1045" spans="1:8" x14ac:dyDescent="0.2">
      <c r="A1045" s="5" t="s">
        <v>1520</v>
      </c>
      <c r="B1045" s="5" t="s">
        <v>1521</v>
      </c>
      <c r="C1045" s="8">
        <v>11</v>
      </c>
      <c r="D1045" s="5" t="s">
        <v>42</v>
      </c>
      <c r="E1045" s="5"/>
      <c r="G1045" s="5"/>
      <c r="H1045" s="5"/>
    </row>
    <row r="1046" spans="1:8" x14ac:dyDescent="0.2">
      <c r="A1046" s="5" t="s">
        <v>1522</v>
      </c>
      <c r="B1046" s="5" t="s">
        <v>1523</v>
      </c>
      <c r="C1046" s="8">
        <v>11</v>
      </c>
      <c r="D1046" s="5" t="s">
        <v>42</v>
      </c>
      <c r="E1046" s="5"/>
      <c r="G1046" s="5"/>
      <c r="H1046" s="5"/>
    </row>
    <row r="1047" spans="1:8" x14ac:dyDescent="0.2">
      <c r="A1047" s="5" t="s">
        <v>1524</v>
      </c>
      <c r="B1047" s="5" t="s">
        <v>1525</v>
      </c>
      <c r="C1047" s="8">
        <v>9</v>
      </c>
      <c r="D1047" s="5" t="s">
        <v>42</v>
      </c>
      <c r="E1047" s="5"/>
      <c r="G1047" s="5"/>
      <c r="H1047" s="5"/>
    </row>
    <row r="1048" spans="1:8" x14ac:dyDescent="0.2">
      <c r="A1048" s="5" t="s">
        <v>1526</v>
      </c>
      <c r="B1048" s="5" t="s">
        <v>1527</v>
      </c>
      <c r="C1048" s="8">
        <v>9</v>
      </c>
      <c r="D1048" s="5" t="s">
        <v>42</v>
      </c>
      <c r="E1048" s="5"/>
      <c r="G1048" s="5"/>
      <c r="H1048" s="5"/>
    </row>
    <row r="1049" spans="1:8" x14ac:dyDescent="0.2">
      <c r="A1049" s="5" t="s">
        <v>1528</v>
      </c>
      <c r="B1049" s="5" t="s">
        <v>1529</v>
      </c>
      <c r="C1049" s="8">
        <v>12</v>
      </c>
      <c r="D1049" s="5" t="s">
        <v>42</v>
      </c>
      <c r="E1049" s="5"/>
      <c r="G1049" s="5"/>
      <c r="H1049" s="5"/>
    </row>
    <row r="1050" spans="1:8" x14ac:dyDescent="0.2">
      <c r="A1050" s="5" t="s">
        <v>1530</v>
      </c>
      <c r="B1050" s="5" t="s">
        <v>1531</v>
      </c>
      <c r="C1050" s="8">
        <v>5</v>
      </c>
      <c r="D1050" s="5" t="s">
        <v>42</v>
      </c>
      <c r="E1050" s="5"/>
      <c r="G1050" s="5"/>
      <c r="H1050" s="5"/>
    </row>
    <row r="1051" spans="1:8" x14ac:dyDescent="0.2">
      <c r="A1051" s="5" t="s">
        <v>1532</v>
      </c>
      <c r="B1051" s="5" t="s">
        <v>1533</v>
      </c>
      <c r="C1051" s="8">
        <v>5</v>
      </c>
      <c r="D1051" s="5" t="s">
        <v>42</v>
      </c>
      <c r="E1051" s="5"/>
      <c r="G1051" s="5"/>
      <c r="H1051" s="5"/>
    </row>
    <row r="1052" spans="1:8" x14ac:dyDescent="0.2">
      <c r="A1052" s="5" t="s">
        <v>1534</v>
      </c>
      <c r="B1052" s="5" t="s">
        <v>1535</v>
      </c>
      <c r="C1052" s="8">
        <v>2</v>
      </c>
      <c r="D1052" s="5" t="s">
        <v>42</v>
      </c>
      <c r="E1052" s="5"/>
      <c r="G1052" s="5"/>
      <c r="H1052" s="5"/>
    </row>
    <row r="1053" spans="1:8" x14ac:dyDescent="0.2">
      <c r="A1053" s="5" t="s">
        <v>1536</v>
      </c>
      <c r="B1053" s="5" t="s">
        <v>1537</v>
      </c>
      <c r="C1053" s="8">
        <v>2</v>
      </c>
      <c r="D1053" s="5" t="s">
        <v>42</v>
      </c>
      <c r="E1053" s="5"/>
      <c r="G1053" s="5"/>
      <c r="H1053" s="5"/>
    </row>
    <row r="1054" spans="1:8" x14ac:dyDescent="0.2">
      <c r="A1054" s="5" t="s">
        <v>1538</v>
      </c>
      <c r="B1054" s="5" t="s">
        <v>1539</v>
      </c>
      <c r="C1054" s="8">
        <v>12</v>
      </c>
      <c r="D1054" s="5" t="s">
        <v>42</v>
      </c>
      <c r="E1054" s="5"/>
      <c r="G1054" s="5"/>
      <c r="H1054" s="5"/>
    </row>
    <row r="1055" spans="1:8" x14ac:dyDescent="0.2">
      <c r="A1055" s="5" t="s">
        <v>1540</v>
      </c>
      <c r="B1055" s="5" t="s">
        <v>1541</v>
      </c>
      <c r="C1055" s="8">
        <v>12</v>
      </c>
      <c r="D1055" s="5" t="s">
        <v>42</v>
      </c>
      <c r="E1055" s="5"/>
      <c r="G1055" s="5"/>
      <c r="H1055" s="5"/>
    </row>
    <row r="1056" spans="1:8" x14ac:dyDescent="0.2">
      <c r="A1056" s="5" t="s">
        <v>1542</v>
      </c>
      <c r="B1056" s="5" t="s">
        <v>1543</v>
      </c>
      <c r="C1056" s="8">
        <v>12</v>
      </c>
      <c r="D1056" s="5" t="s">
        <v>42</v>
      </c>
      <c r="E1056" s="5"/>
      <c r="G1056" s="5"/>
      <c r="H1056" s="5"/>
    </row>
    <row r="1057" spans="1:8" x14ac:dyDescent="0.2">
      <c r="A1057" s="5" t="s">
        <v>1544</v>
      </c>
      <c r="B1057" s="5" t="s">
        <v>1545</v>
      </c>
      <c r="C1057" s="8">
        <v>12</v>
      </c>
      <c r="D1057" s="5" t="s">
        <v>42</v>
      </c>
      <c r="E1057" s="5"/>
      <c r="G1057" s="5"/>
      <c r="H1057" s="5"/>
    </row>
    <row r="1058" spans="1:8" x14ac:dyDescent="0.2">
      <c r="A1058" s="5" t="s">
        <v>1546</v>
      </c>
      <c r="B1058" s="5" t="s">
        <v>1547</v>
      </c>
      <c r="C1058" s="8">
        <v>12</v>
      </c>
      <c r="D1058" s="5" t="s">
        <v>42</v>
      </c>
      <c r="E1058" s="5"/>
      <c r="G1058" s="5"/>
      <c r="H1058" s="5"/>
    </row>
    <row r="1059" spans="1:8" x14ac:dyDescent="0.2">
      <c r="A1059" s="5" t="s">
        <v>1548</v>
      </c>
      <c r="B1059" s="5" t="s">
        <v>1549</v>
      </c>
      <c r="C1059" s="8">
        <v>11</v>
      </c>
      <c r="D1059" s="5" t="s">
        <v>42</v>
      </c>
      <c r="E1059" s="5"/>
      <c r="G1059" s="5"/>
      <c r="H1059" s="5"/>
    </row>
    <row r="1060" spans="1:8" x14ac:dyDescent="0.2">
      <c r="A1060" s="5"/>
      <c r="B1060" s="5" t="s">
        <v>658</v>
      </c>
      <c r="C1060" s="5"/>
      <c r="D1060" s="5" t="s">
        <v>366</v>
      </c>
      <c r="E1060" s="5"/>
      <c r="G1060" s="5"/>
      <c r="H1060" s="5"/>
    </row>
    <row r="1061" spans="1:8" x14ac:dyDescent="0.2">
      <c r="A1061" s="5" t="s">
        <v>1550</v>
      </c>
      <c r="B1061" s="5" t="s">
        <v>1551</v>
      </c>
      <c r="C1061" s="8">
        <v>8</v>
      </c>
      <c r="D1061" s="5" t="s">
        <v>42</v>
      </c>
      <c r="E1061" s="5"/>
      <c r="G1061" s="5"/>
      <c r="H1061" s="5"/>
    </row>
    <row r="1062" spans="1:8" x14ac:dyDescent="0.2">
      <c r="A1062" s="5" t="s">
        <v>1552</v>
      </c>
      <c r="B1062" s="5" t="s">
        <v>1553</v>
      </c>
      <c r="C1062" s="8">
        <v>7</v>
      </c>
      <c r="D1062" s="5" t="s">
        <v>42</v>
      </c>
      <c r="E1062" s="5"/>
      <c r="G1062" s="5"/>
      <c r="H1062" s="5"/>
    </row>
    <row r="1063" spans="1:8" x14ac:dyDescent="0.2">
      <c r="A1063" s="5" t="s">
        <v>1554</v>
      </c>
      <c r="B1063" s="5" t="s">
        <v>1555</v>
      </c>
      <c r="C1063" s="8">
        <v>7</v>
      </c>
      <c r="D1063" s="5" t="s">
        <v>42</v>
      </c>
      <c r="E1063" s="5"/>
      <c r="G1063" s="5"/>
      <c r="H1063" s="5"/>
    </row>
    <row r="1064" spans="1:8" x14ac:dyDescent="0.2">
      <c r="A1064" s="5" t="s">
        <v>1556</v>
      </c>
      <c r="B1064" s="5" t="s">
        <v>1557</v>
      </c>
      <c r="C1064" s="8">
        <v>7</v>
      </c>
      <c r="D1064" s="5" t="s">
        <v>42</v>
      </c>
      <c r="E1064" s="5"/>
      <c r="G1064" s="5"/>
      <c r="H1064" s="5"/>
    </row>
    <row r="1065" spans="1:8" x14ac:dyDescent="0.2">
      <c r="A1065" s="5" t="s">
        <v>1558</v>
      </c>
      <c r="B1065" s="5" t="s">
        <v>1559</v>
      </c>
      <c r="C1065" s="8">
        <v>7</v>
      </c>
      <c r="D1065" s="5" t="s">
        <v>42</v>
      </c>
      <c r="E1065" s="5"/>
      <c r="G1065" s="5"/>
      <c r="H1065" s="5"/>
    </row>
    <row r="1066" spans="1:8" x14ac:dyDescent="0.2">
      <c r="A1066" s="5" t="s">
        <v>1560</v>
      </c>
      <c r="B1066" s="5" t="s">
        <v>1561</v>
      </c>
      <c r="C1066" s="8">
        <v>8</v>
      </c>
      <c r="D1066" s="5" t="s">
        <v>42</v>
      </c>
      <c r="E1066" s="5"/>
      <c r="G1066" s="5"/>
      <c r="H1066" s="5"/>
    </row>
    <row r="1067" spans="1:8" x14ac:dyDescent="0.2">
      <c r="A1067" s="5" t="s">
        <v>1562</v>
      </c>
      <c r="B1067" s="5" t="s">
        <v>1563</v>
      </c>
      <c r="C1067" s="8">
        <v>8</v>
      </c>
      <c r="D1067" s="5" t="s">
        <v>42</v>
      </c>
      <c r="E1067" s="5"/>
      <c r="G1067" s="5"/>
      <c r="H1067" s="5"/>
    </row>
    <row r="1068" spans="1:8" x14ac:dyDescent="0.2">
      <c r="A1068" s="5" t="s">
        <v>1564</v>
      </c>
      <c r="B1068" s="5" t="s">
        <v>1565</v>
      </c>
      <c r="C1068" s="8">
        <v>7</v>
      </c>
      <c r="D1068" s="5" t="s">
        <v>42</v>
      </c>
      <c r="E1068" s="5"/>
      <c r="G1068" s="5"/>
      <c r="H1068" s="5"/>
    </row>
    <row r="1069" spans="1:8" x14ac:dyDescent="0.2">
      <c r="A1069" s="5" t="s">
        <v>1566</v>
      </c>
      <c r="B1069" s="5" t="s">
        <v>1567</v>
      </c>
      <c r="C1069" s="8">
        <v>7</v>
      </c>
      <c r="D1069" s="5" t="s">
        <v>42</v>
      </c>
      <c r="E1069" s="5"/>
      <c r="G1069" s="5"/>
      <c r="H1069" s="5"/>
    </row>
    <row r="1070" spans="1:8" x14ac:dyDescent="0.2">
      <c r="A1070" s="5" t="s">
        <v>1568</v>
      </c>
      <c r="B1070" s="5" t="s">
        <v>1569</v>
      </c>
      <c r="C1070" s="8">
        <v>7</v>
      </c>
      <c r="D1070" s="5" t="s">
        <v>42</v>
      </c>
      <c r="E1070" s="5"/>
      <c r="G1070" s="5"/>
      <c r="H1070" s="5"/>
    </row>
    <row r="1071" spans="1:8" x14ac:dyDescent="0.2">
      <c r="A1071" s="5" t="s">
        <v>1570</v>
      </c>
      <c r="B1071" s="5" t="s">
        <v>1571</v>
      </c>
      <c r="C1071" s="8">
        <v>8</v>
      </c>
      <c r="D1071" s="5" t="s">
        <v>42</v>
      </c>
      <c r="E1071" s="5"/>
      <c r="G1071" s="5"/>
      <c r="H1071" s="5"/>
    </row>
    <row r="1072" spans="1:8" x14ac:dyDescent="0.2">
      <c r="A1072" s="5" t="s">
        <v>1572</v>
      </c>
      <c r="B1072" s="5" t="s">
        <v>1573</v>
      </c>
      <c r="C1072" s="8">
        <v>8</v>
      </c>
      <c r="D1072" s="5" t="s">
        <v>42</v>
      </c>
      <c r="E1072" s="5"/>
      <c r="G1072" s="5"/>
      <c r="H1072" s="5"/>
    </row>
    <row r="1073" spans="1:8" x14ac:dyDescent="0.2">
      <c r="A1073" s="5" t="s">
        <v>1574</v>
      </c>
      <c r="B1073" s="5" t="s">
        <v>1517</v>
      </c>
      <c r="C1073" s="8">
        <v>7</v>
      </c>
      <c r="D1073" s="5" t="s">
        <v>42</v>
      </c>
      <c r="E1073" s="5"/>
      <c r="G1073" s="5"/>
      <c r="H1073" s="5"/>
    </row>
    <row r="1074" spans="1:8" x14ac:dyDescent="0.2">
      <c r="A1074" s="5" t="s">
        <v>1575</v>
      </c>
      <c r="B1074" s="5" t="s">
        <v>1519</v>
      </c>
      <c r="C1074" s="8">
        <v>7</v>
      </c>
      <c r="D1074" s="5" t="s">
        <v>42</v>
      </c>
      <c r="E1074" s="5"/>
      <c r="G1074" s="5"/>
      <c r="H1074" s="5"/>
    </row>
    <row r="1075" spans="1:8" x14ac:dyDescent="0.2">
      <c r="A1075" s="5" t="s">
        <v>1576</v>
      </c>
      <c r="B1075" s="5" t="s">
        <v>1577</v>
      </c>
      <c r="C1075" s="8">
        <v>8</v>
      </c>
      <c r="D1075" s="5" t="s">
        <v>42</v>
      </c>
      <c r="E1075" s="5"/>
      <c r="G1075" s="5"/>
      <c r="H1075" s="5"/>
    </row>
    <row r="1076" spans="1:8" x14ac:dyDescent="0.2">
      <c r="A1076" s="5" t="s">
        <v>1578</v>
      </c>
      <c r="B1076" s="5" t="s">
        <v>1579</v>
      </c>
      <c r="C1076" s="8">
        <v>7</v>
      </c>
      <c r="D1076" s="5" t="s">
        <v>42</v>
      </c>
      <c r="E1076" s="5"/>
      <c r="G1076" s="5"/>
      <c r="H1076" s="5"/>
    </row>
    <row r="1077" spans="1:8" x14ac:dyDescent="0.2">
      <c r="A1077" s="5" t="s">
        <v>1580</v>
      </c>
      <c r="B1077" s="5" t="s">
        <v>1581</v>
      </c>
      <c r="C1077" s="8">
        <v>7</v>
      </c>
      <c r="D1077" s="5" t="s">
        <v>42</v>
      </c>
      <c r="E1077" s="5"/>
      <c r="G1077" s="5"/>
      <c r="H1077" s="5"/>
    </row>
    <row r="1078" spans="1:8" x14ac:dyDescent="0.2">
      <c r="A1078" s="5" t="s">
        <v>1582</v>
      </c>
      <c r="B1078" s="5" t="s">
        <v>1583</v>
      </c>
      <c r="C1078" s="8">
        <v>8</v>
      </c>
      <c r="D1078" s="5" t="s">
        <v>42</v>
      </c>
      <c r="E1078" s="5"/>
      <c r="G1078" s="5"/>
      <c r="H1078" s="5"/>
    </row>
    <row r="1079" spans="1:8" x14ac:dyDescent="0.2">
      <c r="A1079" s="5" t="s">
        <v>1584</v>
      </c>
      <c r="B1079" s="5" t="s">
        <v>1585</v>
      </c>
      <c r="C1079" s="8">
        <v>8</v>
      </c>
      <c r="D1079" s="5" t="s">
        <v>42</v>
      </c>
      <c r="E1079" s="5"/>
      <c r="G1079" s="5"/>
      <c r="H1079" s="5"/>
    </row>
    <row r="1080" spans="1:8" x14ac:dyDescent="0.2">
      <c r="A1080" s="5" t="s">
        <v>1586</v>
      </c>
      <c r="B1080" s="5" t="s">
        <v>1587</v>
      </c>
      <c r="C1080" s="8">
        <v>8</v>
      </c>
      <c r="D1080" s="5" t="s">
        <v>42</v>
      </c>
      <c r="E1080" s="5"/>
      <c r="G1080" s="5"/>
      <c r="H1080" s="5"/>
    </row>
    <row r="1081" spans="1:8" x14ac:dyDescent="0.2">
      <c r="A1081" s="5" t="s">
        <v>1588</v>
      </c>
      <c r="B1081" s="5" t="s">
        <v>1589</v>
      </c>
      <c r="C1081" s="8">
        <v>8</v>
      </c>
      <c r="D1081" s="5" t="s">
        <v>42</v>
      </c>
      <c r="E1081" s="5"/>
      <c r="G1081" s="5"/>
      <c r="H1081" s="5"/>
    </row>
    <row r="1082" spans="1:8" x14ac:dyDescent="0.2">
      <c r="A1082" s="5" t="s">
        <v>1590</v>
      </c>
      <c r="B1082" s="5" t="s">
        <v>1591</v>
      </c>
      <c r="C1082" s="8">
        <v>8</v>
      </c>
      <c r="D1082" s="5" t="s">
        <v>42</v>
      </c>
      <c r="E1082" s="5"/>
      <c r="G1082" s="5"/>
      <c r="H1082" s="5"/>
    </row>
    <row r="1083" spans="1:8" x14ac:dyDescent="0.2">
      <c r="A1083" s="5" t="s">
        <v>1592</v>
      </c>
      <c r="B1083" s="5" t="s">
        <v>1593</v>
      </c>
      <c r="C1083" s="8">
        <v>7</v>
      </c>
      <c r="D1083" s="5" t="s">
        <v>42</v>
      </c>
      <c r="E1083" s="5"/>
      <c r="G1083" s="5"/>
      <c r="H1083" s="5"/>
    </row>
    <row r="1084" spans="1:8" x14ac:dyDescent="0.2">
      <c r="A1084" s="5" t="s">
        <v>1594</v>
      </c>
      <c r="B1084" s="5" t="s">
        <v>1595</v>
      </c>
      <c r="C1084" s="8">
        <v>7</v>
      </c>
      <c r="D1084" s="5" t="s">
        <v>42</v>
      </c>
      <c r="E1084" s="5"/>
      <c r="G1084" s="5"/>
      <c r="H1084" s="5"/>
    </row>
    <row r="1085" spans="1:8" x14ac:dyDescent="0.2">
      <c r="A1085" s="5" t="s">
        <v>1596</v>
      </c>
      <c r="B1085" s="5" t="s">
        <v>1597</v>
      </c>
      <c r="C1085" s="8">
        <v>7</v>
      </c>
      <c r="D1085" s="5" t="s">
        <v>42</v>
      </c>
      <c r="E1085" s="5"/>
      <c r="G1085" s="5"/>
      <c r="H1085" s="5"/>
    </row>
    <row r="1086" spans="1:8" x14ac:dyDescent="0.2">
      <c r="A1086" s="5" t="s">
        <v>1598</v>
      </c>
      <c r="B1086" s="5" t="s">
        <v>1599</v>
      </c>
      <c r="C1086" s="8">
        <v>7</v>
      </c>
      <c r="D1086" s="5" t="s">
        <v>42</v>
      </c>
      <c r="E1086" s="5"/>
      <c r="G1086" s="5"/>
      <c r="H1086" s="5"/>
    </row>
    <row r="1087" spans="1:8" x14ac:dyDescent="0.2">
      <c r="A1087" s="5" t="s">
        <v>1600</v>
      </c>
      <c r="B1087" s="5" t="s">
        <v>1601</v>
      </c>
      <c r="C1087" s="8">
        <v>7</v>
      </c>
      <c r="D1087" s="5" t="s">
        <v>42</v>
      </c>
      <c r="E1087" s="5"/>
      <c r="G1087" s="5"/>
      <c r="H1087" s="5"/>
    </row>
    <row r="1088" spans="1:8" x14ac:dyDescent="0.2">
      <c r="A1088" s="5" t="s">
        <v>1602</v>
      </c>
      <c r="B1088" s="5" t="s">
        <v>1603</v>
      </c>
      <c r="C1088" s="8">
        <v>8</v>
      </c>
      <c r="D1088" s="5" t="s">
        <v>42</v>
      </c>
      <c r="E1088" s="5"/>
      <c r="G1088" s="5"/>
      <c r="H1088" s="5"/>
    </row>
    <row r="1089" spans="1:8" x14ac:dyDescent="0.2">
      <c r="A1089" s="5"/>
      <c r="B1089" s="5" t="s">
        <v>662</v>
      </c>
      <c r="C1089" s="5"/>
      <c r="D1089" s="5" t="s">
        <v>366</v>
      </c>
      <c r="E1089" s="5"/>
      <c r="G1089" s="5"/>
      <c r="H1089" s="5"/>
    </row>
    <row r="1090" spans="1:8" x14ac:dyDescent="0.2">
      <c r="A1090" s="5" t="s">
        <v>1604</v>
      </c>
      <c r="B1090" s="5" t="s">
        <v>1551</v>
      </c>
      <c r="C1090" s="8">
        <v>8</v>
      </c>
      <c r="D1090" s="5" t="s">
        <v>42</v>
      </c>
      <c r="E1090" s="5"/>
      <c r="G1090" s="5"/>
      <c r="H1090" s="5"/>
    </row>
    <row r="1091" spans="1:8" x14ac:dyDescent="0.2">
      <c r="A1091" s="5" t="s">
        <v>1605</v>
      </c>
      <c r="B1091" s="5" t="s">
        <v>1606</v>
      </c>
      <c r="C1091" s="8">
        <v>6</v>
      </c>
      <c r="D1091" s="5" t="s">
        <v>42</v>
      </c>
      <c r="E1091" s="5"/>
      <c r="G1091" s="5"/>
      <c r="H1091" s="5"/>
    </row>
    <row r="1092" spans="1:8" x14ac:dyDescent="0.2">
      <c r="A1092" s="5" t="s">
        <v>1607</v>
      </c>
      <c r="B1092" s="5" t="s">
        <v>1555</v>
      </c>
      <c r="C1092" s="8">
        <v>7</v>
      </c>
      <c r="D1092" s="5" t="s">
        <v>42</v>
      </c>
      <c r="E1092" s="5"/>
      <c r="G1092" s="5"/>
      <c r="H1092" s="5"/>
    </row>
    <row r="1093" spans="1:8" x14ac:dyDescent="0.2">
      <c r="A1093" s="5" t="s">
        <v>1608</v>
      </c>
      <c r="B1093" s="5" t="s">
        <v>1557</v>
      </c>
      <c r="C1093" s="8">
        <v>7</v>
      </c>
      <c r="D1093" s="5" t="s">
        <v>42</v>
      </c>
      <c r="E1093" s="5"/>
      <c r="G1093" s="5"/>
      <c r="H1093" s="5"/>
    </row>
    <row r="1094" spans="1:8" x14ac:dyDescent="0.2">
      <c r="A1094" s="5" t="s">
        <v>1609</v>
      </c>
      <c r="B1094" s="5" t="s">
        <v>1559</v>
      </c>
      <c r="C1094" s="8">
        <v>7</v>
      </c>
      <c r="D1094" s="5" t="s">
        <v>42</v>
      </c>
      <c r="E1094" s="5"/>
      <c r="G1094" s="5"/>
      <c r="H1094" s="5"/>
    </row>
    <row r="1095" spans="1:8" x14ac:dyDescent="0.2">
      <c r="A1095" s="5" t="s">
        <v>1610</v>
      </c>
      <c r="B1095" s="5" t="s">
        <v>1561</v>
      </c>
      <c r="C1095" s="8">
        <v>8</v>
      </c>
      <c r="D1095" s="5" t="s">
        <v>42</v>
      </c>
      <c r="E1095" s="5"/>
      <c r="G1095" s="5"/>
      <c r="H1095" s="5"/>
    </row>
    <row r="1096" spans="1:8" x14ac:dyDescent="0.2">
      <c r="A1096" s="5" t="s">
        <v>1611</v>
      </c>
      <c r="B1096" s="5" t="s">
        <v>1563</v>
      </c>
      <c r="C1096" s="8">
        <v>8</v>
      </c>
      <c r="D1096" s="5" t="s">
        <v>42</v>
      </c>
      <c r="E1096" s="5"/>
      <c r="G1096" s="5"/>
      <c r="H1096" s="5"/>
    </row>
    <row r="1097" spans="1:8" x14ac:dyDescent="0.2">
      <c r="A1097" s="5" t="s">
        <v>1612</v>
      </c>
      <c r="B1097" s="5" t="s">
        <v>1565</v>
      </c>
      <c r="C1097" s="8">
        <v>7</v>
      </c>
      <c r="D1097" s="5" t="s">
        <v>42</v>
      </c>
      <c r="E1097" s="5"/>
      <c r="G1097" s="5"/>
      <c r="H1097" s="5"/>
    </row>
    <row r="1098" spans="1:8" x14ac:dyDescent="0.2">
      <c r="A1098" s="5" t="s">
        <v>1613</v>
      </c>
      <c r="B1098" s="5" t="s">
        <v>1567</v>
      </c>
      <c r="C1098" s="8">
        <v>7</v>
      </c>
      <c r="D1098" s="5" t="s">
        <v>42</v>
      </c>
      <c r="E1098" s="5"/>
      <c r="G1098" s="5"/>
      <c r="H1098" s="5"/>
    </row>
    <row r="1099" spans="1:8" x14ac:dyDescent="0.2">
      <c r="A1099" s="5" t="s">
        <v>1614</v>
      </c>
      <c r="B1099" s="5" t="s">
        <v>1569</v>
      </c>
      <c r="C1099" s="8">
        <v>7</v>
      </c>
      <c r="D1099" s="5" t="s">
        <v>42</v>
      </c>
      <c r="E1099" s="5"/>
      <c r="G1099" s="5"/>
      <c r="H1099" s="5"/>
    </row>
    <row r="1100" spans="1:8" x14ac:dyDescent="0.2">
      <c r="A1100" s="5" t="s">
        <v>1615</v>
      </c>
      <c r="B1100" s="5" t="s">
        <v>1571</v>
      </c>
      <c r="C1100" s="8">
        <v>8</v>
      </c>
      <c r="D1100" s="5" t="s">
        <v>42</v>
      </c>
      <c r="E1100" s="5"/>
      <c r="G1100" s="5"/>
      <c r="H1100" s="5"/>
    </row>
    <row r="1101" spans="1:8" x14ac:dyDescent="0.2">
      <c r="A1101" s="5" t="s">
        <v>1616</v>
      </c>
      <c r="B1101" s="5" t="s">
        <v>1573</v>
      </c>
      <c r="C1101" s="8">
        <v>8</v>
      </c>
      <c r="D1101" s="5" t="s">
        <v>42</v>
      </c>
      <c r="E1101" s="5"/>
      <c r="G1101" s="5"/>
      <c r="H1101" s="5"/>
    </row>
    <row r="1102" spans="1:8" x14ac:dyDescent="0.2">
      <c r="A1102" s="5" t="s">
        <v>1617</v>
      </c>
      <c r="B1102" s="5" t="s">
        <v>1517</v>
      </c>
      <c r="C1102" s="8">
        <v>7</v>
      </c>
      <c r="D1102" s="5" t="s">
        <v>42</v>
      </c>
      <c r="E1102" s="5"/>
      <c r="G1102" s="5"/>
      <c r="H1102" s="5"/>
    </row>
    <row r="1103" spans="1:8" x14ac:dyDescent="0.2">
      <c r="A1103" s="5" t="s">
        <v>1618</v>
      </c>
      <c r="B1103" s="5" t="s">
        <v>1519</v>
      </c>
      <c r="C1103" s="8">
        <v>7</v>
      </c>
      <c r="D1103" s="5" t="s">
        <v>42</v>
      </c>
      <c r="E1103" s="5"/>
      <c r="G1103" s="5"/>
      <c r="H1103" s="5"/>
    </row>
    <row r="1104" spans="1:8" x14ac:dyDescent="0.2">
      <c r="A1104" s="5" t="s">
        <v>1619</v>
      </c>
      <c r="B1104" s="5" t="s">
        <v>1577</v>
      </c>
      <c r="C1104" s="8">
        <v>8</v>
      </c>
      <c r="D1104" s="5" t="s">
        <v>42</v>
      </c>
      <c r="E1104" s="5"/>
      <c r="G1104" s="5"/>
      <c r="H1104" s="5"/>
    </row>
    <row r="1105" spans="1:8" x14ac:dyDescent="0.2">
      <c r="A1105" s="5" t="s">
        <v>1620</v>
      </c>
      <c r="B1105" s="5" t="s">
        <v>1579</v>
      </c>
      <c r="C1105" s="8">
        <v>7</v>
      </c>
      <c r="D1105" s="5" t="s">
        <v>42</v>
      </c>
      <c r="E1105" s="5"/>
      <c r="G1105" s="5"/>
      <c r="H1105" s="5"/>
    </row>
    <row r="1106" spans="1:8" x14ac:dyDescent="0.2">
      <c r="A1106" s="5" t="s">
        <v>1621</v>
      </c>
      <c r="B1106" s="5" t="s">
        <v>1581</v>
      </c>
      <c r="C1106" s="8">
        <v>7</v>
      </c>
      <c r="D1106" s="5" t="s">
        <v>42</v>
      </c>
      <c r="E1106" s="5"/>
      <c r="G1106" s="5"/>
      <c r="H1106" s="5"/>
    </row>
    <row r="1107" spans="1:8" x14ac:dyDescent="0.2">
      <c r="A1107" s="5" t="s">
        <v>1622</v>
      </c>
      <c r="B1107" s="5" t="s">
        <v>1583</v>
      </c>
      <c r="C1107" s="8">
        <v>8</v>
      </c>
      <c r="D1107" s="5" t="s">
        <v>42</v>
      </c>
      <c r="E1107" s="5"/>
      <c r="G1107" s="5"/>
      <c r="H1107" s="5"/>
    </row>
    <row r="1108" spans="1:8" x14ac:dyDescent="0.2">
      <c r="A1108" s="5" t="s">
        <v>1623</v>
      </c>
      <c r="B1108" s="5" t="s">
        <v>1585</v>
      </c>
      <c r="C1108" s="8">
        <v>8</v>
      </c>
      <c r="D1108" s="5" t="s">
        <v>42</v>
      </c>
      <c r="E1108" s="5"/>
      <c r="G1108" s="5"/>
      <c r="H1108" s="5"/>
    </row>
    <row r="1109" spans="1:8" x14ac:dyDescent="0.2">
      <c r="A1109" s="5" t="s">
        <v>1624</v>
      </c>
      <c r="B1109" s="5" t="s">
        <v>1587</v>
      </c>
      <c r="C1109" s="8">
        <v>8</v>
      </c>
      <c r="D1109" s="5" t="s">
        <v>42</v>
      </c>
      <c r="E1109" s="5"/>
      <c r="G1109" s="5"/>
      <c r="H1109" s="5"/>
    </row>
    <row r="1110" spans="1:8" x14ac:dyDescent="0.2">
      <c r="A1110" s="5" t="s">
        <v>1625</v>
      </c>
      <c r="B1110" s="5" t="s">
        <v>1589</v>
      </c>
      <c r="C1110" s="8">
        <v>8</v>
      </c>
      <c r="D1110" s="5" t="s">
        <v>42</v>
      </c>
      <c r="E1110" s="5"/>
      <c r="G1110" s="5"/>
      <c r="H1110" s="5"/>
    </row>
    <row r="1111" spans="1:8" x14ac:dyDescent="0.2">
      <c r="A1111" s="5" t="s">
        <v>1626</v>
      </c>
      <c r="B1111" s="5" t="s">
        <v>1591</v>
      </c>
      <c r="C1111" s="8">
        <v>8</v>
      </c>
      <c r="D1111" s="5" t="s">
        <v>42</v>
      </c>
      <c r="E1111" s="5"/>
      <c r="G1111" s="5"/>
      <c r="H1111" s="5"/>
    </row>
    <row r="1112" spans="1:8" x14ac:dyDescent="0.2">
      <c r="A1112" s="5" t="s">
        <v>1627</v>
      </c>
      <c r="B1112" s="5" t="s">
        <v>1593</v>
      </c>
      <c r="C1112" s="8">
        <v>7</v>
      </c>
      <c r="D1112" s="5" t="s">
        <v>42</v>
      </c>
      <c r="E1112" s="5"/>
      <c r="G1112" s="5"/>
      <c r="H1112" s="5"/>
    </row>
    <row r="1113" spans="1:8" x14ac:dyDescent="0.2">
      <c r="A1113" s="5" t="s">
        <v>1628</v>
      </c>
      <c r="B1113" s="5" t="s">
        <v>1595</v>
      </c>
      <c r="C1113" s="8">
        <v>7</v>
      </c>
      <c r="D1113" s="5" t="s">
        <v>42</v>
      </c>
      <c r="E1113" s="5"/>
      <c r="G1113" s="5"/>
      <c r="H1113" s="5"/>
    </row>
    <row r="1114" spans="1:8" x14ac:dyDescent="0.2">
      <c r="A1114" s="5" t="s">
        <v>1629</v>
      </c>
      <c r="B1114" s="5" t="s">
        <v>1597</v>
      </c>
      <c r="C1114" s="8">
        <v>7</v>
      </c>
      <c r="D1114" s="5" t="s">
        <v>42</v>
      </c>
      <c r="E1114" s="5"/>
      <c r="G1114" s="5"/>
      <c r="H1114" s="5"/>
    </row>
    <row r="1115" spans="1:8" x14ac:dyDescent="0.2">
      <c r="A1115" s="5" t="s">
        <v>1630</v>
      </c>
      <c r="B1115" s="5" t="s">
        <v>1599</v>
      </c>
      <c r="C1115" s="8">
        <v>7</v>
      </c>
      <c r="D1115" s="5" t="s">
        <v>42</v>
      </c>
      <c r="E1115" s="5"/>
      <c r="G1115" s="5"/>
      <c r="H1115" s="5"/>
    </row>
    <row r="1116" spans="1:8" x14ac:dyDescent="0.2">
      <c r="A1116" s="5" t="s">
        <v>1631</v>
      </c>
      <c r="B1116" s="5" t="s">
        <v>1601</v>
      </c>
      <c r="C1116" s="8">
        <v>7</v>
      </c>
      <c r="D1116" s="5" t="s">
        <v>42</v>
      </c>
      <c r="E1116" s="5"/>
      <c r="G1116" s="5"/>
      <c r="H1116" s="5"/>
    </row>
    <row r="1117" spans="1:8" x14ac:dyDescent="0.2">
      <c r="A1117" s="5" t="s">
        <v>1632</v>
      </c>
      <c r="B1117" s="5" t="s">
        <v>1603</v>
      </c>
      <c r="C1117" s="8">
        <v>8</v>
      </c>
      <c r="D1117" s="5" t="s">
        <v>42</v>
      </c>
      <c r="E1117" s="5"/>
      <c r="G1117" s="5"/>
      <c r="H1117" s="5"/>
    </row>
    <row r="1118" spans="1:8" x14ac:dyDescent="0.2">
      <c r="A1118" s="5"/>
      <c r="B1118" s="5" t="s">
        <v>666</v>
      </c>
      <c r="C1118" s="5"/>
      <c r="D1118" s="5" t="s">
        <v>366</v>
      </c>
      <c r="E1118" s="5"/>
      <c r="G1118" s="5"/>
      <c r="H1118" s="5"/>
    </row>
    <row r="1119" spans="1:8" x14ac:dyDescent="0.2">
      <c r="A1119" s="5" t="s">
        <v>1633</v>
      </c>
      <c r="B1119" s="5" t="s">
        <v>1634</v>
      </c>
      <c r="C1119" s="8">
        <v>7</v>
      </c>
      <c r="D1119" s="5" t="s">
        <v>42</v>
      </c>
      <c r="E1119" s="5"/>
      <c r="G1119" s="5"/>
      <c r="H1119" s="5"/>
    </row>
    <row r="1120" spans="1:8" x14ac:dyDescent="0.2">
      <c r="A1120" s="5" t="s">
        <v>1635</v>
      </c>
      <c r="B1120" s="5" t="s">
        <v>1636</v>
      </c>
      <c r="C1120" s="8">
        <v>7</v>
      </c>
      <c r="D1120" s="5" t="s">
        <v>42</v>
      </c>
      <c r="E1120" s="5"/>
      <c r="G1120" s="5"/>
      <c r="H1120" s="5"/>
    </row>
    <row r="1121" spans="1:8" x14ac:dyDescent="0.2">
      <c r="A1121" s="5" t="s">
        <v>1637</v>
      </c>
      <c r="B1121" s="5" t="s">
        <v>1638</v>
      </c>
      <c r="C1121" s="8">
        <v>7</v>
      </c>
      <c r="D1121" s="5" t="s">
        <v>42</v>
      </c>
      <c r="E1121" s="5"/>
      <c r="G1121" s="5"/>
      <c r="H1121" s="5"/>
    </row>
    <row r="1122" spans="1:8" x14ac:dyDescent="0.2">
      <c r="A1122" s="5" t="s">
        <v>1639</v>
      </c>
      <c r="B1122" s="5" t="s">
        <v>1640</v>
      </c>
      <c r="C1122" s="8">
        <v>7</v>
      </c>
      <c r="D1122" s="5" t="s">
        <v>42</v>
      </c>
      <c r="E1122" s="5"/>
      <c r="G1122" s="5"/>
      <c r="H1122" s="5"/>
    </row>
    <row r="1123" spans="1:8" x14ac:dyDescent="0.2">
      <c r="A1123" s="5" t="s">
        <v>1641</v>
      </c>
      <c r="B1123" s="5" t="s">
        <v>1642</v>
      </c>
      <c r="C1123" s="8">
        <v>7</v>
      </c>
      <c r="D1123" s="5" t="s">
        <v>42</v>
      </c>
      <c r="E1123" s="5"/>
      <c r="G1123" s="5"/>
      <c r="H1123" s="5"/>
    </row>
    <row r="1124" spans="1:8" x14ac:dyDescent="0.2">
      <c r="A1124" s="5" t="s">
        <v>1643</v>
      </c>
      <c r="B1124" s="5" t="s">
        <v>1644</v>
      </c>
      <c r="C1124" s="8">
        <v>7</v>
      </c>
      <c r="D1124" s="5" t="s">
        <v>42</v>
      </c>
      <c r="E1124" s="5"/>
      <c r="G1124" s="5"/>
      <c r="H1124" s="5"/>
    </row>
    <row r="1125" spans="1:8" x14ac:dyDescent="0.2">
      <c r="A1125" s="5" t="s">
        <v>1645</v>
      </c>
      <c r="B1125" s="5" t="s">
        <v>1646</v>
      </c>
      <c r="C1125" s="8">
        <v>7</v>
      </c>
      <c r="D1125" s="5" t="s">
        <v>42</v>
      </c>
      <c r="E1125" s="5"/>
      <c r="G1125" s="5"/>
      <c r="H1125" s="5"/>
    </row>
    <row r="1126" spans="1:8" x14ac:dyDescent="0.2">
      <c r="A1126" s="5" t="s">
        <v>1647</v>
      </c>
      <c r="B1126" s="5" t="s">
        <v>1648</v>
      </c>
      <c r="C1126" s="8">
        <v>7</v>
      </c>
      <c r="D1126" s="5" t="s">
        <v>42</v>
      </c>
      <c r="E1126" s="5"/>
      <c r="G1126" s="5"/>
      <c r="H1126" s="5"/>
    </row>
    <row r="1127" spans="1:8" x14ac:dyDescent="0.2">
      <c r="A1127" s="5" t="s">
        <v>1649</v>
      </c>
      <c r="B1127" s="5" t="s">
        <v>1650</v>
      </c>
      <c r="C1127" s="8">
        <v>7</v>
      </c>
      <c r="D1127" s="5" t="s">
        <v>42</v>
      </c>
      <c r="E1127" s="5"/>
      <c r="G1127" s="5"/>
      <c r="H1127" s="5"/>
    </row>
    <row r="1128" spans="1:8" x14ac:dyDescent="0.2">
      <c r="A1128" s="5" t="s">
        <v>1651</v>
      </c>
      <c r="B1128" s="5" t="s">
        <v>1652</v>
      </c>
      <c r="C1128" s="8">
        <v>7</v>
      </c>
      <c r="D1128" s="5" t="s">
        <v>42</v>
      </c>
      <c r="E1128" s="5"/>
      <c r="G1128" s="5"/>
      <c r="H1128" s="5"/>
    </row>
    <row r="1129" spans="1:8" x14ac:dyDescent="0.2">
      <c r="A1129" s="5" t="s">
        <v>1653</v>
      </c>
      <c r="B1129" s="5" t="s">
        <v>1654</v>
      </c>
      <c r="C1129" s="8">
        <v>7</v>
      </c>
      <c r="D1129" s="5" t="s">
        <v>42</v>
      </c>
      <c r="E1129" s="5"/>
      <c r="G1129" s="5"/>
      <c r="H1129" s="5"/>
    </row>
    <row r="1130" spans="1:8" x14ac:dyDescent="0.2">
      <c r="A1130" s="5" t="s">
        <v>1655</v>
      </c>
      <c r="B1130" s="5" t="s">
        <v>1656</v>
      </c>
      <c r="C1130" s="8">
        <v>7</v>
      </c>
      <c r="D1130" s="5" t="s">
        <v>42</v>
      </c>
      <c r="E1130" s="5"/>
      <c r="G1130" s="5"/>
      <c r="H1130" s="5"/>
    </row>
    <row r="1131" spans="1:8" x14ac:dyDescent="0.2">
      <c r="A1131" s="5" t="s">
        <v>1657</v>
      </c>
      <c r="B1131" s="5" t="s">
        <v>1658</v>
      </c>
      <c r="C1131" s="8">
        <v>7</v>
      </c>
      <c r="D1131" s="5" t="s">
        <v>42</v>
      </c>
      <c r="E1131" s="5"/>
      <c r="G1131" s="5"/>
      <c r="H1131" s="5"/>
    </row>
    <row r="1132" spans="1:8" x14ac:dyDescent="0.2">
      <c r="A1132" s="5" t="s">
        <v>1659</v>
      </c>
      <c r="B1132" s="5" t="s">
        <v>1660</v>
      </c>
      <c r="C1132" s="8">
        <v>7</v>
      </c>
      <c r="D1132" s="5" t="s">
        <v>42</v>
      </c>
      <c r="E1132" s="5"/>
      <c r="G1132" s="5"/>
      <c r="H1132" s="5"/>
    </row>
    <row r="1133" spans="1:8" x14ac:dyDescent="0.2">
      <c r="A1133" s="5" t="s">
        <v>1661</v>
      </c>
      <c r="B1133" s="5" t="s">
        <v>1662</v>
      </c>
      <c r="C1133" s="8">
        <v>7</v>
      </c>
      <c r="D1133" s="5" t="s">
        <v>42</v>
      </c>
      <c r="E1133" s="5"/>
      <c r="G1133" s="5"/>
      <c r="H1133" s="5"/>
    </row>
    <row r="1134" spans="1:8" x14ac:dyDescent="0.2">
      <c r="A1134" s="5" t="s">
        <v>1663</v>
      </c>
      <c r="B1134" s="5" t="s">
        <v>1664</v>
      </c>
      <c r="C1134" s="8">
        <v>7</v>
      </c>
      <c r="D1134" s="5" t="s">
        <v>42</v>
      </c>
      <c r="E1134" s="5"/>
      <c r="G1134" s="5"/>
      <c r="H1134" s="5"/>
    </row>
    <row r="1135" spans="1:8" x14ac:dyDescent="0.2">
      <c r="A1135" s="5" t="s">
        <v>1665</v>
      </c>
      <c r="B1135" s="5" t="s">
        <v>1666</v>
      </c>
      <c r="C1135" s="8">
        <v>7</v>
      </c>
      <c r="D1135" s="5" t="s">
        <v>42</v>
      </c>
      <c r="E1135" s="5"/>
      <c r="G1135" s="5"/>
      <c r="H1135" s="5"/>
    </row>
    <row r="1136" spans="1:8" x14ac:dyDescent="0.2">
      <c r="A1136" s="5" t="s">
        <v>1667</v>
      </c>
      <c r="B1136" s="5" t="s">
        <v>1668</v>
      </c>
      <c r="C1136" s="8">
        <v>7</v>
      </c>
      <c r="D1136" s="5" t="s">
        <v>42</v>
      </c>
      <c r="E1136" s="5"/>
      <c r="G1136" s="5"/>
      <c r="H1136" s="5"/>
    </row>
    <row r="1137" spans="1:8" x14ac:dyDescent="0.2">
      <c r="A1137" s="5" t="s">
        <v>1669</v>
      </c>
      <c r="B1137" s="5" t="s">
        <v>1670</v>
      </c>
      <c r="C1137" s="8">
        <v>7</v>
      </c>
      <c r="D1137" s="5" t="s">
        <v>42</v>
      </c>
      <c r="E1137" s="5"/>
      <c r="G1137" s="5"/>
      <c r="H1137" s="5"/>
    </row>
    <row r="1138" spans="1:8" x14ac:dyDescent="0.2">
      <c r="A1138" s="5"/>
      <c r="B1138" s="5" t="s">
        <v>1671</v>
      </c>
      <c r="C1138" s="5"/>
      <c r="D1138" s="5" t="s">
        <v>322</v>
      </c>
      <c r="E1138" s="5"/>
      <c r="G1138" s="5"/>
      <c r="H1138" s="5"/>
    </row>
    <row r="1139" spans="1:8" x14ac:dyDescent="0.2">
      <c r="A1139" s="5"/>
      <c r="B1139" s="5" t="s">
        <v>658</v>
      </c>
      <c r="C1139" s="5"/>
      <c r="D1139" s="5" t="s">
        <v>366</v>
      </c>
      <c r="E1139" s="5"/>
      <c r="G1139" s="5"/>
      <c r="H1139" s="5"/>
    </row>
    <row r="1140" spans="1:8" x14ac:dyDescent="0.2">
      <c r="A1140" s="5" t="s">
        <v>1672</v>
      </c>
      <c r="B1140" s="5" t="s">
        <v>1673</v>
      </c>
      <c r="C1140" s="8">
        <v>1657</v>
      </c>
      <c r="D1140" s="5" t="s">
        <v>42</v>
      </c>
      <c r="E1140" s="5"/>
      <c r="G1140" s="5"/>
      <c r="H1140" s="5"/>
    </row>
    <row r="1141" spans="1:8" x14ac:dyDescent="0.2">
      <c r="A1141" s="5" t="s">
        <v>1674</v>
      </c>
      <c r="B1141" s="5" t="s">
        <v>1675</v>
      </c>
      <c r="C1141" s="8">
        <v>12</v>
      </c>
      <c r="D1141" s="5" t="s">
        <v>42</v>
      </c>
      <c r="E1141" s="5"/>
      <c r="G1141" s="5"/>
      <c r="H1141" s="5"/>
    </row>
    <row r="1142" spans="1:8" x14ac:dyDescent="0.2">
      <c r="A1142" s="5" t="s">
        <v>1676</v>
      </c>
      <c r="B1142" s="5" t="s">
        <v>1677</v>
      </c>
      <c r="C1142" s="8">
        <v>197</v>
      </c>
      <c r="D1142" s="5" t="s">
        <v>155</v>
      </c>
      <c r="E1142" s="5"/>
      <c r="G1142" s="5"/>
      <c r="H1142" s="5"/>
    </row>
    <row r="1143" spans="1:8" x14ac:dyDescent="0.2">
      <c r="A1143" s="5" t="s">
        <v>1678</v>
      </c>
      <c r="B1143" s="5" t="s">
        <v>1679</v>
      </c>
      <c r="C1143" s="8">
        <v>72</v>
      </c>
      <c r="D1143" s="5" t="s">
        <v>155</v>
      </c>
      <c r="E1143" s="5"/>
      <c r="G1143" s="5"/>
      <c r="H1143" s="5"/>
    </row>
    <row r="1144" spans="1:8" x14ac:dyDescent="0.2">
      <c r="A1144" s="5" t="s">
        <v>1680</v>
      </c>
      <c r="B1144" s="5" t="s">
        <v>1681</v>
      </c>
      <c r="C1144" s="8">
        <v>32</v>
      </c>
      <c r="D1144" s="5" t="s">
        <v>155</v>
      </c>
      <c r="E1144" s="5"/>
      <c r="G1144" s="5"/>
      <c r="H1144" s="5"/>
    </row>
    <row r="1145" spans="1:8" x14ac:dyDescent="0.2">
      <c r="A1145" s="5"/>
      <c r="B1145" s="5" t="s">
        <v>1682</v>
      </c>
      <c r="C1145" s="5"/>
      <c r="D1145" s="5" t="s">
        <v>366</v>
      </c>
      <c r="E1145" s="5"/>
      <c r="G1145" s="5"/>
      <c r="H1145" s="5"/>
    </row>
    <row r="1146" spans="1:8" x14ac:dyDescent="0.2">
      <c r="A1146" s="5" t="s">
        <v>1683</v>
      </c>
      <c r="B1146" s="5" t="s">
        <v>1673</v>
      </c>
      <c r="C1146" s="8">
        <v>1614</v>
      </c>
      <c r="D1146" s="5" t="s">
        <v>42</v>
      </c>
      <c r="E1146" s="5"/>
      <c r="G1146" s="5"/>
      <c r="H1146" s="5"/>
    </row>
    <row r="1147" spans="1:8" x14ac:dyDescent="0.2">
      <c r="A1147" s="5" t="s">
        <v>1684</v>
      </c>
      <c r="B1147" s="5" t="s">
        <v>1677</v>
      </c>
      <c r="C1147" s="8">
        <v>211</v>
      </c>
      <c r="D1147" s="5" t="s">
        <v>155</v>
      </c>
      <c r="E1147" s="5"/>
      <c r="G1147" s="5"/>
      <c r="H1147" s="5"/>
    </row>
    <row r="1148" spans="1:8" x14ac:dyDescent="0.2">
      <c r="A1148" s="5" t="s">
        <v>1685</v>
      </c>
      <c r="B1148" s="5" t="s">
        <v>1679</v>
      </c>
      <c r="C1148" s="8">
        <v>97</v>
      </c>
      <c r="D1148" s="5" t="s">
        <v>155</v>
      </c>
      <c r="E1148" s="5"/>
      <c r="G1148" s="5"/>
      <c r="H1148" s="5"/>
    </row>
    <row r="1149" spans="1:8" x14ac:dyDescent="0.2">
      <c r="A1149" s="5" t="s">
        <v>1686</v>
      </c>
      <c r="B1149" s="5" t="s">
        <v>1681</v>
      </c>
      <c r="C1149" s="8">
        <v>59</v>
      </c>
      <c r="D1149" s="5" t="s">
        <v>155</v>
      </c>
      <c r="E1149" s="5"/>
      <c r="G1149" s="5"/>
      <c r="H1149" s="5"/>
    </row>
    <row r="1150" spans="1:8" x14ac:dyDescent="0.2">
      <c r="A1150" s="5" t="s">
        <v>1687</v>
      </c>
      <c r="B1150" s="5" t="s">
        <v>1688</v>
      </c>
      <c r="C1150" s="8">
        <v>2</v>
      </c>
      <c r="D1150" s="5" t="s">
        <v>155</v>
      </c>
      <c r="E1150" s="5"/>
      <c r="G1150" s="5"/>
      <c r="H1150" s="5"/>
    </row>
    <row r="1151" spans="1:8" x14ac:dyDescent="0.2">
      <c r="A1151" s="5"/>
      <c r="B1151" s="5" t="s">
        <v>666</v>
      </c>
      <c r="C1151" s="5"/>
      <c r="D1151" s="5" t="s">
        <v>366</v>
      </c>
      <c r="E1151" s="5"/>
      <c r="G1151" s="5"/>
      <c r="H1151" s="5"/>
    </row>
    <row r="1152" spans="1:8" x14ac:dyDescent="0.2">
      <c r="A1152" s="5" t="s">
        <v>1689</v>
      </c>
      <c r="B1152" s="5" t="s">
        <v>1690</v>
      </c>
      <c r="C1152" s="8">
        <v>1663</v>
      </c>
      <c r="D1152" s="5" t="s">
        <v>42</v>
      </c>
      <c r="E1152" s="5"/>
      <c r="G1152" s="5"/>
      <c r="H1152" s="5"/>
    </row>
    <row r="1153" spans="1:8" x14ac:dyDescent="0.2">
      <c r="A1153" s="5" t="s">
        <v>1691</v>
      </c>
      <c r="B1153" s="5" t="s">
        <v>1675</v>
      </c>
      <c r="C1153" s="8">
        <v>13</v>
      </c>
      <c r="D1153" s="5" t="s">
        <v>42</v>
      </c>
      <c r="E1153" s="5"/>
      <c r="G1153" s="5"/>
      <c r="H1153" s="5"/>
    </row>
    <row r="1154" spans="1:8" x14ac:dyDescent="0.2">
      <c r="A1154" s="5" t="s">
        <v>1692</v>
      </c>
      <c r="B1154" s="5" t="s">
        <v>1677</v>
      </c>
      <c r="C1154" s="8">
        <v>197</v>
      </c>
      <c r="D1154" s="5" t="s">
        <v>155</v>
      </c>
      <c r="E1154" s="5"/>
      <c r="G1154" s="5"/>
      <c r="H1154" s="5"/>
    </row>
    <row r="1155" spans="1:8" x14ac:dyDescent="0.2">
      <c r="A1155" s="5" t="s">
        <v>1693</v>
      </c>
      <c r="B1155" s="5" t="s">
        <v>1679</v>
      </c>
      <c r="C1155" s="8">
        <v>105</v>
      </c>
      <c r="D1155" s="5" t="s">
        <v>155</v>
      </c>
      <c r="E1155" s="5"/>
      <c r="G1155" s="5"/>
      <c r="H1155" s="5"/>
    </row>
    <row r="1156" spans="1:8" x14ac:dyDescent="0.2">
      <c r="A1156" s="5" t="s">
        <v>1694</v>
      </c>
      <c r="B1156" s="5" t="s">
        <v>1681</v>
      </c>
      <c r="C1156" s="8">
        <v>24</v>
      </c>
      <c r="D1156" s="5" t="s">
        <v>155</v>
      </c>
      <c r="E1156" s="5"/>
      <c r="G1156" s="5"/>
      <c r="H1156" s="5"/>
    </row>
    <row r="1157" spans="1:8" x14ac:dyDescent="0.2">
      <c r="A1157" s="5"/>
      <c r="B1157" s="5" t="s">
        <v>954</v>
      </c>
      <c r="C1157" s="5"/>
      <c r="D1157" s="5" t="s">
        <v>366</v>
      </c>
      <c r="E1157" s="5"/>
      <c r="G1157" s="5"/>
      <c r="H1157" s="5"/>
    </row>
    <row r="1158" spans="1:8" x14ac:dyDescent="0.2">
      <c r="A1158" s="5" t="s">
        <v>1695</v>
      </c>
      <c r="B1158" s="5" t="s">
        <v>1696</v>
      </c>
      <c r="C1158" s="8">
        <v>14</v>
      </c>
      <c r="D1158" s="5" t="s">
        <v>42</v>
      </c>
      <c r="E1158" s="5"/>
      <c r="G1158" s="5"/>
      <c r="H1158" s="5"/>
    </row>
    <row r="1159" spans="1:8" x14ac:dyDescent="0.2">
      <c r="A1159" s="5" t="s">
        <v>1697</v>
      </c>
      <c r="B1159" s="5" t="s">
        <v>1677</v>
      </c>
      <c r="C1159" s="8">
        <v>15</v>
      </c>
      <c r="D1159" s="5" t="s">
        <v>155</v>
      </c>
      <c r="E1159" s="5"/>
      <c r="G1159" s="5"/>
      <c r="H1159" s="5"/>
    </row>
    <row r="1160" spans="1:8" x14ac:dyDescent="0.2">
      <c r="A1160" s="5"/>
      <c r="B1160" s="5" t="s">
        <v>1698</v>
      </c>
      <c r="C1160" s="5"/>
      <c r="D1160" s="5" t="s">
        <v>322</v>
      </c>
      <c r="E1160" s="5"/>
      <c r="G1160" s="5"/>
      <c r="H1160" s="5"/>
    </row>
    <row r="1161" spans="1:8" x14ac:dyDescent="0.2">
      <c r="A1161" s="5"/>
      <c r="B1161" s="5" t="s">
        <v>658</v>
      </c>
      <c r="C1161" s="5"/>
      <c r="D1161" s="5" t="s">
        <v>366</v>
      </c>
      <c r="E1161" s="5"/>
      <c r="G1161" s="5"/>
      <c r="H1161" s="5"/>
    </row>
    <row r="1162" spans="1:8" ht="22.5" x14ac:dyDescent="0.2">
      <c r="A1162" s="5" t="s">
        <v>1699</v>
      </c>
      <c r="B1162" s="10" t="s">
        <v>1700</v>
      </c>
      <c r="C1162" s="8">
        <v>405</v>
      </c>
      <c r="D1162" s="5" t="s">
        <v>155</v>
      </c>
      <c r="E1162" s="5"/>
      <c r="G1162" s="5"/>
      <c r="H1162" s="5"/>
    </row>
    <row r="1163" spans="1:8" x14ac:dyDescent="0.2">
      <c r="A1163" s="5" t="s">
        <v>1701</v>
      </c>
      <c r="B1163" s="5" t="s">
        <v>1702</v>
      </c>
      <c r="C1163" s="8">
        <v>139</v>
      </c>
      <c r="D1163" s="5" t="s">
        <v>42</v>
      </c>
      <c r="E1163" s="5"/>
      <c r="G1163" s="5"/>
      <c r="H1163" s="5"/>
    </row>
    <row r="1164" spans="1:8" x14ac:dyDescent="0.2">
      <c r="A1164" s="5"/>
      <c r="B1164" s="5" t="s">
        <v>662</v>
      </c>
      <c r="C1164" s="5"/>
      <c r="D1164" s="5" t="s">
        <v>366</v>
      </c>
      <c r="E1164" s="5"/>
      <c r="G1164" s="5"/>
      <c r="H1164" s="5"/>
    </row>
    <row r="1165" spans="1:8" ht="22.5" x14ac:dyDescent="0.2">
      <c r="A1165" s="5" t="s">
        <v>1703</v>
      </c>
      <c r="B1165" s="10" t="s">
        <v>1700</v>
      </c>
      <c r="C1165" s="8">
        <v>459</v>
      </c>
      <c r="D1165" s="5" t="s">
        <v>155</v>
      </c>
      <c r="E1165" s="5"/>
      <c r="G1165" s="5"/>
      <c r="H1165" s="5"/>
    </row>
    <row r="1166" spans="1:8" x14ac:dyDescent="0.2">
      <c r="A1166" s="5" t="s">
        <v>1704</v>
      </c>
      <c r="B1166" s="5" t="s">
        <v>1702</v>
      </c>
      <c r="C1166" s="8">
        <v>67</v>
      </c>
      <c r="D1166" s="5" t="s">
        <v>42</v>
      </c>
      <c r="E1166" s="5"/>
      <c r="G1166" s="5"/>
      <c r="H1166" s="5"/>
    </row>
    <row r="1167" spans="1:8" x14ac:dyDescent="0.2">
      <c r="A1167" s="5"/>
      <c r="B1167" s="5" t="s">
        <v>666</v>
      </c>
      <c r="C1167" s="5"/>
      <c r="D1167" s="5" t="s">
        <v>366</v>
      </c>
      <c r="E1167" s="5"/>
      <c r="G1167" s="5"/>
      <c r="H1167" s="5"/>
    </row>
    <row r="1168" spans="1:8" ht="22.5" x14ac:dyDescent="0.2">
      <c r="A1168" s="5" t="s">
        <v>1705</v>
      </c>
      <c r="B1168" s="10" t="s">
        <v>1700</v>
      </c>
      <c r="C1168" s="8">
        <v>399</v>
      </c>
      <c r="D1168" s="5" t="s">
        <v>155</v>
      </c>
      <c r="E1168" s="5"/>
      <c r="G1168" s="5"/>
      <c r="H1168" s="5"/>
    </row>
    <row r="1169" spans="1:8" x14ac:dyDescent="0.2">
      <c r="A1169" s="5" t="s">
        <v>1706</v>
      </c>
      <c r="B1169" s="5" t="s">
        <v>1702</v>
      </c>
      <c r="C1169" s="8">
        <v>139</v>
      </c>
      <c r="D1169" s="5" t="s">
        <v>42</v>
      </c>
      <c r="E1169" s="5"/>
      <c r="G1169" s="5"/>
      <c r="H1169" s="5"/>
    </row>
    <row r="1170" spans="1:8" x14ac:dyDescent="0.2">
      <c r="A1170" s="5"/>
      <c r="B1170" s="5" t="s">
        <v>1707</v>
      </c>
      <c r="C1170" s="5"/>
      <c r="D1170" s="5" t="s">
        <v>322</v>
      </c>
      <c r="E1170" s="5"/>
      <c r="G1170" s="5"/>
      <c r="H1170" s="5"/>
    </row>
    <row r="1171" spans="1:8" ht="56.25" x14ac:dyDescent="0.2">
      <c r="A1171" s="5"/>
      <c r="B1171" s="10" t="s">
        <v>1708</v>
      </c>
      <c r="C1171" s="5"/>
      <c r="D1171" s="5" t="s">
        <v>366</v>
      </c>
      <c r="E1171" s="5"/>
      <c r="G1171" s="5"/>
      <c r="H1171" s="5"/>
    </row>
    <row r="1172" spans="1:8" x14ac:dyDescent="0.2">
      <c r="A1172" s="5" t="s">
        <v>1709</v>
      </c>
      <c r="B1172" s="5" t="s">
        <v>1710</v>
      </c>
      <c r="C1172" s="8">
        <v>27</v>
      </c>
      <c r="D1172" s="5" t="s">
        <v>42</v>
      </c>
      <c r="E1172" s="5"/>
      <c r="G1172" s="5"/>
      <c r="H1172" s="5"/>
    </row>
    <row r="1173" spans="1:8" x14ac:dyDescent="0.2">
      <c r="A1173" s="5" t="s">
        <v>1711</v>
      </c>
      <c r="B1173" s="5" t="s">
        <v>1712</v>
      </c>
      <c r="C1173" s="8">
        <v>27</v>
      </c>
      <c r="D1173" s="5" t="s">
        <v>155</v>
      </c>
      <c r="E1173" s="5"/>
      <c r="G1173" s="5"/>
      <c r="H1173" s="5"/>
    </row>
    <row r="1174" spans="1:8" x14ac:dyDescent="0.2">
      <c r="A1174" s="5" t="s">
        <v>1713</v>
      </c>
      <c r="B1174" s="5" t="s">
        <v>1714</v>
      </c>
      <c r="C1174" s="8">
        <v>87</v>
      </c>
      <c r="D1174" s="5" t="s">
        <v>155</v>
      </c>
      <c r="E1174" s="5"/>
      <c r="G1174" s="5"/>
      <c r="H1174" s="5"/>
    </row>
    <row r="1175" spans="1:8" x14ac:dyDescent="0.2">
      <c r="A1175" s="5" t="s">
        <v>1715</v>
      </c>
      <c r="B1175" s="5" t="s">
        <v>1716</v>
      </c>
      <c r="C1175" s="8">
        <v>24</v>
      </c>
      <c r="D1175" s="5" t="s">
        <v>42</v>
      </c>
      <c r="E1175" s="5"/>
      <c r="G1175" s="5"/>
      <c r="H1175" s="5"/>
    </row>
    <row r="1176" spans="1:8" x14ac:dyDescent="0.2">
      <c r="A1176" s="5" t="s">
        <v>1717</v>
      </c>
      <c r="B1176" s="5" t="s">
        <v>1718</v>
      </c>
      <c r="C1176" s="8">
        <v>41</v>
      </c>
      <c r="D1176" s="5" t="s">
        <v>155</v>
      </c>
      <c r="E1176" s="5"/>
      <c r="G1176" s="5"/>
      <c r="H1176" s="5"/>
    </row>
    <row r="1177" spans="1:8" x14ac:dyDescent="0.2">
      <c r="A1177" s="5"/>
      <c r="B1177" s="5" t="s">
        <v>1035</v>
      </c>
      <c r="C1177" s="5"/>
      <c r="D1177" s="5" t="s">
        <v>366</v>
      </c>
      <c r="E1177" s="5"/>
      <c r="G1177" s="5"/>
      <c r="H1177" s="5"/>
    </row>
    <row r="1178" spans="1:8" x14ac:dyDescent="0.2">
      <c r="A1178" s="5" t="s">
        <v>1719</v>
      </c>
      <c r="B1178" s="5" t="s">
        <v>1710</v>
      </c>
      <c r="C1178" s="8">
        <v>68</v>
      </c>
      <c r="D1178" s="5" t="s">
        <v>42</v>
      </c>
      <c r="E1178" s="5"/>
      <c r="G1178" s="5"/>
      <c r="H1178" s="5"/>
    </row>
    <row r="1179" spans="1:8" x14ac:dyDescent="0.2">
      <c r="A1179" s="5" t="s">
        <v>1720</v>
      </c>
      <c r="B1179" s="5" t="s">
        <v>1712</v>
      </c>
      <c r="C1179" s="8">
        <v>48</v>
      </c>
      <c r="D1179" s="5" t="s">
        <v>155</v>
      </c>
      <c r="E1179" s="5"/>
      <c r="G1179" s="5"/>
      <c r="H1179" s="5"/>
    </row>
    <row r="1180" spans="1:8" x14ac:dyDescent="0.2">
      <c r="A1180" s="5" t="s">
        <v>1721</v>
      </c>
      <c r="B1180" s="5" t="s">
        <v>1714</v>
      </c>
      <c r="C1180" s="8">
        <v>297</v>
      </c>
      <c r="D1180" s="5" t="s">
        <v>155</v>
      </c>
      <c r="E1180" s="5"/>
      <c r="G1180" s="5"/>
      <c r="H1180" s="5"/>
    </row>
    <row r="1181" spans="1:8" x14ac:dyDescent="0.2">
      <c r="A1181" s="5" t="s">
        <v>1722</v>
      </c>
      <c r="B1181" s="5" t="s">
        <v>1716</v>
      </c>
      <c r="C1181" s="8">
        <v>100</v>
      </c>
      <c r="D1181" s="5" t="s">
        <v>42</v>
      </c>
      <c r="E1181" s="5"/>
      <c r="G1181" s="5"/>
      <c r="H1181" s="5"/>
    </row>
    <row r="1182" spans="1:8" x14ac:dyDescent="0.2">
      <c r="A1182" s="5" t="s">
        <v>1723</v>
      </c>
      <c r="B1182" s="5" t="s">
        <v>1718</v>
      </c>
      <c r="C1182" s="8">
        <v>80</v>
      </c>
      <c r="D1182" s="5" t="s">
        <v>155</v>
      </c>
      <c r="E1182" s="5"/>
      <c r="G1182" s="5"/>
      <c r="H1182" s="5"/>
    </row>
    <row r="1183" spans="1:8" x14ac:dyDescent="0.2">
      <c r="A1183" s="5" t="s">
        <v>1724</v>
      </c>
      <c r="B1183" s="5" t="s">
        <v>1725</v>
      </c>
      <c r="C1183" s="8">
        <v>8</v>
      </c>
      <c r="D1183" s="5" t="s">
        <v>42</v>
      </c>
      <c r="E1183" s="5"/>
      <c r="G1183" s="5"/>
      <c r="H1183" s="5"/>
    </row>
    <row r="1184" spans="1:8" x14ac:dyDescent="0.2">
      <c r="A1184" s="5"/>
      <c r="B1184" s="5" t="s">
        <v>1037</v>
      </c>
      <c r="C1184" s="5"/>
      <c r="D1184" s="5" t="s">
        <v>366</v>
      </c>
      <c r="E1184" s="5"/>
      <c r="G1184" s="5"/>
      <c r="H1184" s="5"/>
    </row>
    <row r="1185" spans="1:8" x14ac:dyDescent="0.2">
      <c r="A1185" s="5" t="s">
        <v>1726</v>
      </c>
      <c r="B1185" s="5" t="s">
        <v>1710</v>
      </c>
      <c r="C1185" s="8">
        <v>45</v>
      </c>
      <c r="D1185" s="5" t="s">
        <v>42</v>
      </c>
      <c r="E1185" s="5"/>
      <c r="G1185" s="5"/>
      <c r="H1185" s="5"/>
    </row>
    <row r="1186" spans="1:8" x14ac:dyDescent="0.2">
      <c r="A1186" s="5" t="s">
        <v>1727</v>
      </c>
      <c r="B1186" s="5" t="s">
        <v>1712</v>
      </c>
      <c r="C1186" s="8">
        <v>44</v>
      </c>
      <c r="D1186" s="5" t="s">
        <v>155</v>
      </c>
      <c r="E1186" s="5"/>
      <c r="G1186" s="5"/>
      <c r="H1186" s="5"/>
    </row>
    <row r="1187" spans="1:8" x14ac:dyDescent="0.2">
      <c r="A1187" s="5" t="s">
        <v>1728</v>
      </c>
      <c r="B1187" s="5" t="s">
        <v>1714</v>
      </c>
      <c r="C1187" s="8">
        <v>134</v>
      </c>
      <c r="D1187" s="5" t="s">
        <v>155</v>
      </c>
      <c r="E1187" s="5"/>
      <c r="G1187" s="5"/>
      <c r="H1187" s="5"/>
    </row>
    <row r="1188" spans="1:8" x14ac:dyDescent="0.2">
      <c r="A1188" s="5" t="s">
        <v>1729</v>
      </c>
      <c r="B1188" s="5" t="s">
        <v>1716</v>
      </c>
      <c r="C1188" s="8">
        <v>30</v>
      </c>
      <c r="D1188" s="5" t="s">
        <v>42</v>
      </c>
      <c r="E1188" s="5"/>
      <c r="G1188" s="5"/>
      <c r="H1188" s="5"/>
    </row>
    <row r="1189" spans="1:8" x14ac:dyDescent="0.2">
      <c r="A1189" s="5" t="s">
        <v>1730</v>
      </c>
      <c r="B1189" s="5" t="s">
        <v>1718</v>
      </c>
      <c r="C1189" s="8">
        <v>66</v>
      </c>
      <c r="D1189" s="5" t="s">
        <v>155</v>
      </c>
      <c r="E1189" s="5"/>
      <c r="G1189" s="5"/>
      <c r="H1189" s="5"/>
    </row>
    <row r="1190" spans="1:8" x14ac:dyDescent="0.2">
      <c r="A1190" s="5"/>
      <c r="B1190" s="5" t="s">
        <v>1731</v>
      </c>
      <c r="C1190" s="5"/>
      <c r="D1190" s="5" t="s">
        <v>15</v>
      </c>
      <c r="E1190" s="5"/>
      <c r="G1190" s="5"/>
      <c r="H1190" s="5"/>
    </row>
    <row r="1191" spans="1:8" x14ac:dyDescent="0.2">
      <c r="A1191" s="5"/>
      <c r="B1191" s="5" t="s">
        <v>1732</v>
      </c>
      <c r="C1191" s="5"/>
      <c r="D1191" s="5" t="s">
        <v>322</v>
      </c>
      <c r="E1191" s="5"/>
      <c r="G1191" s="5"/>
      <c r="H1191" s="5"/>
    </row>
    <row r="1192" spans="1:8" x14ac:dyDescent="0.2">
      <c r="A1192" s="5"/>
      <c r="B1192" s="5" t="s">
        <v>622</v>
      </c>
      <c r="C1192" s="5"/>
      <c r="D1192" s="5" t="s">
        <v>366</v>
      </c>
      <c r="E1192" s="5"/>
      <c r="G1192" s="5"/>
      <c r="H1192" s="5"/>
    </row>
    <row r="1193" spans="1:8" x14ac:dyDescent="0.2">
      <c r="A1193" s="5" t="s">
        <v>1733</v>
      </c>
      <c r="B1193" s="5" t="s">
        <v>1734</v>
      </c>
      <c r="C1193" s="8">
        <v>185</v>
      </c>
      <c r="D1193" s="5" t="s">
        <v>42</v>
      </c>
      <c r="E1193" s="5"/>
      <c r="G1193" s="5"/>
      <c r="H1193" s="5"/>
    </row>
    <row r="1194" spans="1:8" x14ac:dyDescent="0.2">
      <c r="A1194" s="5" t="s">
        <v>1735</v>
      </c>
      <c r="B1194" s="5" t="s">
        <v>1736</v>
      </c>
      <c r="C1194" s="8">
        <v>162</v>
      </c>
      <c r="D1194" s="5" t="s">
        <v>42</v>
      </c>
      <c r="E1194" s="5"/>
      <c r="G1194" s="5"/>
      <c r="H1194" s="5"/>
    </row>
    <row r="1195" spans="1:8" x14ac:dyDescent="0.2">
      <c r="A1195" s="5"/>
      <c r="B1195" s="5" t="s">
        <v>1737</v>
      </c>
      <c r="C1195" s="5"/>
      <c r="D1195" s="5" t="s">
        <v>322</v>
      </c>
      <c r="E1195" s="5"/>
      <c r="G1195" s="5"/>
      <c r="H1195" s="5"/>
    </row>
    <row r="1196" spans="1:8" x14ac:dyDescent="0.2">
      <c r="A1196" s="5"/>
      <c r="B1196" s="5" t="s">
        <v>622</v>
      </c>
      <c r="C1196" s="5"/>
      <c r="D1196" s="5" t="s">
        <v>366</v>
      </c>
      <c r="E1196" s="5"/>
      <c r="G1196" s="5"/>
      <c r="H1196" s="5"/>
    </row>
    <row r="1197" spans="1:8" x14ac:dyDescent="0.2">
      <c r="A1197" s="5" t="s">
        <v>1738</v>
      </c>
      <c r="B1197" s="5" t="s">
        <v>1739</v>
      </c>
      <c r="C1197" s="8">
        <v>168</v>
      </c>
      <c r="D1197" s="5" t="s">
        <v>42</v>
      </c>
      <c r="E1197" s="5"/>
      <c r="G1197" s="5"/>
      <c r="H1197" s="5"/>
    </row>
    <row r="1198" spans="1:8" x14ac:dyDescent="0.2">
      <c r="A1198" s="5"/>
      <c r="B1198" s="5" t="s">
        <v>1740</v>
      </c>
      <c r="C1198" s="5"/>
      <c r="D1198" s="5" t="s">
        <v>322</v>
      </c>
      <c r="E1198" s="5"/>
      <c r="G1198" s="5"/>
      <c r="H1198" s="5"/>
    </row>
    <row r="1199" spans="1:8" x14ac:dyDescent="0.2">
      <c r="A1199" s="5"/>
      <c r="B1199" s="5" t="s">
        <v>622</v>
      </c>
      <c r="C1199" s="5"/>
      <c r="D1199" s="5" t="s">
        <v>366</v>
      </c>
      <c r="E1199" s="5"/>
      <c r="G1199" s="5"/>
      <c r="H1199" s="5"/>
    </row>
    <row r="1200" spans="1:8" x14ac:dyDescent="0.2">
      <c r="A1200" s="5" t="s">
        <v>1741</v>
      </c>
      <c r="B1200" s="5" t="s">
        <v>1742</v>
      </c>
      <c r="C1200" s="8">
        <v>24</v>
      </c>
      <c r="D1200" s="5" t="s">
        <v>42</v>
      </c>
      <c r="E1200" s="5"/>
      <c r="G1200" s="5"/>
      <c r="H1200" s="5"/>
    </row>
    <row r="1201" spans="1:8" x14ac:dyDescent="0.2">
      <c r="A1201" s="5"/>
      <c r="B1201" s="5" t="s">
        <v>1743</v>
      </c>
      <c r="C1201" s="5"/>
      <c r="D1201" s="5" t="s">
        <v>322</v>
      </c>
      <c r="E1201" s="5"/>
      <c r="G1201" s="5"/>
      <c r="H1201" s="5"/>
    </row>
    <row r="1202" spans="1:8" x14ac:dyDescent="0.2">
      <c r="A1202" s="5"/>
      <c r="B1202" s="5" t="s">
        <v>653</v>
      </c>
      <c r="C1202" s="5"/>
      <c r="D1202" s="5" t="s">
        <v>366</v>
      </c>
      <c r="E1202" s="5"/>
      <c r="G1202" s="5"/>
      <c r="H1202" s="5"/>
    </row>
    <row r="1203" spans="1:8" x14ac:dyDescent="0.2">
      <c r="A1203" s="5" t="s">
        <v>1744</v>
      </c>
      <c r="B1203" s="5" t="s">
        <v>1745</v>
      </c>
      <c r="C1203" s="8">
        <v>180</v>
      </c>
      <c r="D1203" s="5" t="s">
        <v>155</v>
      </c>
      <c r="E1203" s="5"/>
      <c r="G1203" s="5"/>
      <c r="H1203" s="5"/>
    </row>
    <row r="1204" spans="1:8" x14ac:dyDescent="0.2">
      <c r="A1204" s="5"/>
      <c r="B1204" s="5" t="s">
        <v>669</v>
      </c>
      <c r="C1204" s="5"/>
      <c r="D1204" s="5" t="s">
        <v>322</v>
      </c>
      <c r="E1204" s="5"/>
      <c r="G1204" s="5"/>
      <c r="H1204" s="5"/>
    </row>
    <row r="1205" spans="1:8" x14ac:dyDescent="0.2">
      <c r="A1205" s="5"/>
      <c r="B1205" s="5" t="s">
        <v>622</v>
      </c>
      <c r="C1205" s="5"/>
      <c r="D1205" s="5" t="s">
        <v>366</v>
      </c>
      <c r="E1205" s="5"/>
      <c r="G1205" s="5"/>
      <c r="H1205" s="5"/>
    </row>
    <row r="1206" spans="1:8" x14ac:dyDescent="0.2">
      <c r="A1206" s="5" t="s">
        <v>1746</v>
      </c>
      <c r="B1206" s="5" t="s">
        <v>1747</v>
      </c>
      <c r="C1206" s="8">
        <v>34</v>
      </c>
      <c r="D1206" s="5" t="s">
        <v>42</v>
      </c>
      <c r="E1206" s="5"/>
      <c r="G1206" s="5"/>
      <c r="H1206" s="5"/>
    </row>
    <row r="1207" spans="1:8" x14ac:dyDescent="0.2">
      <c r="A1207" s="5" t="s">
        <v>1748</v>
      </c>
      <c r="B1207" s="5" t="s">
        <v>1749</v>
      </c>
      <c r="C1207" s="8">
        <v>12</v>
      </c>
      <c r="D1207" s="5" t="s">
        <v>42</v>
      </c>
      <c r="E1207" s="5"/>
      <c r="G1207" s="5"/>
      <c r="H1207" s="5"/>
    </row>
    <row r="1208" spans="1:8" x14ac:dyDescent="0.2">
      <c r="A1208" s="5"/>
      <c r="B1208" s="5" t="s">
        <v>1750</v>
      </c>
      <c r="C1208" s="5"/>
      <c r="D1208" s="5" t="s">
        <v>15</v>
      </c>
      <c r="E1208" s="5"/>
      <c r="G1208" s="5"/>
      <c r="H1208" s="5"/>
    </row>
    <row r="1209" spans="1:8" x14ac:dyDescent="0.2">
      <c r="A1209" s="5"/>
      <c r="B1209" s="5" t="s">
        <v>1751</v>
      </c>
      <c r="C1209" s="5"/>
      <c r="D1209" s="5" t="s">
        <v>322</v>
      </c>
      <c r="E1209" s="5"/>
      <c r="G1209" s="5"/>
      <c r="H1209" s="5"/>
    </row>
    <row r="1210" spans="1:8" x14ac:dyDescent="0.2">
      <c r="A1210" s="5"/>
      <c r="B1210" s="5" t="s">
        <v>622</v>
      </c>
      <c r="C1210" s="5"/>
      <c r="D1210" s="5" t="s">
        <v>366</v>
      </c>
      <c r="E1210" s="5"/>
      <c r="G1210" s="5"/>
      <c r="H1210" s="5"/>
    </row>
    <row r="1211" spans="1:8" x14ac:dyDescent="0.2">
      <c r="A1211" s="5" t="s">
        <v>1752</v>
      </c>
      <c r="B1211" s="5" t="s">
        <v>1753</v>
      </c>
      <c r="C1211" s="8">
        <v>70</v>
      </c>
      <c r="D1211" s="5" t="s">
        <v>42</v>
      </c>
      <c r="E1211" s="5"/>
      <c r="G1211" s="5"/>
      <c r="H1211" s="5"/>
    </row>
    <row r="1212" spans="1:8" x14ac:dyDescent="0.2">
      <c r="A1212" s="5" t="s">
        <v>1754</v>
      </c>
      <c r="B1212" s="5" t="s">
        <v>1755</v>
      </c>
      <c r="C1212" s="8">
        <v>52</v>
      </c>
      <c r="D1212" s="5" t="s">
        <v>42</v>
      </c>
      <c r="E1212" s="5"/>
      <c r="G1212" s="5"/>
      <c r="H1212" s="5"/>
    </row>
    <row r="1213" spans="1:8" x14ac:dyDescent="0.2">
      <c r="A1213" s="5"/>
      <c r="B1213" s="5" t="s">
        <v>1740</v>
      </c>
      <c r="C1213" s="5"/>
      <c r="D1213" s="5" t="s">
        <v>322</v>
      </c>
      <c r="E1213" s="5"/>
      <c r="G1213" s="5"/>
      <c r="H1213" s="5"/>
    </row>
    <row r="1214" spans="1:8" x14ac:dyDescent="0.2">
      <c r="A1214" s="5"/>
      <c r="B1214" s="5" t="s">
        <v>622</v>
      </c>
      <c r="C1214" s="5"/>
      <c r="D1214" s="5" t="s">
        <v>366</v>
      </c>
      <c r="E1214" s="5"/>
      <c r="G1214" s="5"/>
      <c r="H1214" s="5"/>
    </row>
    <row r="1215" spans="1:8" x14ac:dyDescent="0.2">
      <c r="A1215" s="5" t="s">
        <v>1756</v>
      </c>
      <c r="B1215" s="5" t="s">
        <v>1757</v>
      </c>
      <c r="C1215" s="8">
        <v>48</v>
      </c>
      <c r="D1215" s="5" t="s">
        <v>42</v>
      </c>
      <c r="E1215" s="5"/>
      <c r="G1215" s="5"/>
      <c r="H1215" s="5"/>
    </row>
    <row r="1216" spans="1:8" x14ac:dyDescent="0.2">
      <c r="A1216" s="5"/>
      <c r="B1216" s="5" t="s">
        <v>1737</v>
      </c>
      <c r="C1216" s="5"/>
      <c r="D1216" s="5" t="s">
        <v>322</v>
      </c>
      <c r="E1216" s="5"/>
      <c r="G1216" s="5"/>
      <c r="H1216" s="5"/>
    </row>
    <row r="1217" spans="1:8" x14ac:dyDescent="0.2">
      <c r="A1217" s="5"/>
      <c r="B1217" s="5" t="s">
        <v>622</v>
      </c>
      <c r="C1217" s="5"/>
      <c r="D1217" s="5" t="s">
        <v>366</v>
      </c>
      <c r="E1217" s="5"/>
      <c r="G1217" s="5"/>
      <c r="H1217" s="5"/>
    </row>
    <row r="1218" spans="1:8" x14ac:dyDescent="0.2">
      <c r="A1218" s="5" t="s">
        <v>1758</v>
      </c>
      <c r="B1218" s="5" t="s">
        <v>1757</v>
      </c>
      <c r="C1218" s="8">
        <v>107</v>
      </c>
      <c r="D1218" s="5" t="s">
        <v>42</v>
      </c>
      <c r="E1218" s="5"/>
      <c r="G1218" s="5"/>
      <c r="H1218" s="5"/>
    </row>
    <row r="1219" spans="1:8" x14ac:dyDescent="0.2">
      <c r="A1219" s="5"/>
      <c r="B1219" s="5" t="s">
        <v>1743</v>
      </c>
      <c r="C1219" s="5"/>
      <c r="D1219" s="5" t="s">
        <v>322</v>
      </c>
      <c r="E1219" s="5"/>
      <c r="G1219" s="5"/>
      <c r="H1219" s="5"/>
    </row>
    <row r="1220" spans="1:8" x14ac:dyDescent="0.2">
      <c r="A1220" s="5"/>
      <c r="B1220" s="5" t="s">
        <v>653</v>
      </c>
      <c r="C1220" s="5"/>
      <c r="D1220" s="5" t="s">
        <v>366</v>
      </c>
      <c r="E1220" s="5"/>
      <c r="G1220" s="5"/>
      <c r="H1220" s="5"/>
    </row>
    <row r="1221" spans="1:8" x14ac:dyDescent="0.2">
      <c r="A1221" s="5" t="s">
        <v>1759</v>
      </c>
      <c r="B1221" s="5" t="s">
        <v>1757</v>
      </c>
      <c r="C1221" s="8">
        <v>649</v>
      </c>
      <c r="D1221" s="5" t="s">
        <v>42</v>
      </c>
      <c r="E1221" s="5"/>
      <c r="G1221" s="5"/>
      <c r="H1221" s="5"/>
    </row>
    <row r="1222" spans="1:8" x14ac:dyDescent="0.2">
      <c r="A1222" s="5"/>
      <c r="B1222" s="5" t="s">
        <v>53</v>
      </c>
      <c r="C1222" s="5"/>
      <c r="D1222" s="5" t="s">
        <v>13</v>
      </c>
      <c r="E1222" s="5"/>
      <c r="G1222" s="5"/>
      <c r="H1222" s="5"/>
    </row>
    <row r="1223" spans="1:8" x14ac:dyDescent="0.2">
      <c r="A1223" s="5"/>
      <c r="B1223" s="5" t="s">
        <v>1435</v>
      </c>
      <c r="C1223" s="5"/>
      <c r="D1223" s="5" t="s">
        <v>15</v>
      </c>
      <c r="E1223" s="5"/>
      <c r="G1223" s="5"/>
      <c r="H1223" s="5"/>
    </row>
    <row r="1224" spans="1:8" x14ac:dyDescent="0.2">
      <c r="A1224" s="5"/>
      <c r="B1224" s="5" t="s">
        <v>1436</v>
      </c>
      <c r="C1224" s="5"/>
      <c r="D1224" s="5" t="s">
        <v>322</v>
      </c>
      <c r="E1224" s="5"/>
      <c r="G1224" s="5"/>
      <c r="H1224" s="5"/>
    </row>
    <row r="1225" spans="1:8" x14ac:dyDescent="0.2">
      <c r="A1225" s="5"/>
      <c r="B1225" s="5" t="s">
        <v>651</v>
      </c>
      <c r="C1225" s="5"/>
      <c r="D1225" s="5" t="s">
        <v>366</v>
      </c>
      <c r="E1225" s="5"/>
      <c r="G1225" s="5"/>
      <c r="H1225" s="5"/>
    </row>
    <row r="1226" spans="1:8" x14ac:dyDescent="0.2">
      <c r="A1226" s="5" t="s">
        <v>1760</v>
      </c>
      <c r="B1226" s="5" t="s">
        <v>1081</v>
      </c>
      <c r="C1226" s="5"/>
      <c r="D1226" s="5" t="s">
        <v>654</v>
      </c>
      <c r="E1226" s="5"/>
      <c r="G1226" s="5"/>
      <c r="H1226" s="5"/>
    </row>
    <row r="1227" spans="1:8" x14ac:dyDescent="0.2">
      <c r="A1227" s="5" t="s">
        <v>1761</v>
      </c>
      <c r="B1227" s="5" t="s">
        <v>1762</v>
      </c>
      <c r="C1227" s="8">
        <v>23</v>
      </c>
      <c r="D1227" s="5" t="s">
        <v>42</v>
      </c>
      <c r="E1227" s="5"/>
      <c r="G1227" s="5"/>
      <c r="H1227" s="5"/>
    </row>
    <row r="1228" spans="1:8" x14ac:dyDescent="0.2">
      <c r="A1228" s="5" t="s">
        <v>1763</v>
      </c>
      <c r="B1228" s="5" t="s">
        <v>1102</v>
      </c>
      <c r="C1228" s="5"/>
      <c r="D1228" s="5" t="s">
        <v>654</v>
      </c>
      <c r="E1228" s="5"/>
      <c r="G1228" s="5"/>
      <c r="H1228" s="5"/>
    </row>
    <row r="1229" spans="1:8" x14ac:dyDescent="0.2">
      <c r="A1229" s="5" t="s">
        <v>1764</v>
      </c>
      <c r="B1229" s="5" t="s">
        <v>1762</v>
      </c>
      <c r="C1229" s="8">
        <v>231</v>
      </c>
      <c r="D1229" s="5" t="s">
        <v>42</v>
      </c>
      <c r="E1229" s="5"/>
      <c r="G1229" s="5"/>
      <c r="H1229" s="5"/>
    </row>
    <row r="1230" spans="1:8" x14ac:dyDescent="0.2">
      <c r="A1230" s="5" t="s">
        <v>1765</v>
      </c>
      <c r="B1230" s="5" t="s">
        <v>1106</v>
      </c>
      <c r="C1230" s="5"/>
      <c r="D1230" s="5" t="s">
        <v>654</v>
      </c>
      <c r="E1230" s="5"/>
      <c r="G1230" s="5"/>
      <c r="H1230" s="5"/>
    </row>
    <row r="1231" spans="1:8" x14ac:dyDescent="0.2">
      <c r="A1231" s="5" t="s">
        <v>1766</v>
      </c>
      <c r="B1231" s="5" t="s">
        <v>1767</v>
      </c>
      <c r="C1231" s="8">
        <v>18</v>
      </c>
      <c r="D1231" s="5" t="s">
        <v>42</v>
      </c>
      <c r="E1231" s="5"/>
      <c r="G1231" s="5"/>
      <c r="H1231" s="5"/>
    </row>
    <row r="1232" spans="1:8" x14ac:dyDescent="0.2">
      <c r="A1232" s="5" t="s">
        <v>1768</v>
      </c>
      <c r="B1232" s="5" t="s">
        <v>1110</v>
      </c>
      <c r="C1232" s="5"/>
      <c r="D1232" s="5" t="s">
        <v>654</v>
      </c>
      <c r="E1232" s="5"/>
      <c r="G1232" s="5"/>
      <c r="H1232" s="5"/>
    </row>
    <row r="1233" spans="1:8" x14ac:dyDescent="0.2">
      <c r="A1233" s="5" t="s">
        <v>1769</v>
      </c>
      <c r="B1233" s="5" t="s">
        <v>1770</v>
      </c>
      <c r="C1233" s="8">
        <v>54</v>
      </c>
      <c r="D1233" s="5" t="s">
        <v>42</v>
      </c>
      <c r="E1233" s="5"/>
      <c r="G1233" s="5"/>
      <c r="H1233" s="5"/>
    </row>
    <row r="1234" spans="1:8" x14ac:dyDescent="0.2">
      <c r="A1234" s="5" t="s">
        <v>1771</v>
      </c>
      <c r="B1234" s="5" t="s">
        <v>1442</v>
      </c>
      <c r="C1234" s="8">
        <v>129</v>
      </c>
      <c r="D1234" s="5" t="s">
        <v>42</v>
      </c>
      <c r="E1234" s="5"/>
      <c r="G1234" s="5"/>
      <c r="H1234" s="5"/>
    </row>
    <row r="1235" spans="1:8" x14ac:dyDescent="0.2">
      <c r="A1235" s="5" t="s">
        <v>1772</v>
      </c>
      <c r="B1235" s="5" t="s">
        <v>1773</v>
      </c>
      <c r="C1235" s="8">
        <v>8</v>
      </c>
      <c r="D1235" s="5" t="s">
        <v>42</v>
      </c>
      <c r="E1235" s="5"/>
      <c r="G1235" s="5"/>
      <c r="H1235" s="5"/>
    </row>
    <row r="1236" spans="1:8" x14ac:dyDescent="0.2">
      <c r="A1236" s="5"/>
      <c r="B1236" s="5" t="s">
        <v>669</v>
      </c>
      <c r="C1236" s="5"/>
      <c r="D1236" s="5" t="s">
        <v>366</v>
      </c>
      <c r="E1236" s="5"/>
      <c r="G1236" s="5"/>
      <c r="H1236" s="5"/>
    </row>
    <row r="1237" spans="1:8" x14ac:dyDescent="0.2">
      <c r="A1237" s="5" t="s">
        <v>1774</v>
      </c>
      <c r="B1237" s="5" t="s">
        <v>1102</v>
      </c>
      <c r="C1237" s="5"/>
      <c r="D1237" s="5" t="s">
        <v>654</v>
      </c>
      <c r="E1237" s="5"/>
      <c r="G1237" s="5"/>
      <c r="H1237" s="5"/>
    </row>
    <row r="1238" spans="1:8" x14ac:dyDescent="0.2">
      <c r="A1238" s="5" t="s">
        <v>1775</v>
      </c>
      <c r="B1238" s="5" t="s">
        <v>1454</v>
      </c>
      <c r="C1238" s="8">
        <v>105</v>
      </c>
      <c r="D1238" s="5" t="s">
        <v>42</v>
      </c>
      <c r="E1238" s="5"/>
      <c r="G1238" s="5"/>
      <c r="H1238" s="5"/>
    </row>
    <row r="1239" spans="1:8" x14ac:dyDescent="0.2">
      <c r="A1239" s="5" t="s">
        <v>1776</v>
      </c>
      <c r="B1239" s="5" t="s">
        <v>1458</v>
      </c>
      <c r="C1239" s="8">
        <v>51</v>
      </c>
      <c r="D1239" s="5" t="s">
        <v>42</v>
      </c>
      <c r="E1239" s="5"/>
      <c r="G1239" s="5"/>
      <c r="H1239" s="5"/>
    </row>
    <row r="1240" spans="1:8" x14ac:dyDescent="0.2">
      <c r="A1240" s="5" t="s">
        <v>1777</v>
      </c>
      <c r="B1240" s="5" t="s">
        <v>1462</v>
      </c>
      <c r="C1240" s="8">
        <v>263</v>
      </c>
      <c r="D1240" s="5" t="s">
        <v>42</v>
      </c>
      <c r="E1240" s="5"/>
      <c r="G1240" s="5"/>
      <c r="H1240" s="5"/>
    </row>
    <row r="1241" spans="1:8" x14ac:dyDescent="0.2">
      <c r="A1241" s="5" t="s">
        <v>1778</v>
      </c>
      <c r="B1241" s="5" t="s">
        <v>1779</v>
      </c>
      <c r="C1241" s="8">
        <v>53</v>
      </c>
      <c r="D1241" s="5" t="s">
        <v>42</v>
      </c>
      <c r="E1241" s="5"/>
      <c r="G1241" s="5"/>
      <c r="H1241" s="5"/>
    </row>
    <row r="1242" spans="1:8" x14ac:dyDescent="0.2">
      <c r="A1242" s="5" t="s">
        <v>1780</v>
      </c>
      <c r="B1242" s="5" t="s">
        <v>1106</v>
      </c>
      <c r="C1242" s="5"/>
      <c r="D1242" s="5" t="s">
        <v>654</v>
      </c>
      <c r="E1242" s="5"/>
      <c r="G1242" s="5"/>
      <c r="H1242" s="5"/>
    </row>
    <row r="1243" spans="1:8" x14ac:dyDescent="0.2">
      <c r="A1243" s="5" t="s">
        <v>1781</v>
      </c>
      <c r="B1243" s="5" t="s">
        <v>1454</v>
      </c>
      <c r="C1243" s="8">
        <v>82</v>
      </c>
      <c r="D1243" s="5" t="s">
        <v>42</v>
      </c>
      <c r="E1243" s="5"/>
      <c r="G1243" s="5"/>
      <c r="H1243" s="5"/>
    </row>
    <row r="1244" spans="1:8" x14ac:dyDescent="0.2">
      <c r="A1244" s="5" t="s">
        <v>1782</v>
      </c>
      <c r="B1244" s="5" t="s">
        <v>1779</v>
      </c>
      <c r="C1244" s="8">
        <v>38</v>
      </c>
      <c r="D1244" s="5" t="s">
        <v>42</v>
      </c>
      <c r="E1244" s="5"/>
      <c r="G1244" s="5"/>
      <c r="H1244" s="5"/>
    </row>
    <row r="1245" spans="1:8" x14ac:dyDescent="0.2">
      <c r="A1245" s="5" t="s">
        <v>1783</v>
      </c>
      <c r="B1245" s="5" t="s">
        <v>1131</v>
      </c>
      <c r="C1245" s="5"/>
      <c r="D1245" s="5" t="s">
        <v>654</v>
      </c>
      <c r="E1245" s="5"/>
      <c r="G1245" s="5"/>
      <c r="H1245" s="5"/>
    </row>
    <row r="1246" spans="1:8" x14ac:dyDescent="0.2">
      <c r="A1246" s="5" t="s">
        <v>1784</v>
      </c>
      <c r="B1246" s="5" t="s">
        <v>1454</v>
      </c>
      <c r="C1246" s="8">
        <v>77</v>
      </c>
      <c r="D1246" s="5" t="s">
        <v>42</v>
      </c>
      <c r="E1246" s="5"/>
      <c r="G1246" s="5"/>
      <c r="H1246" s="5"/>
    </row>
    <row r="1247" spans="1:8" x14ac:dyDescent="0.2">
      <c r="A1247" s="5" t="s">
        <v>1785</v>
      </c>
      <c r="B1247" s="5" t="s">
        <v>1779</v>
      </c>
      <c r="C1247" s="8">
        <v>50</v>
      </c>
      <c r="D1247" s="5" t="s">
        <v>42</v>
      </c>
      <c r="E1247" s="5"/>
      <c r="G1247" s="5"/>
      <c r="H1247" s="5"/>
    </row>
    <row r="1248" spans="1:8" x14ac:dyDescent="0.2">
      <c r="A1248" s="5" t="s">
        <v>1786</v>
      </c>
      <c r="B1248" s="5" t="s">
        <v>1110</v>
      </c>
      <c r="C1248" s="5"/>
      <c r="D1248" s="5" t="s">
        <v>654</v>
      </c>
      <c r="E1248" s="5"/>
      <c r="G1248" s="5"/>
      <c r="H1248" s="5"/>
    </row>
    <row r="1249" spans="1:8" x14ac:dyDescent="0.2">
      <c r="A1249" s="5" t="s">
        <v>1787</v>
      </c>
      <c r="B1249" s="5" t="s">
        <v>1454</v>
      </c>
      <c r="C1249" s="8">
        <v>84</v>
      </c>
      <c r="D1249" s="5" t="s">
        <v>42</v>
      </c>
      <c r="E1249" s="5"/>
      <c r="G1249" s="5"/>
      <c r="H1249" s="5"/>
    </row>
    <row r="1250" spans="1:8" x14ac:dyDescent="0.2">
      <c r="A1250" s="5"/>
      <c r="B1250" s="5" t="s">
        <v>1483</v>
      </c>
      <c r="C1250" s="5"/>
      <c r="D1250" s="5" t="s">
        <v>322</v>
      </c>
      <c r="E1250" s="5"/>
      <c r="G1250" s="5"/>
      <c r="H1250" s="5"/>
    </row>
    <row r="1251" spans="1:8" x14ac:dyDescent="0.2">
      <c r="A1251" s="5"/>
      <c r="B1251" s="5" t="s">
        <v>1102</v>
      </c>
      <c r="C1251" s="5"/>
      <c r="D1251" s="5" t="s">
        <v>366</v>
      </c>
      <c r="E1251" s="5"/>
      <c r="G1251" s="5"/>
      <c r="H1251" s="5"/>
    </row>
    <row r="1252" spans="1:8" x14ac:dyDescent="0.2">
      <c r="A1252" s="5" t="s">
        <v>1788</v>
      </c>
      <c r="B1252" s="5" t="s">
        <v>1789</v>
      </c>
      <c r="C1252" s="8">
        <v>9</v>
      </c>
      <c r="D1252" s="5" t="s">
        <v>42</v>
      </c>
      <c r="E1252" s="5"/>
      <c r="G1252" s="5"/>
      <c r="H1252" s="5"/>
    </row>
    <row r="1253" spans="1:8" x14ac:dyDescent="0.2">
      <c r="A1253" s="5" t="s">
        <v>1790</v>
      </c>
      <c r="B1253" s="5" t="s">
        <v>1791</v>
      </c>
      <c r="C1253" s="8">
        <v>10</v>
      </c>
      <c r="D1253" s="5" t="s">
        <v>42</v>
      </c>
      <c r="E1253" s="5"/>
      <c r="G1253" s="5"/>
      <c r="H1253" s="5"/>
    </row>
    <row r="1254" spans="1:8" x14ac:dyDescent="0.2">
      <c r="A1254" s="5" t="s">
        <v>1792</v>
      </c>
      <c r="B1254" s="5" t="s">
        <v>1793</v>
      </c>
      <c r="C1254" s="8">
        <v>10</v>
      </c>
      <c r="D1254" s="5" t="s">
        <v>42</v>
      </c>
      <c r="E1254" s="5"/>
      <c r="G1254" s="5"/>
      <c r="H1254" s="5"/>
    </row>
    <row r="1255" spans="1:8" x14ac:dyDescent="0.2">
      <c r="A1255" s="5" t="s">
        <v>1794</v>
      </c>
      <c r="B1255" s="5" t="s">
        <v>1795</v>
      </c>
      <c r="C1255" s="8">
        <v>7</v>
      </c>
      <c r="D1255" s="5" t="s">
        <v>42</v>
      </c>
      <c r="E1255" s="5"/>
      <c r="G1255" s="5"/>
      <c r="H1255" s="5"/>
    </row>
    <row r="1256" spans="1:8" x14ac:dyDescent="0.2">
      <c r="A1256" s="5" t="s">
        <v>1796</v>
      </c>
      <c r="B1256" s="5" t="s">
        <v>1797</v>
      </c>
      <c r="C1256" s="8">
        <v>9</v>
      </c>
      <c r="D1256" s="5" t="s">
        <v>42</v>
      </c>
      <c r="E1256" s="5"/>
      <c r="G1256" s="5"/>
      <c r="H1256" s="5"/>
    </row>
    <row r="1257" spans="1:8" x14ac:dyDescent="0.2">
      <c r="A1257" s="5" t="s">
        <v>1798</v>
      </c>
      <c r="B1257" s="5" t="s">
        <v>1799</v>
      </c>
      <c r="C1257" s="8">
        <v>7</v>
      </c>
      <c r="D1257" s="5" t="s">
        <v>42</v>
      </c>
      <c r="E1257" s="5"/>
      <c r="G1257" s="5"/>
      <c r="H1257" s="5"/>
    </row>
    <row r="1258" spans="1:8" x14ac:dyDescent="0.2">
      <c r="A1258" s="5" t="s">
        <v>1800</v>
      </c>
      <c r="B1258" s="5" t="s">
        <v>1801</v>
      </c>
      <c r="C1258" s="8">
        <v>7</v>
      </c>
      <c r="D1258" s="5" t="s">
        <v>42</v>
      </c>
      <c r="E1258" s="5"/>
      <c r="G1258" s="5"/>
      <c r="H1258" s="5"/>
    </row>
    <row r="1259" spans="1:8" x14ac:dyDescent="0.2">
      <c r="A1259" s="5" t="s">
        <v>1802</v>
      </c>
      <c r="B1259" s="5" t="s">
        <v>1803</v>
      </c>
      <c r="C1259" s="8">
        <v>9</v>
      </c>
      <c r="D1259" s="5" t="s">
        <v>42</v>
      </c>
      <c r="E1259" s="5"/>
      <c r="G1259" s="5"/>
      <c r="H1259" s="5"/>
    </row>
    <row r="1260" spans="1:8" x14ac:dyDescent="0.2">
      <c r="A1260" s="5" t="s">
        <v>1804</v>
      </c>
      <c r="B1260" s="5" t="s">
        <v>1805</v>
      </c>
      <c r="C1260" s="8">
        <v>7</v>
      </c>
      <c r="D1260" s="5" t="s">
        <v>42</v>
      </c>
      <c r="E1260" s="5"/>
      <c r="G1260" s="5"/>
      <c r="H1260" s="5"/>
    </row>
    <row r="1261" spans="1:8" x14ac:dyDescent="0.2">
      <c r="A1261" s="5" t="s">
        <v>1806</v>
      </c>
      <c r="B1261" s="5" t="s">
        <v>1807</v>
      </c>
      <c r="C1261" s="8">
        <v>8</v>
      </c>
      <c r="D1261" s="5" t="s">
        <v>42</v>
      </c>
      <c r="E1261" s="5"/>
      <c r="G1261" s="5"/>
      <c r="H1261" s="5"/>
    </row>
    <row r="1262" spans="1:8" x14ac:dyDescent="0.2">
      <c r="A1262" s="5" t="s">
        <v>1808</v>
      </c>
      <c r="B1262" s="5" t="s">
        <v>1809</v>
      </c>
      <c r="C1262" s="8">
        <v>6</v>
      </c>
      <c r="D1262" s="5" t="s">
        <v>42</v>
      </c>
      <c r="E1262" s="5"/>
      <c r="G1262" s="5"/>
      <c r="H1262" s="5"/>
    </row>
    <row r="1263" spans="1:8" x14ac:dyDescent="0.2">
      <c r="A1263" s="5" t="s">
        <v>1810</v>
      </c>
      <c r="B1263" s="5" t="s">
        <v>1811</v>
      </c>
      <c r="C1263" s="8">
        <v>7</v>
      </c>
      <c r="D1263" s="5" t="s">
        <v>42</v>
      </c>
      <c r="E1263" s="5"/>
      <c r="G1263" s="5"/>
      <c r="H1263" s="5"/>
    </row>
    <row r="1264" spans="1:8" x14ac:dyDescent="0.2">
      <c r="A1264" s="5" t="s">
        <v>1812</v>
      </c>
      <c r="B1264" s="5" t="s">
        <v>1813</v>
      </c>
      <c r="C1264" s="8">
        <v>8</v>
      </c>
      <c r="D1264" s="5" t="s">
        <v>42</v>
      </c>
      <c r="E1264" s="5"/>
      <c r="G1264" s="5"/>
      <c r="H1264" s="5"/>
    </row>
    <row r="1265" spans="1:8" x14ac:dyDescent="0.2">
      <c r="A1265" s="5" t="s">
        <v>1814</v>
      </c>
      <c r="B1265" s="5" t="s">
        <v>1815</v>
      </c>
      <c r="C1265" s="8">
        <v>7</v>
      </c>
      <c r="D1265" s="5" t="s">
        <v>42</v>
      </c>
      <c r="E1265" s="5"/>
      <c r="G1265" s="5"/>
      <c r="H1265" s="5"/>
    </row>
    <row r="1266" spans="1:8" x14ac:dyDescent="0.2">
      <c r="A1266" s="5" t="s">
        <v>1816</v>
      </c>
      <c r="B1266" s="5" t="s">
        <v>1817</v>
      </c>
      <c r="C1266" s="8">
        <v>7</v>
      </c>
      <c r="D1266" s="5" t="s">
        <v>42</v>
      </c>
      <c r="E1266" s="5"/>
      <c r="G1266" s="5"/>
      <c r="H1266" s="5"/>
    </row>
    <row r="1267" spans="1:8" x14ac:dyDescent="0.2">
      <c r="A1267" s="5" t="s">
        <v>1818</v>
      </c>
      <c r="B1267" s="5" t="s">
        <v>1819</v>
      </c>
      <c r="C1267" s="8">
        <v>8</v>
      </c>
      <c r="D1267" s="5" t="s">
        <v>42</v>
      </c>
      <c r="E1267" s="5"/>
      <c r="G1267" s="5"/>
      <c r="H1267" s="5"/>
    </row>
    <row r="1268" spans="1:8" x14ac:dyDescent="0.2">
      <c r="A1268" s="5" t="s">
        <v>1820</v>
      </c>
      <c r="B1268" s="5" t="s">
        <v>1821</v>
      </c>
      <c r="C1268" s="8">
        <v>8</v>
      </c>
      <c r="D1268" s="5" t="s">
        <v>42</v>
      </c>
      <c r="E1268" s="5"/>
      <c r="G1268" s="5"/>
      <c r="H1268" s="5"/>
    </row>
    <row r="1269" spans="1:8" x14ac:dyDescent="0.2">
      <c r="A1269" s="5" t="s">
        <v>1822</v>
      </c>
      <c r="B1269" s="5" t="s">
        <v>1823</v>
      </c>
      <c r="C1269" s="8">
        <v>7</v>
      </c>
      <c r="D1269" s="5" t="s">
        <v>42</v>
      </c>
      <c r="E1269" s="5"/>
      <c r="G1269" s="5"/>
      <c r="H1269" s="5"/>
    </row>
    <row r="1270" spans="1:8" x14ac:dyDescent="0.2">
      <c r="A1270" s="5" t="s">
        <v>1824</v>
      </c>
      <c r="B1270" s="5" t="s">
        <v>1825</v>
      </c>
      <c r="C1270" s="8">
        <v>7</v>
      </c>
      <c r="D1270" s="5" t="s">
        <v>42</v>
      </c>
      <c r="E1270" s="5"/>
      <c r="G1270" s="5"/>
      <c r="H1270" s="5"/>
    </row>
    <row r="1271" spans="1:8" x14ac:dyDescent="0.2">
      <c r="A1271" s="5" t="s">
        <v>1826</v>
      </c>
      <c r="B1271" s="5" t="s">
        <v>1827</v>
      </c>
      <c r="C1271" s="8">
        <v>6</v>
      </c>
      <c r="D1271" s="5" t="s">
        <v>42</v>
      </c>
      <c r="E1271" s="5"/>
      <c r="G1271" s="5"/>
      <c r="H1271" s="5"/>
    </row>
    <row r="1272" spans="1:8" x14ac:dyDescent="0.2">
      <c r="A1272" s="5" t="s">
        <v>1828</v>
      </c>
      <c r="B1272" s="5" t="s">
        <v>1829</v>
      </c>
      <c r="C1272" s="8">
        <v>9</v>
      </c>
      <c r="D1272" s="5" t="s">
        <v>42</v>
      </c>
      <c r="E1272" s="5"/>
      <c r="G1272" s="5"/>
      <c r="H1272" s="5"/>
    </row>
    <row r="1273" spans="1:8" x14ac:dyDescent="0.2">
      <c r="A1273" s="5" t="s">
        <v>1830</v>
      </c>
      <c r="B1273" s="5" t="s">
        <v>1831</v>
      </c>
      <c r="C1273" s="8">
        <v>7</v>
      </c>
      <c r="D1273" s="5" t="s">
        <v>42</v>
      </c>
      <c r="E1273" s="5"/>
      <c r="G1273" s="5"/>
      <c r="H1273" s="5"/>
    </row>
    <row r="1274" spans="1:8" x14ac:dyDescent="0.2">
      <c r="A1274" s="5" t="s">
        <v>1832</v>
      </c>
      <c r="B1274" s="5" t="s">
        <v>1833</v>
      </c>
      <c r="C1274" s="8">
        <v>6</v>
      </c>
      <c r="D1274" s="5" t="s">
        <v>42</v>
      </c>
      <c r="E1274" s="5"/>
      <c r="G1274" s="5"/>
      <c r="H1274" s="5"/>
    </row>
    <row r="1275" spans="1:8" x14ac:dyDescent="0.2">
      <c r="A1275" s="5" t="s">
        <v>1834</v>
      </c>
      <c r="B1275" s="5" t="s">
        <v>1835</v>
      </c>
      <c r="C1275" s="8">
        <v>6</v>
      </c>
      <c r="D1275" s="5" t="s">
        <v>42</v>
      </c>
      <c r="E1275" s="5"/>
      <c r="G1275" s="5"/>
      <c r="H1275" s="5"/>
    </row>
    <row r="1276" spans="1:8" x14ac:dyDescent="0.2">
      <c r="A1276" s="5" t="s">
        <v>1836</v>
      </c>
      <c r="B1276" s="5" t="s">
        <v>1837</v>
      </c>
      <c r="C1276" s="8">
        <v>13</v>
      </c>
      <c r="D1276" s="5" t="s">
        <v>42</v>
      </c>
      <c r="E1276" s="5"/>
      <c r="G1276" s="5"/>
      <c r="H1276" s="5"/>
    </row>
    <row r="1277" spans="1:8" x14ac:dyDescent="0.2">
      <c r="A1277" s="5" t="s">
        <v>1838</v>
      </c>
      <c r="B1277" s="5" t="s">
        <v>1839</v>
      </c>
      <c r="C1277" s="8">
        <v>2</v>
      </c>
      <c r="D1277" s="5" t="s">
        <v>42</v>
      </c>
      <c r="E1277" s="5"/>
      <c r="G1277" s="5"/>
      <c r="H1277" s="5"/>
    </row>
    <row r="1278" spans="1:8" x14ac:dyDescent="0.2">
      <c r="A1278" s="5" t="s">
        <v>1840</v>
      </c>
      <c r="B1278" s="5" t="s">
        <v>1841</v>
      </c>
      <c r="C1278" s="8">
        <v>10</v>
      </c>
      <c r="D1278" s="5" t="s">
        <v>42</v>
      </c>
      <c r="E1278" s="5"/>
      <c r="G1278" s="5"/>
      <c r="H1278" s="5"/>
    </row>
    <row r="1279" spans="1:8" x14ac:dyDescent="0.2">
      <c r="A1279" s="5"/>
      <c r="B1279" s="5" t="s">
        <v>1106</v>
      </c>
      <c r="C1279" s="5"/>
      <c r="D1279" s="5" t="s">
        <v>366</v>
      </c>
      <c r="E1279" s="5"/>
      <c r="G1279" s="5"/>
      <c r="H1279" s="5"/>
    </row>
    <row r="1280" spans="1:8" x14ac:dyDescent="0.2">
      <c r="A1280" s="5" t="s">
        <v>1842</v>
      </c>
      <c r="B1280" s="5" t="s">
        <v>1843</v>
      </c>
      <c r="C1280" s="8">
        <v>7</v>
      </c>
      <c r="D1280" s="5" t="s">
        <v>42</v>
      </c>
      <c r="E1280" s="5"/>
      <c r="G1280" s="5"/>
      <c r="H1280" s="5"/>
    </row>
    <row r="1281" spans="1:8" x14ac:dyDescent="0.2">
      <c r="A1281" s="5" t="s">
        <v>1844</v>
      </c>
      <c r="B1281" s="5" t="s">
        <v>1845</v>
      </c>
      <c r="C1281" s="8">
        <v>10</v>
      </c>
      <c r="D1281" s="5" t="s">
        <v>42</v>
      </c>
      <c r="E1281" s="5"/>
      <c r="G1281" s="5"/>
      <c r="H1281" s="5"/>
    </row>
    <row r="1282" spans="1:8" x14ac:dyDescent="0.2">
      <c r="A1282" s="5" t="s">
        <v>1846</v>
      </c>
      <c r="B1282" s="5" t="s">
        <v>1847</v>
      </c>
      <c r="C1282" s="8">
        <v>10</v>
      </c>
      <c r="D1282" s="5" t="s">
        <v>42</v>
      </c>
      <c r="E1282" s="5"/>
      <c r="G1282" s="5"/>
      <c r="H1282" s="5"/>
    </row>
    <row r="1283" spans="1:8" x14ac:dyDescent="0.2">
      <c r="A1283" s="5" t="s">
        <v>1848</v>
      </c>
      <c r="B1283" s="5" t="s">
        <v>1799</v>
      </c>
      <c r="C1283" s="8">
        <v>9</v>
      </c>
      <c r="D1283" s="5" t="s">
        <v>42</v>
      </c>
      <c r="E1283" s="5"/>
      <c r="G1283" s="5"/>
      <c r="H1283" s="5"/>
    </row>
    <row r="1284" spans="1:8" x14ac:dyDescent="0.2">
      <c r="A1284" s="5" t="s">
        <v>1849</v>
      </c>
      <c r="B1284" s="5" t="s">
        <v>1807</v>
      </c>
      <c r="C1284" s="8">
        <v>9</v>
      </c>
      <c r="D1284" s="5" t="s">
        <v>42</v>
      </c>
      <c r="E1284" s="5"/>
      <c r="G1284" s="5"/>
      <c r="H1284" s="5"/>
    </row>
    <row r="1285" spans="1:8" x14ac:dyDescent="0.2">
      <c r="A1285" s="5" t="s">
        <v>1850</v>
      </c>
      <c r="B1285" s="5" t="s">
        <v>1851</v>
      </c>
      <c r="C1285" s="8">
        <v>9</v>
      </c>
      <c r="D1285" s="5" t="s">
        <v>42</v>
      </c>
      <c r="E1285" s="5"/>
      <c r="G1285" s="5"/>
      <c r="H1285" s="5"/>
    </row>
    <row r="1286" spans="1:8" x14ac:dyDescent="0.2">
      <c r="A1286" s="5" t="s">
        <v>1852</v>
      </c>
      <c r="B1286" s="5" t="s">
        <v>1815</v>
      </c>
      <c r="C1286" s="8">
        <v>9</v>
      </c>
      <c r="D1286" s="5" t="s">
        <v>42</v>
      </c>
      <c r="E1286" s="5"/>
      <c r="G1286" s="5"/>
      <c r="H1286" s="5"/>
    </row>
    <row r="1287" spans="1:8" x14ac:dyDescent="0.2">
      <c r="A1287" s="5" t="s">
        <v>1853</v>
      </c>
      <c r="B1287" s="5" t="s">
        <v>1854</v>
      </c>
      <c r="C1287" s="8">
        <v>9</v>
      </c>
      <c r="D1287" s="5" t="s">
        <v>42</v>
      </c>
      <c r="E1287" s="5"/>
      <c r="G1287" s="5"/>
      <c r="H1287" s="5"/>
    </row>
    <row r="1288" spans="1:8" x14ac:dyDescent="0.2">
      <c r="A1288" s="5" t="s">
        <v>1855</v>
      </c>
      <c r="B1288" s="5" t="s">
        <v>1819</v>
      </c>
      <c r="C1288" s="8">
        <v>9</v>
      </c>
      <c r="D1288" s="5" t="s">
        <v>42</v>
      </c>
      <c r="E1288" s="5"/>
      <c r="G1288" s="5"/>
      <c r="H1288" s="5"/>
    </row>
    <row r="1289" spans="1:8" x14ac:dyDescent="0.2">
      <c r="A1289" s="5" t="s">
        <v>1856</v>
      </c>
      <c r="B1289" s="5" t="s">
        <v>1823</v>
      </c>
      <c r="C1289" s="8">
        <v>9</v>
      </c>
      <c r="D1289" s="5" t="s">
        <v>42</v>
      </c>
      <c r="E1289" s="5"/>
      <c r="G1289" s="5"/>
      <c r="H1289" s="5"/>
    </row>
    <row r="1290" spans="1:8" x14ac:dyDescent="0.2">
      <c r="A1290" s="5" t="s">
        <v>1857</v>
      </c>
      <c r="B1290" s="5" t="s">
        <v>1858</v>
      </c>
      <c r="C1290" s="8">
        <v>9</v>
      </c>
      <c r="D1290" s="5" t="s">
        <v>42</v>
      </c>
      <c r="E1290" s="5"/>
      <c r="G1290" s="5"/>
      <c r="H1290" s="5"/>
    </row>
    <row r="1291" spans="1:8" x14ac:dyDescent="0.2">
      <c r="A1291" s="5" t="s">
        <v>1859</v>
      </c>
      <c r="B1291" s="5" t="s">
        <v>1860</v>
      </c>
      <c r="C1291" s="8">
        <v>7</v>
      </c>
      <c r="D1291" s="5" t="s">
        <v>42</v>
      </c>
      <c r="E1291" s="5"/>
      <c r="G1291" s="5"/>
      <c r="H1291" s="5"/>
    </row>
    <row r="1292" spans="1:8" x14ac:dyDescent="0.2">
      <c r="A1292" s="5" t="s">
        <v>1861</v>
      </c>
      <c r="B1292" s="5" t="s">
        <v>1831</v>
      </c>
      <c r="C1292" s="8">
        <v>9</v>
      </c>
      <c r="D1292" s="5" t="s">
        <v>42</v>
      </c>
      <c r="E1292" s="5"/>
      <c r="G1292" s="5"/>
      <c r="H1292" s="5"/>
    </row>
    <row r="1293" spans="1:8" x14ac:dyDescent="0.2">
      <c r="A1293" s="5" t="s">
        <v>1862</v>
      </c>
      <c r="B1293" s="5" t="s">
        <v>1833</v>
      </c>
      <c r="C1293" s="8">
        <v>9</v>
      </c>
      <c r="D1293" s="5" t="s">
        <v>42</v>
      </c>
      <c r="E1293" s="5"/>
      <c r="G1293" s="5"/>
      <c r="H1293" s="5"/>
    </row>
    <row r="1294" spans="1:8" x14ac:dyDescent="0.2">
      <c r="A1294" s="5" t="s">
        <v>1863</v>
      </c>
      <c r="B1294" s="5" t="s">
        <v>1835</v>
      </c>
      <c r="C1294" s="8">
        <v>9</v>
      </c>
      <c r="D1294" s="5" t="s">
        <v>42</v>
      </c>
      <c r="E1294" s="5"/>
      <c r="G1294" s="5"/>
      <c r="H1294" s="5"/>
    </row>
    <row r="1295" spans="1:8" x14ac:dyDescent="0.2">
      <c r="A1295" s="5" t="s">
        <v>1864</v>
      </c>
      <c r="B1295" s="5" t="s">
        <v>1837</v>
      </c>
      <c r="C1295" s="8">
        <v>18</v>
      </c>
      <c r="D1295" s="5" t="s">
        <v>42</v>
      </c>
      <c r="E1295" s="5"/>
      <c r="G1295" s="5"/>
      <c r="H1295" s="5"/>
    </row>
    <row r="1296" spans="1:8" x14ac:dyDescent="0.2">
      <c r="A1296" s="5" t="s">
        <v>1865</v>
      </c>
      <c r="B1296" s="5" t="s">
        <v>1866</v>
      </c>
      <c r="C1296" s="8">
        <v>10</v>
      </c>
      <c r="D1296" s="5" t="s">
        <v>42</v>
      </c>
      <c r="E1296" s="5"/>
      <c r="G1296" s="5"/>
      <c r="H1296" s="5"/>
    </row>
    <row r="1297" spans="1:8" x14ac:dyDescent="0.2">
      <c r="A1297" s="5" t="s">
        <v>1867</v>
      </c>
      <c r="B1297" s="5" t="s">
        <v>1868</v>
      </c>
      <c r="C1297" s="8">
        <v>10</v>
      </c>
      <c r="D1297" s="5" t="s">
        <v>42</v>
      </c>
      <c r="E1297" s="5"/>
      <c r="G1297" s="5"/>
      <c r="H1297" s="5"/>
    </row>
    <row r="1298" spans="1:8" x14ac:dyDescent="0.2">
      <c r="A1298" s="5" t="s">
        <v>1869</v>
      </c>
      <c r="B1298" s="5" t="s">
        <v>1870</v>
      </c>
      <c r="C1298" s="8">
        <v>9</v>
      </c>
      <c r="D1298" s="5" t="s">
        <v>42</v>
      </c>
      <c r="E1298" s="5"/>
      <c r="G1298" s="5"/>
      <c r="H1298" s="5"/>
    </row>
    <row r="1299" spans="1:8" x14ac:dyDescent="0.2">
      <c r="A1299" s="5" t="s">
        <v>1871</v>
      </c>
      <c r="B1299" s="5" t="s">
        <v>1872</v>
      </c>
      <c r="C1299" s="8">
        <v>8</v>
      </c>
      <c r="D1299" s="5" t="s">
        <v>42</v>
      </c>
      <c r="E1299" s="5"/>
      <c r="G1299" s="5"/>
      <c r="H1299" s="5"/>
    </row>
    <row r="1300" spans="1:8" x14ac:dyDescent="0.2">
      <c r="A1300" s="5" t="s">
        <v>1873</v>
      </c>
      <c r="B1300" s="5" t="s">
        <v>1874</v>
      </c>
      <c r="C1300" s="8">
        <v>8</v>
      </c>
      <c r="D1300" s="5" t="s">
        <v>42</v>
      </c>
      <c r="E1300" s="5"/>
      <c r="G1300" s="5"/>
      <c r="H1300" s="5"/>
    </row>
    <row r="1301" spans="1:8" x14ac:dyDescent="0.2">
      <c r="A1301" s="5"/>
      <c r="B1301" s="5" t="s">
        <v>1131</v>
      </c>
      <c r="C1301" s="5"/>
      <c r="D1301" s="5" t="s">
        <v>366</v>
      </c>
      <c r="E1301" s="5"/>
      <c r="G1301" s="5"/>
      <c r="H1301" s="5"/>
    </row>
    <row r="1302" spans="1:8" x14ac:dyDescent="0.2">
      <c r="A1302" s="5" t="s">
        <v>1875</v>
      </c>
      <c r="B1302" s="5" t="s">
        <v>1843</v>
      </c>
      <c r="C1302" s="8">
        <v>7</v>
      </c>
      <c r="D1302" s="5" t="s">
        <v>42</v>
      </c>
      <c r="E1302" s="5"/>
      <c r="G1302" s="5"/>
      <c r="H1302" s="5"/>
    </row>
    <row r="1303" spans="1:8" x14ac:dyDescent="0.2">
      <c r="A1303" s="5" t="s">
        <v>1876</v>
      </c>
      <c r="B1303" s="5" t="s">
        <v>1845</v>
      </c>
      <c r="C1303" s="8">
        <v>8</v>
      </c>
      <c r="D1303" s="5" t="s">
        <v>42</v>
      </c>
      <c r="E1303" s="5"/>
      <c r="G1303" s="5"/>
      <c r="H1303" s="5"/>
    </row>
    <row r="1304" spans="1:8" x14ac:dyDescent="0.2">
      <c r="A1304" s="5" t="s">
        <v>1877</v>
      </c>
      <c r="B1304" s="5" t="s">
        <v>1847</v>
      </c>
      <c r="C1304" s="8">
        <v>8</v>
      </c>
      <c r="D1304" s="5" t="s">
        <v>42</v>
      </c>
      <c r="E1304" s="5"/>
      <c r="G1304" s="5"/>
      <c r="H1304" s="5"/>
    </row>
    <row r="1305" spans="1:8" x14ac:dyDescent="0.2">
      <c r="A1305" s="5" t="s">
        <v>1878</v>
      </c>
      <c r="B1305" s="5" t="s">
        <v>1799</v>
      </c>
      <c r="C1305" s="8">
        <v>7</v>
      </c>
      <c r="D1305" s="5" t="s">
        <v>42</v>
      </c>
      <c r="E1305" s="5"/>
      <c r="G1305" s="5"/>
      <c r="H1305" s="5"/>
    </row>
    <row r="1306" spans="1:8" x14ac:dyDescent="0.2">
      <c r="A1306" s="5" t="s">
        <v>1879</v>
      </c>
      <c r="B1306" s="5" t="s">
        <v>1807</v>
      </c>
      <c r="C1306" s="8">
        <v>7</v>
      </c>
      <c r="D1306" s="5" t="s">
        <v>42</v>
      </c>
      <c r="E1306" s="5"/>
      <c r="G1306" s="5"/>
      <c r="H1306" s="5"/>
    </row>
    <row r="1307" spans="1:8" x14ac:dyDescent="0.2">
      <c r="A1307" s="5" t="s">
        <v>1880</v>
      </c>
      <c r="B1307" s="5" t="s">
        <v>1851</v>
      </c>
      <c r="C1307" s="8">
        <v>7</v>
      </c>
      <c r="D1307" s="5" t="s">
        <v>42</v>
      </c>
      <c r="E1307" s="5"/>
      <c r="G1307" s="5"/>
      <c r="H1307" s="5"/>
    </row>
    <row r="1308" spans="1:8" x14ac:dyDescent="0.2">
      <c r="A1308" s="5" t="s">
        <v>1881</v>
      </c>
      <c r="B1308" s="5" t="s">
        <v>1815</v>
      </c>
      <c r="C1308" s="8">
        <v>7</v>
      </c>
      <c r="D1308" s="5" t="s">
        <v>42</v>
      </c>
      <c r="E1308" s="5"/>
      <c r="G1308" s="5"/>
      <c r="H1308" s="5"/>
    </row>
    <row r="1309" spans="1:8" x14ac:dyDescent="0.2">
      <c r="A1309" s="5" t="s">
        <v>1882</v>
      </c>
      <c r="B1309" s="5" t="s">
        <v>1854</v>
      </c>
      <c r="C1309" s="8">
        <v>7</v>
      </c>
      <c r="D1309" s="5" t="s">
        <v>42</v>
      </c>
      <c r="E1309" s="5"/>
      <c r="G1309" s="5"/>
      <c r="H1309" s="5"/>
    </row>
    <row r="1310" spans="1:8" x14ac:dyDescent="0.2">
      <c r="A1310" s="5" t="s">
        <v>1883</v>
      </c>
      <c r="B1310" s="5" t="s">
        <v>1819</v>
      </c>
      <c r="C1310" s="8">
        <v>7</v>
      </c>
      <c r="D1310" s="5" t="s">
        <v>42</v>
      </c>
      <c r="E1310" s="5"/>
      <c r="G1310" s="5"/>
      <c r="H1310" s="5"/>
    </row>
    <row r="1311" spans="1:8" x14ac:dyDescent="0.2">
      <c r="A1311" s="5" t="s">
        <v>1884</v>
      </c>
      <c r="B1311" s="5" t="s">
        <v>1823</v>
      </c>
      <c r="C1311" s="8">
        <v>7</v>
      </c>
      <c r="D1311" s="5" t="s">
        <v>42</v>
      </c>
      <c r="E1311" s="5"/>
      <c r="G1311" s="5"/>
      <c r="H1311" s="5"/>
    </row>
    <row r="1312" spans="1:8" x14ac:dyDescent="0.2">
      <c r="A1312" s="5" t="s">
        <v>1885</v>
      </c>
      <c r="B1312" s="5" t="s">
        <v>1858</v>
      </c>
      <c r="C1312" s="8">
        <v>7</v>
      </c>
      <c r="D1312" s="5" t="s">
        <v>42</v>
      </c>
      <c r="E1312" s="5"/>
      <c r="G1312" s="5"/>
      <c r="H1312" s="5"/>
    </row>
    <row r="1313" spans="1:8" x14ac:dyDescent="0.2">
      <c r="A1313" s="5" t="s">
        <v>1886</v>
      </c>
      <c r="B1313" s="5" t="s">
        <v>1860</v>
      </c>
      <c r="C1313" s="8">
        <v>7</v>
      </c>
      <c r="D1313" s="5" t="s">
        <v>42</v>
      </c>
      <c r="E1313" s="5"/>
      <c r="G1313" s="5"/>
      <c r="H1313" s="5"/>
    </row>
    <row r="1314" spans="1:8" x14ac:dyDescent="0.2">
      <c r="A1314" s="5" t="s">
        <v>1887</v>
      </c>
      <c r="B1314" s="5" t="s">
        <v>1831</v>
      </c>
      <c r="C1314" s="8">
        <v>7</v>
      </c>
      <c r="D1314" s="5" t="s">
        <v>42</v>
      </c>
      <c r="E1314" s="5"/>
      <c r="G1314" s="5"/>
      <c r="H1314" s="5"/>
    </row>
    <row r="1315" spans="1:8" x14ac:dyDescent="0.2">
      <c r="A1315" s="5" t="s">
        <v>1888</v>
      </c>
      <c r="B1315" s="5" t="s">
        <v>1833</v>
      </c>
      <c r="C1315" s="8">
        <v>7</v>
      </c>
      <c r="D1315" s="5" t="s">
        <v>42</v>
      </c>
      <c r="E1315" s="5"/>
      <c r="G1315" s="5"/>
      <c r="H1315" s="5"/>
    </row>
    <row r="1316" spans="1:8" x14ac:dyDescent="0.2">
      <c r="A1316" s="5" t="s">
        <v>1889</v>
      </c>
      <c r="B1316" s="5" t="s">
        <v>1835</v>
      </c>
      <c r="C1316" s="8">
        <v>7</v>
      </c>
      <c r="D1316" s="5" t="s">
        <v>42</v>
      </c>
      <c r="E1316" s="5"/>
      <c r="G1316" s="5"/>
      <c r="H1316" s="5"/>
    </row>
    <row r="1317" spans="1:8" x14ac:dyDescent="0.2">
      <c r="A1317" s="5" t="s">
        <v>1890</v>
      </c>
      <c r="B1317" s="5" t="s">
        <v>1837</v>
      </c>
      <c r="C1317" s="8">
        <v>15</v>
      </c>
      <c r="D1317" s="5" t="s">
        <v>42</v>
      </c>
      <c r="E1317" s="5"/>
      <c r="G1317" s="5"/>
      <c r="H1317" s="5"/>
    </row>
    <row r="1318" spans="1:8" x14ac:dyDescent="0.2">
      <c r="A1318" s="5" t="s">
        <v>1891</v>
      </c>
      <c r="B1318" s="5" t="s">
        <v>1866</v>
      </c>
      <c r="C1318" s="8">
        <v>8</v>
      </c>
      <c r="D1318" s="5" t="s">
        <v>42</v>
      </c>
      <c r="E1318" s="5"/>
      <c r="G1318" s="5"/>
      <c r="H1318" s="5"/>
    </row>
    <row r="1319" spans="1:8" x14ac:dyDescent="0.2">
      <c r="A1319" s="5" t="s">
        <v>1892</v>
      </c>
      <c r="B1319" s="5" t="s">
        <v>1868</v>
      </c>
      <c r="C1319" s="8">
        <v>8</v>
      </c>
      <c r="D1319" s="5" t="s">
        <v>42</v>
      </c>
      <c r="E1319" s="5"/>
      <c r="G1319" s="5"/>
      <c r="H1319" s="5"/>
    </row>
    <row r="1320" spans="1:8" x14ac:dyDescent="0.2">
      <c r="A1320" s="5" t="s">
        <v>1893</v>
      </c>
      <c r="B1320" s="5" t="s">
        <v>1870</v>
      </c>
      <c r="C1320" s="8">
        <v>7</v>
      </c>
      <c r="D1320" s="5" t="s">
        <v>42</v>
      </c>
      <c r="E1320" s="5"/>
      <c r="G1320" s="5"/>
      <c r="H1320" s="5"/>
    </row>
    <row r="1321" spans="1:8" x14ac:dyDescent="0.2">
      <c r="A1321" s="5" t="s">
        <v>1894</v>
      </c>
      <c r="B1321" s="5" t="s">
        <v>1895</v>
      </c>
      <c r="C1321" s="8">
        <v>7</v>
      </c>
      <c r="D1321" s="5" t="s">
        <v>42</v>
      </c>
      <c r="E1321" s="5"/>
      <c r="G1321" s="5"/>
      <c r="H1321" s="5"/>
    </row>
    <row r="1322" spans="1:8" x14ac:dyDescent="0.2">
      <c r="A1322" s="5"/>
      <c r="B1322" s="5" t="s">
        <v>1110</v>
      </c>
      <c r="C1322" s="5"/>
      <c r="D1322" s="5" t="s">
        <v>366</v>
      </c>
      <c r="E1322" s="5"/>
      <c r="G1322" s="5"/>
      <c r="H1322" s="5"/>
    </row>
    <row r="1323" spans="1:8" x14ac:dyDescent="0.2">
      <c r="A1323" s="5" t="s">
        <v>1896</v>
      </c>
      <c r="B1323" s="5" t="s">
        <v>1897</v>
      </c>
      <c r="C1323" s="8">
        <v>7</v>
      </c>
      <c r="D1323" s="5" t="s">
        <v>42</v>
      </c>
      <c r="E1323" s="5"/>
      <c r="G1323" s="5"/>
      <c r="H1323" s="5"/>
    </row>
    <row r="1324" spans="1:8" x14ac:dyDescent="0.2">
      <c r="A1324" s="5" t="s">
        <v>1898</v>
      </c>
      <c r="B1324" s="5" t="s">
        <v>1899</v>
      </c>
      <c r="C1324" s="8">
        <v>7</v>
      </c>
      <c r="D1324" s="5" t="s">
        <v>42</v>
      </c>
      <c r="E1324" s="5"/>
      <c r="G1324" s="5"/>
      <c r="H1324" s="5"/>
    </row>
    <row r="1325" spans="1:8" x14ac:dyDescent="0.2">
      <c r="A1325" s="5" t="s">
        <v>1900</v>
      </c>
      <c r="B1325" s="5" t="s">
        <v>1901</v>
      </c>
      <c r="C1325" s="8">
        <v>7</v>
      </c>
      <c r="D1325" s="5" t="s">
        <v>42</v>
      </c>
      <c r="E1325" s="5"/>
      <c r="G1325" s="5"/>
      <c r="H1325" s="5"/>
    </row>
    <row r="1326" spans="1:8" x14ac:dyDescent="0.2">
      <c r="A1326" s="5" t="s">
        <v>1902</v>
      </c>
      <c r="B1326" s="5" t="s">
        <v>1903</v>
      </c>
      <c r="C1326" s="8">
        <v>7</v>
      </c>
      <c r="D1326" s="5" t="s">
        <v>42</v>
      </c>
      <c r="E1326" s="5"/>
      <c r="G1326" s="5"/>
      <c r="H1326" s="5"/>
    </row>
    <row r="1327" spans="1:8" x14ac:dyDescent="0.2">
      <c r="A1327" s="5"/>
      <c r="B1327" s="5" t="s">
        <v>1904</v>
      </c>
      <c r="C1327" s="5"/>
      <c r="D1327" s="5" t="s">
        <v>322</v>
      </c>
      <c r="E1327" s="5"/>
      <c r="G1327" s="5"/>
      <c r="H1327" s="5"/>
    </row>
    <row r="1328" spans="1:8" x14ac:dyDescent="0.2">
      <c r="A1328" s="5"/>
      <c r="B1328" s="5" t="s">
        <v>1106</v>
      </c>
      <c r="C1328" s="5"/>
      <c r="D1328" s="5" t="s">
        <v>366</v>
      </c>
      <c r="E1328" s="5"/>
      <c r="G1328" s="5"/>
      <c r="H1328" s="5"/>
    </row>
    <row r="1329" spans="1:8" x14ac:dyDescent="0.2">
      <c r="A1329" s="5" t="s">
        <v>1905</v>
      </c>
      <c r="B1329" s="5" t="s">
        <v>1757</v>
      </c>
      <c r="C1329" s="8">
        <v>38</v>
      </c>
      <c r="D1329" s="5" t="s">
        <v>42</v>
      </c>
      <c r="E1329" s="5"/>
      <c r="G1329" s="5"/>
      <c r="H1329" s="5"/>
    </row>
    <row r="1330" spans="1:8" x14ac:dyDescent="0.2">
      <c r="A1330" s="5"/>
      <c r="B1330" s="5" t="s">
        <v>1671</v>
      </c>
      <c r="C1330" s="5"/>
      <c r="D1330" s="5" t="s">
        <v>322</v>
      </c>
      <c r="E1330" s="5"/>
      <c r="G1330" s="5"/>
      <c r="H1330" s="5"/>
    </row>
    <row r="1331" spans="1:8" x14ac:dyDescent="0.2">
      <c r="A1331" s="5"/>
      <c r="B1331" s="5" t="s">
        <v>1106</v>
      </c>
      <c r="C1331" s="5"/>
      <c r="D1331" s="5" t="s">
        <v>366</v>
      </c>
      <c r="E1331" s="5"/>
      <c r="G1331" s="5"/>
      <c r="H1331" s="5"/>
    </row>
    <row r="1332" spans="1:8" x14ac:dyDescent="0.2">
      <c r="A1332" s="5" t="s">
        <v>1906</v>
      </c>
      <c r="B1332" s="5" t="s">
        <v>1673</v>
      </c>
      <c r="C1332" s="8">
        <v>899</v>
      </c>
      <c r="D1332" s="5" t="s">
        <v>42</v>
      </c>
      <c r="E1332" s="5"/>
      <c r="G1332" s="5"/>
      <c r="H1332" s="5"/>
    </row>
    <row r="1333" spans="1:8" x14ac:dyDescent="0.2">
      <c r="A1333" s="5" t="s">
        <v>1907</v>
      </c>
      <c r="B1333" s="5" t="s">
        <v>1675</v>
      </c>
      <c r="C1333" s="8">
        <v>20</v>
      </c>
      <c r="D1333" s="5" t="s">
        <v>42</v>
      </c>
      <c r="E1333" s="5"/>
      <c r="G1333" s="5"/>
      <c r="H1333" s="5"/>
    </row>
    <row r="1334" spans="1:8" x14ac:dyDescent="0.2">
      <c r="A1334" s="5" t="s">
        <v>1908</v>
      </c>
      <c r="B1334" s="5" t="s">
        <v>1677</v>
      </c>
      <c r="C1334" s="8">
        <v>71</v>
      </c>
      <c r="D1334" s="5" t="s">
        <v>155</v>
      </c>
      <c r="E1334" s="5"/>
      <c r="G1334" s="5"/>
      <c r="H1334" s="5"/>
    </row>
    <row r="1335" spans="1:8" x14ac:dyDescent="0.2">
      <c r="A1335" s="5" t="s">
        <v>1909</v>
      </c>
      <c r="B1335" s="5" t="s">
        <v>1910</v>
      </c>
      <c r="C1335" s="8">
        <v>20</v>
      </c>
      <c r="D1335" s="5" t="s">
        <v>42</v>
      </c>
      <c r="E1335" s="5"/>
      <c r="G1335" s="5"/>
      <c r="H1335" s="5"/>
    </row>
    <row r="1336" spans="1:8" x14ac:dyDescent="0.2">
      <c r="A1336" s="5" t="s">
        <v>1911</v>
      </c>
      <c r="B1336" s="5" t="s">
        <v>1679</v>
      </c>
      <c r="C1336" s="8">
        <v>57</v>
      </c>
      <c r="D1336" s="5" t="s">
        <v>155</v>
      </c>
      <c r="E1336" s="5"/>
      <c r="G1336" s="5"/>
      <c r="H1336" s="5"/>
    </row>
    <row r="1337" spans="1:8" x14ac:dyDescent="0.2">
      <c r="A1337" s="5" t="s">
        <v>1912</v>
      </c>
      <c r="B1337" s="5" t="s">
        <v>1681</v>
      </c>
      <c r="C1337" s="8">
        <v>16</v>
      </c>
      <c r="D1337" s="5" t="s">
        <v>155</v>
      </c>
      <c r="E1337" s="5"/>
      <c r="G1337" s="5"/>
      <c r="H1337" s="5"/>
    </row>
    <row r="1338" spans="1:8" x14ac:dyDescent="0.2">
      <c r="A1338" s="5" t="s">
        <v>1913</v>
      </c>
      <c r="B1338" s="5" t="s">
        <v>1914</v>
      </c>
      <c r="C1338" s="8">
        <v>3</v>
      </c>
      <c r="D1338" s="5" t="s">
        <v>42</v>
      </c>
      <c r="E1338" s="5"/>
      <c r="G1338" s="5"/>
      <c r="H1338" s="5"/>
    </row>
    <row r="1339" spans="1:8" x14ac:dyDescent="0.2">
      <c r="A1339" s="5"/>
      <c r="B1339" s="5" t="s">
        <v>1915</v>
      </c>
      <c r="C1339" s="5"/>
      <c r="D1339" s="5" t="s">
        <v>366</v>
      </c>
      <c r="E1339" s="5"/>
      <c r="G1339" s="5"/>
      <c r="H1339" s="5"/>
    </row>
    <row r="1340" spans="1:8" x14ac:dyDescent="0.2">
      <c r="A1340" s="5" t="s">
        <v>1916</v>
      </c>
      <c r="B1340" s="5" t="s">
        <v>1673</v>
      </c>
      <c r="C1340" s="8">
        <v>742</v>
      </c>
      <c r="D1340" s="5" t="s">
        <v>42</v>
      </c>
      <c r="E1340" s="5"/>
      <c r="G1340" s="5"/>
      <c r="H1340" s="5"/>
    </row>
    <row r="1341" spans="1:8" x14ac:dyDescent="0.2">
      <c r="A1341" s="5" t="s">
        <v>1917</v>
      </c>
      <c r="B1341" s="5" t="s">
        <v>1677</v>
      </c>
      <c r="C1341" s="8">
        <v>123</v>
      </c>
      <c r="D1341" s="5" t="s">
        <v>155</v>
      </c>
      <c r="E1341" s="5"/>
      <c r="G1341" s="5"/>
      <c r="H1341" s="5"/>
    </row>
    <row r="1342" spans="1:8" x14ac:dyDescent="0.2">
      <c r="A1342" s="5" t="s">
        <v>1918</v>
      </c>
      <c r="B1342" s="5" t="s">
        <v>1679</v>
      </c>
      <c r="C1342" s="8">
        <v>3</v>
      </c>
      <c r="D1342" s="5" t="s">
        <v>155</v>
      </c>
      <c r="E1342" s="5"/>
      <c r="G1342" s="5"/>
      <c r="H1342" s="5"/>
    </row>
    <row r="1343" spans="1:8" x14ac:dyDescent="0.2">
      <c r="A1343" s="5" t="s">
        <v>1919</v>
      </c>
      <c r="B1343" s="5" t="s">
        <v>1681</v>
      </c>
      <c r="C1343" s="8">
        <v>17</v>
      </c>
      <c r="D1343" s="5" t="s">
        <v>155</v>
      </c>
      <c r="E1343" s="5"/>
      <c r="G1343" s="5"/>
      <c r="H1343" s="5"/>
    </row>
    <row r="1344" spans="1:8" x14ac:dyDescent="0.2">
      <c r="A1344" s="5" t="s">
        <v>1920</v>
      </c>
      <c r="B1344" s="5" t="s">
        <v>1688</v>
      </c>
      <c r="C1344" s="8">
        <v>7</v>
      </c>
      <c r="D1344" s="5" t="s">
        <v>155</v>
      </c>
      <c r="E1344" s="5"/>
      <c r="G1344" s="5"/>
      <c r="H1344" s="5"/>
    </row>
    <row r="1345" spans="1:8" x14ac:dyDescent="0.2">
      <c r="A1345" s="5"/>
      <c r="B1345" s="5" t="s">
        <v>1110</v>
      </c>
      <c r="C1345" s="5"/>
      <c r="D1345" s="5" t="s">
        <v>366</v>
      </c>
      <c r="E1345" s="5"/>
      <c r="G1345" s="5"/>
      <c r="H1345" s="5"/>
    </row>
    <row r="1346" spans="1:8" x14ac:dyDescent="0.2">
      <c r="A1346" s="5" t="s">
        <v>1921</v>
      </c>
      <c r="B1346" s="5" t="s">
        <v>1690</v>
      </c>
      <c r="C1346" s="8">
        <v>769</v>
      </c>
      <c r="D1346" s="5" t="s">
        <v>42</v>
      </c>
      <c r="E1346" s="5"/>
      <c r="G1346" s="5"/>
      <c r="H1346" s="5"/>
    </row>
    <row r="1347" spans="1:8" x14ac:dyDescent="0.2">
      <c r="A1347" s="5" t="s">
        <v>1922</v>
      </c>
      <c r="B1347" s="5" t="s">
        <v>1677</v>
      </c>
      <c r="C1347" s="8">
        <v>120</v>
      </c>
      <c r="D1347" s="5" t="s">
        <v>155</v>
      </c>
      <c r="E1347" s="5"/>
      <c r="G1347" s="5"/>
      <c r="H1347" s="5"/>
    </row>
    <row r="1348" spans="1:8" x14ac:dyDescent="0.2">
      <c r="A1348" s="5" t="s">
        <v>1923</v>
      </c>
      <c r="B1348" s="5" t="s">
        <v>1679</v>
      </c>
      <c r="C1348" s="8">
        <v>7</v>
      </c>
      <c r="D1348" s="5" t="s">
        <v>155</v>
      </c>
      <c r="E1348" s="5"/>
      <c r="G1348" s="5"/>
      <c r="H1348" s="5"/>
    </row>
    <row r="1349" spans="1:8" x14ac:dyDescent="0.2">
      <c r="A1349" s="5" t="s">
        <v>1924</v>
      </c>
      <c r="B1349" s="5" t="s">
        <v>1681</v>
      </c>
      <c r="C1349" s="8">
        <v>29</v>
      </c>
      <c r="D1349" s="5" t="s">
        <v>155</v>
      </c>
      <c r="E1349" s="5"/>
      <c r="G1349" s="5"/>
      <c r="H1349" s="5"/>
    </row>
    <row r="1350" spans="1:8" x14ac:dyDescent="0.2">
      <c r="A1350" s="5" t="s">
        <v>1925</v>
      </c>
      <c r="B1350" s="5" t="s">
        <v>1688</v>
      </c>
      <c r="C1350" s="8">
        <v>6</v>
      </c>
      <c r="D1350" s="5" t="s">
        <v>155</v>
      </c>
      <c r="E1350" s="5"/>
      <c r="G1350" s="5"/>
      <c r="H1350" s="5"/>
    </row>
    <row r="1351" spans="1:8" x14ac:dyDescent="0.2">
      <c r="A1351" s="5"/>
      <c r="B1351" s="5" t="s">
        <v>1309</v>
      </c>
      <c r="C1351" s="5"/>
      <c r="D1351" s="5" t="s">
        <v>366</v>
      </c>
      <c r="E1351" s="5"/>
      <c r="G1351" s="5"/>
      <c r="H1351" s="5"/>
    </row>
    <row r="1352" spans="1:8" x14ac:dyDescent="0.2">
      <c r="A1352" s="5" t="s">
        <v>1926</v>
      </c>
      <c r="B1352" s="5" t="s">
        <v>1696</v>
      </c>
      <c r="C1352" s="8">
        <v>52</v>
      </c>
      <c r="D1352" s="5" t="s">
        <v>42</v>
      </c>
      <c r="E1352" s="5"/>
      <c r="G1352" s="5"/>
      <c r="H1352" s="5"/>
    </row>
    <row r="1353" spans="1:8" x14ac:dyDescent="0.2">
      <c r="A1353" s="5" t="s">
        <v>1927</v>
      </c>
      <c r="B1353" s="5" t="s">
        <v>1677</v>
      </c>
      <c r="C1353" s="8">
        <v>39</v>
      </c>
      <c r="D1353" s="5" t="s">
        <v>155</v>
      </c>
      <c r="E1353" s="5"/>
      <c r="G1353" s="5"/>
      <c r="H1353" s="5"/>
    </row>
    <row r="1354" spans="1:8" x14ac:dyDescent="0.2">
      <c r="A1354" s="5" t="s">
        <v>1928</v>
      </c>
      <c r="B1354" s="5" t="s">
        <v>1688</v>
      </c>
      <c r="C1354" s="8">
        <v>8</v>
      </c>
      <c r="D1354" s="5" t="s">
        <v>155</v>
      </c>
      <c r="E1354" s="5"/>
      <c r="G1354" s="5"/>
      <c r="H1354" s="5"/>
    </row>
    <row r="1355" spans="1:8" x14ac:dyDescent="0.2">
      <c r="A1355" s="5"/>
      <c r="B1355" s="5" t="s">
        <v>1698</v>
      </c>
      <c r="C1355" s="5"/>
      <c r="D1355" s="5" t="s">
        <v>322</v>
      </c>
      <c r="E1355" s="5"/>
      <c r="G1355" s="5"/>
      <c r="H1355" s="5"/>
    </row>
    <row r="1356" spans="1:8" x14ac:dyDescent="0.2">
      <c r="A1356" s="5"/>
      <c r="B1356" s="5" t="s">
        <v>1106</v>
      </c>
      <c r="C1356" s="5"/>
      <c r="D1356" s="5" t="s">
        <v>366</v>
      </c>
      <c r="E1356" s="5"/>
      <c r="G1356" s="5"/>
      <c r="H1356" s="5"/>
    </row>
    <row r="1357" spans="1:8" ht="22.5" x14ac:dyDescent="0.2">
      <c r="A1357" s="5" t="s">
        <v>1929</v>
      </c>
      <c r="B1357" s="10" t="s">
        <v>1700</v>
      </c>
      <c r="C1357" s="8">
        <v>180</v>
      </c>
      <c r="D1357" s="5" t="s">
        <v>155</v>
      </c>
      <c r="E1357" s="5"/>
      <c r="G1357" s="5"/>
      <c r="H1357" s="5"/>
    </row>
    <row r="1358" spans="1:8" x14ac:dyDescent="0.2">
      <c r="A1358" s="5" t="s">
        <v>1930</v>
      </c>
      <c r="B1358" s="5" t="s">
        <v>1702</v>
      </c>
      <c r="C1358" s="8">
        <v>106</v>
      </c>
      <c r="D1358" s="5" t="s">
        <v>42</v>
      </c>
      <c r="E1358" s="5"/>
      <c r="G1358" s="5"/>
      <c r="H1358" s="5"/>
    </row>
    <row r="1359" spans="1:8" x14ac:dyDescent="0.2">
      <c r="A1359" s="5"/>
      <c r="B1359" s="5" t="s">
        <v>1131</v>
      </c>
      <c r="C1359" s="5"/>
      <c r="D1359" s="5" t="s">
        <v>366</v>
      </c>
      <c r="E1359" s="5"/>
      <c r="G1359" s="5"/>
      <c r="H1359" s="5"/>
    </row>
    <row r="1360" spans="1:8" ht="22.5" x14ac:dyDescent="0.2">
      <c r="A1360" s="5" t="s">
        <v>1931</v>
      </c>
      <c r="B1360" s="10" t="s">
        <v>1700</v>
      </c>
      <c r="C1360" s="8">
        <v>329</v>
      </c>
      <c r="D1360" s="5" t="s">
        <v>155</v>
      </c>
      <c r="E1360" s="5"/>
      <c r="G1360" s="5"/>
      <c r="H1360" s="5"/>
    </row>
    <row r="1361" spans="1:8" x14ac:dyDescent="0.2">
      <c r="A1361" s="5"/>
      <c r="B1361" s="5" t="s">
        <v>1110</v>
      </c>
      <c r="C1361" s="5"/>
      <c r="D1361" s="5" t="s">
        <v>366</v>
      </c>
      <c r="E1361" s="5"/>
      <c r="G1361" s="5"/>
      <c r="H1361" s="5"/>
    </row>
    <row r="1362" spans="1:8" ht="22.5" x14ac:dyDescent="0.2">
      <c r="A1362" s="5" t="s">
        <v>1932</v>
      </c>
      <c r="B1362" s="10" t="s">
        <v>1700</v>
      </c>
      <c r="C1362" s="8">
        <v>399</v>
      </c>
      <c r="D1362" s="5" t="s">
        <v>155</v>
      </c>
      <c r="E1362" s="5"/>
      <c r="G1362" s="5"/>
      <c r="H1362" s="5"/>
    </row>
    <row r="1363" spans="1:8" x14ac:dyDescent="0.2">
      <c r="A1363" s="5"/>
      <c r="B1363" s="5" t="s">
        <v>1707</v>
      </c>
      <c r="C1363" s="5"/>
      <c r="D1363" s="5" t="s">
        <v>322</v>
      </c>
      <c r="E1363" s="5"/>
      <c r="G1363" s="5"/>
      <c r="H1363" s="5"/>
    </row>
    <row r="1364" spans="1:8" ht="56.25" x14ac:dyDescent="0.2">
      <c r="A1364" s="5"/>
      <c r="B1364" s="10" t="s">
        <v>1708</v>
      </c>
      <c r="C1364" s="5"/>
      <c r="D1364" s="5" t="s">
        <v>366</v>
      </c>
      <c r="E1364" s="5"/>
      <c r="G1364" s="5"/>
      <c r="H1364" s="5"/>
    </row>
    <row r="1365" spans="1:8" x14ac:dyDescent="0.2">
      <c r="A1365" s="5" t="s">
        <v>1933</v>
      </c>
      <c r="B1365" s="5" t="s">
        <v>1710</v>
      </c>
      <c r="C1365" s="8">
        <v>27</v>
      </c>
      <c r="D1365" s="5" t="s">
        <v>42</v>
      </c>
      <c r="E1365" s="5"/>
      <c r="G1365" s="5"/>
      <c r="H1365" s="5"/>
    </row>
    <row r="1366" spans="1:8" x14ac:dyDescent="0.2">
      <c r="A1366" s="5" t="s">
        <v>1934</v>
      </c>
      <c r="B1366" s="5" t="s">
        <v>1712</v>
      </c>
      <c r="C1366" s="8">
        <v>27</v>
      </c>
      <c r="D1366" s="5" t="s">
        <v>155</v>
      </c>
      <c r="E1366" s="5"/>
      <c r="G1366" s="5"/>
      <c r="H1366" s="5"/>
    </row>
    <row r="1367" spans="1:8" x14ac:dyDescent="0.2">
      <c r="A1367" s="5" t="s">
        <v>1935</v>
      </c>
      <c r="B1367" s="5" t="s">
        <v>1714</v>
      </c>
      <c r="C1367" s="8">
        <v>78</v>
      </c>
      <c r="D1367" s="5" t="s">
        <v>155</v>
      </c>
      <c r="E1367" s="5"/>
      <c r="G1367" s="5"/>
      <c r="H1367" s="5"/>
    </row>
    <row r="1368" spans="1:8" x14ac:dyDescent="0.2">
      <c r="A1368" s="5" t="s">
        <v>1936</v>
      </c>
      <c r="B1368" s="5" t="s">
        <v>1716</v>
      </c>
      <c r="C1368" s="8">
        <v>18</v>
      </c>
      <c r="D1368" s="5" t="s">
        <v>42</v>
      </c>
      <c r="E1368" s="5"/>
      <c r="G1368" s="5"/>
      <c r="H1368" s="5"/>
    </row>
    <row r="1369" spans="1:8" x14ac:dyDescent="0.2">
      <c r="A1369" s="5" t="s">
        <v>1937</v>
      </c>
      <c r="B1369" s="5" t="s">
        <v>1718</v>
      </c>
      <c r="C1369" s="8">
        <v>9</v>
      </c>
      <c r="D1369" s="5" t="s">
        <v>155</v>
      </c>
      <c r="E1369" s="5"/>
      <c r="G1369" s="5"/>
      <c r="H1369" s="5"/>
    </row>
    <row r="1370" spans="1:8" x14ac:dyDescent="0.2">
      <c r="A1370" s="5" t="s">
        <v>1938</v>
      </c>
      <c r="B1370" s="5" t="s">
        <v>1725</v>
      </c>
      <c r="C1370" s="8">
        <v>8</v>
      </c>
      <c r="D1370" s="5" t="s">
        <v>42</v>
      </c>
      <c r="E1370" s="5"/>
      <c r="G1370" s="5"/>
      <c r="H1370" s="5"/>
    </row>
    <row r="1371" spans="1:8" x14ac:dyDescent="0.2">
      <c r="A1371" s="5"/>
      <c r="B1371" s="5" t="s">
        <v>1373</v>
      </c>
      <c r="C1371" s="5"/>
      <c r="D1371" s="5" t="s">
        <v>366</v>
      </c>
      <c r="E1371" s="5"/>
      <c r="G1371" s="5"/>
      <c r="H1371" s="5"/>
    </row>
    <row r="1372" spans="1:8" x14ac:dyDescent="0.2">
      <c r="A1372" s="5" t="s">
        <v>1939</v>
      </c>
      <c r="B1372" s="5" t="s">
        <v>1710</v>
      </c>
      <c r="C1372" s="8">
        <v>5</v>
      </c>
      <c r="D1372" s="5" t="s">
        <v>42</v>
      </c>
      <c r="E1372" s="5"/>
      <c r="G1372" s="5"/>
      <c r="H1372" s="5"/>
    </row>
    <row r="1373" spans="1:8" x14ac:dyDescent="0.2">
      <c r="A1373" s="5" t="s">
        <v>1940</v>
      </c>
      <c r="B1373" s="5" t="s">
        <v>1712</v>
      </c>
      <c r="C1373" s="8">
        <v>4</v>
      </c>
      <c r="D1373" s="5" t="s">
        <v>155</v>
      </c>
      <c r="E1373" s="5"/>
      <c r="G1373" s="5"/>
      <c r="H1373" s="5"/>
    </row>
    <row r="1374" spans="1:8" x14ac:dyDescent="0.2">
      <c r="A1374" s="5" t="s">
        <v>1941</v>
      </c>
      <c r="B1374" s="5" t="s">
        <v>1714</v>
      </c>
      <c r="C1374" s="8">
        <v>14</v>
      </c>
      <c r="D1374" s="5" t="s">
        <v>155</v>
      </c>
      <c r="E1374" s="5"/>
      <c r="G1374" s="5"/>
      <c r="H1374" s="5"/>
    </row>
    <row r="1375" spans="1:8" x14ac:dyDescent="0.2">
      <c r="A1375" s="5"/>
      <c r="B1375" s="5" t="s">
        <v>1375</v>
      </c>
      <c r="C1375" s="5"/>
      <c r="D1375" s="5" t="s">
        <v>366</v>
      </c>
      <c r="E1375" s="5"/>
      <c r="G1375" s="5"/>
      <c r="H1375" s="5"/>
    </row>
    <row r="1376" spans="1:8" x14ac:dyDescent="0.2">
      <c r="A1376" s="5" t="s">
        <v>1942</v>
      </c>
      <c r="B1376" s="5" t="s">
        <v>1712</v>
      </c>
      <c r="C1376" s="8">
        <v>4</v>
      </c>
      <c r="D1376" s="5" t="s">
        <v>155</v>
      </c>
      <c r="E1376" s="5"/>
      <c r="G1376" s="5"/>
      <c r="H1376" s="5"/>
    </row>
    <row r="1377" spans="1:8" x14ac:dyDescent="0.2">
      <c r="A1377" s="5" t="s">
        <v>1943</v>
      </c>
      <c r="B1377" s="5" t="s">
        <v>1714</v>
      </c>
      <c r="C1377" s="8">
        <v>14</v>
      </c>
      <c r="D1377" s="5" t="s">
        <v>155</v>
      </c>
      <c r="E1377" s="5"/>
      <c r="G1377" s="5"/>
      <c r="H1377" s="5"/>
    </row>
    <row r="1378" spans="1:8" x14ac:dyDescent="0.2">
      <c r="A1378" s="5"/>
      <c r="B1378" s="5" t="s">
        <v>1944</v>
      </c>
      <c r="C1378" s="5"/>
      <c r="D1378" s="5" t="s">
        <v>366</v>
      </c>
      <c r="E1378" s="5"/>
      <c r="G1378" s="5"/>
      <c r="H1378" s="5"/>
    </row>
    <row r="1379" spans="1:8" x14ac:dyDescent="0.2">
      <c r="A1379" s="5" t="s">
        <v>1945</v>
      </c>
      <c r="B1379" s="5" t="s">
        <v>1710</v>
      </c>
      <c r="C1379" s="8">
        <v>18</v>
      </c>
      <c r="D1379" s="5" t="s">
        <v>42</v>
      </c>
      <c r="E1379" s="5"/>
      <c r="G1379" s="5"/>
      <c r="H1379" s="5"/>
    </row>
    <row r="1380" spans="1:8" x14ac:dyDescent="0.2">
      <c r="A1380" s="5" t="s">
        <v>1946</v>
      </c>
      <c r="B1380" s="5" t="s">
        <v>1712</v>
      </c>
      <c r="C1380" s="8">
        <v>6</v>
      </c>
      <c r="D1380" s="5" t="s">
        <v>155</v>
      </c>
      <c r="E1380" s="5"/>
      <c r="G1380" s="5"/>
      <c r="H1380" s="5"/>
    </row>
    <row r="1381" spans="1:8" x14ac:dyDescent="0.2">
      <c r="A1381" s="5" t="s">
        <v>1947</v>
      </c>
      <c r="B1381" s="5" t="s">
        <v>1714</v>
      </c>
      <c r="C1381" s="8">
        <v>48</v>
      </c>
      <c r="D1381" s="5" t="s">
        <v>155</v>
      </c>
      <c r="E1381" s="5"/>
      <c r="G1381" s="5"/>
      <c r="H1381" s="5"/>
    </row>
    <row r="1382" spans="1:8" x14ac:dyDescent="0.2">
      <c r="A1382" s="5" t="s">
        <v>1948</v>
      </c>
      <c r="B1382" s="5" t="s">
        <v>1716</v>
      </c>
      <c r="C1382" s="8">
        <v>13</v>
      </c>
      <c r="D1382" s="5" t="s">
        <v>42</v>
      </c>
      <c r="E1382" s="5"/>
      <c r="G1382" s="5"/>
      <c r="H1382" s="5"/>
    </row>
    <row r="1383" spans="1:8" x14ac:dyDescent="0.2">
      <c r="A1383" s="5" t="s">
        <v>1949</v>
      </c>
      <c r="B1383" s="5" t="s">
        <v>1718</v>
      </c>
      <c r="C1383" s="8">
        <v>18</v>
      </c>
      <c r="D1383" s="5" t="s">
        <v>155</v>
      </c>
      <c r="E1383" s="5"/>
      <c r="G1383" s="5"/>
      <c r="H1383" s="5"/>
    </row>
    <row r="1384" spans="1:8" x14ac:dyDescent="0.2">
      <c r="A1384" s="5"/>
      <c r="B1384" s="5" t="s">
        <v>1731</v>
      </c>
      <c r="C1384" s="5"/>
      <c r="D1384" s="5" t="s">
        <v>15</v>
      </c>
      <c r="E1384" s="5"/>
      <c r="G1384" s="5"/>
      <c r="H1384" s="5"/>
    </row>
    <row r="1385" spans="1:8" x14ac:dyDescent="0.2">
      <c r="A1385" s="5"/>
      <c r="B1385" s="5" t="s">
        <v>1950</v>
      </c>
      <c r="C1385" s="5"/>
      <c r="D1385" s="5" t="s">
        <v>322</v>
      </c>
      <c r="E1385" s="5"/>
      <c r="G1385" s="5"/>
      <c r="H1385" s="5"/>
    </row>
    <row r="1386" spans="1:8" x14ac:dyDescent="0.2">
      <c r="A1386" s="5"/>
      <c r="B1386" s="5" t="s">
        <v>1081</v>
      </c>
      <c r="C1386" s="5"/>
      <c r="D1386" s="5" t="s">
        <v>366</v>
      </c>
      <c r="E1386" s="5"/>
      <c r="G1386" s="5"/>
      <c r="H1386" s="5"/>
    </row>
    <row r="1387" spans="1:8" x14ac:dyDescent="0.2">
      <c r="A1387" s="5" t="s">
        <v>1951</v>
      </c>
      <c r="B1387" s="5" t="s">
        <v>1734</v>
      </c>
      <c r="C1387" s="8">
        <v>116</v>
      </c>
      <c r="D1387" s="5" t="s">
        <v>42</v>
      </c>
      <c r="E1387" s="5"/>
      <c r="G1387" s="5"/>
      <c r="H1387" s="5"/>
    </row>
    <row r="1388" spans="1:8" x14ac:dyDescent="0.2">
      <c r="A1388" s="5" t="s">
        <v>1952</v>
      </c>
      <c r="B1388" s="5" t="s">
        <v>1736</v>
      </c>
      <c r="C1388" s="8">
        <v>54</v>
      </c>
      <c r="D1388" s="5" t="s">
        <v>42</v>
      </c>
      <c r="E1388" s="5"/>
      <c r="G1388" s="5"/>
      <c r="H1388" s="5"/>
    </row>
    <row r="1389" spans="1:8" x14ac:dyDescent="0.2">
      <c r="A1389" s="5"/>
      <c r="B1389" s="5" t="s">
        <v>1737</v>
      </c>
      <c r="C1389" s="5"/>
      <c r="D1389" s="5" t="s">
        <v>322</v>
      </c>
      <c r="E1389" s="5"/>
      <c r="G1389" s="5"/>
      <c r="H1389" s="5"/>
    </row>
    <row r="1390" spans="1:8" x14ac:dyDescent="0.2">
      <c r="A1390" s="5"/>
      <c r="B1390" s="5" t="s">
        <v>1081</v>
      </c>
      <c r="C1390" s="5"/>
      <c r="D1390" s="5" t="s">
        <v>366</v>
      </c>
      <c r="E1390" s="5"/>
      <c r="G1390" s="5"/>
      <c r="H1390" s="5"/>
    </row>
    <row r="1391" spans="1:8" x14ac:dyDescent="0.2">
      <c r="A1391" s="5" t="s">
        <v>1953</v>
      </c>
      <c r="B1391" s="5" t="s">
        <v>1739</v>
      </c>
      <c r="C1391" s="8">
        <v>190</v>
      </c>
      <c r="D1391" s="5" t="s">
        <v>42</v>
      </c>
      <c r="E1391" s="5"/>
      <c r="G1391" s="5"/>
      <c r="H1391" s="5"/>
    </row>
    <row r="1392" spans="1:8" x14ac:dyDescent="0.2">
      <c r="A1392" s="5" t="s">
        <v>1954</v>
      </c>
      <c r="B1392" s="5" t="s">
        <v>1955</v>
      </c>
      <c r="C1392" s="8">
        <v>1</v>
      </c>
      <c r="D1392" s="5" t="s">
        <v>42</v>
      </c>
      <c r="E1392" s="5"/>
      <c r="G1392" s="5"/>
      <c r="H1392" s="5"/>
    </row>
    <row r="1393" spans="1:8" x14ac:dyDescent="0.2">
      <c r="A1393" s="5"/>
      <c r="B1393" s="5" t="s">
        <v>1740</v>
      </c>
      <c r="C1393" s="5"/>
      <c r="D1393" s="5" t="s">
        <v>322</v>
      </c>
      <c r="E1393" s="5"/>
      <c r="G1393" s="5"/>
      <c r="H1393" s="5"/>
    </row>
    <row r="1394" spans="1:8" x14ac:dyDescent="0.2">
      <c r="A1394" s="5"/>
      <c r="B1394" s="5" t="s">
        <v>1081</v>
      </c>
      <c r="C1394" s="5"/>
      <c r="D1394" s="5" t="s">
        <v>366</v>
      </c>
      <c r="E1394" s="5"/>
      <c r="G1394" s="5"/>
      <c r="H1394" s="5"/>
    </row>
    <row r="1395" spans="1:8" x14ac:dyDescent="0.2">
      <c r="A1395" s="5" t="s">
        <v>1956</v>
      </c>
      <c r="B1395" s="5" t="s">
        <v>1742</v>
      </c>
      <c r="C1395" s="8">
        <v>10</v>
      </c>
      <c r="D1395" s="5" t="s">
        <v>42</v>
      </c>
      <c r="E1395" s="5"/>
      <c r="G1395" s="5"/>
      <c r="H1395" s="5"/>
    </row>
    <row r="1396" spans="1:8" x14ac:dyDescent="0.2">
      <c r="A1396" s="5"/>
      <c r="B1396" s="5" t="s">
        <v>1743</v>
      </c>
      <c r="C1396" s="5"/>
      <c r="D1396" s="5" t="s">
        <v>322</v>
      </c>
      <c r="E1396" s="5"/>
      <c r="G1396" s="5"/>
      <c r="H1396" s="5"/>
    </row>
    <row r="1397" spans="1:8" x14ac:dyDescent="0.2">
      <c r="A1397" s="5"/>
      <c r="B1397" s="5" t="s">
        <v>1102</v>
      </c>
      <c r="C1397" s="5"/>
      <c r="D1397" s="5" t="s">
        <v>366</v>
      </c>
      <c r="E1397" s="5"/>
      <c r="G1397" s="5"/>
      <c r="H1397" s="5"/>
    </row>
    <row r="1398" spans="1:8" x14ac:dyDescent="0.2">
      <c r="A1398" s="5" t="s">
        <v>1957</v>
      </c>
      <c r="B1398" s="5" t="s">
        <v>1745</v>
      </c>
      <c r="C1398" s="8">
        <v>138</v>
      </c>
      <c r="D1398" s="5" t="s">
        <v>155</v>
      </c>
      <c r="E1398" s="5"/>
      <c r="G1398" s="5"/>
      <c r="H1398" s="5"/>
    </row>
    <row r="1399" spans="1:8" x14ac:dyDescent="0.2">
      <c r="A1399" s="5" t="s">
        <v>1958</v>
      </c>
      <c r="B1399" s="5" t="s">
        <v>1959</v>
      </c>
      <c r="C1399" s="8">
        <v>37</v>
      </c>
      <c r="D1399" s="5" t="s">
        <v>155</v>
      </c>
      <c r="E1399" s="5"/>
      <c r="G1399" s="5"/>
      <c r="H1399" s="5"/>
    </row>
    <row r="1400" spans="1:8" x14ac:dyDescent="0.2">
      <c r="A1400" s="5" t="s">
        <v>1960</v>
      </c>
      <c r="B1400" s="5" t="s">
        <v>1961</v>
      </c>
      <c r="C1400" s="8">
        <v>21</v>
      </c>
      <c r="D1400" s="5" t="s">
        <v>42</v>
      </c>
      <c r="E1400" s="5"/>
      <c r="G1400" s="5"/>
      <c r="H1400" s="5"/>
    </row>
    <row r="1401" spans="1:8" x14ac:dyDescent="0.2">
      <c r="A1401" s="5" t="s">
        <v>1962</v>
      </c>
      <c r="B1401" s="5" t="s">
        <v>1963</v>
      </c>
      <c r="C1401" s="8">
        <v>4</v>
      </c>
      <c r="D1401" s="5" t="s">
        <v>155</v>
      </c>
      <c r="E1401" s="5"/>
      <c r="G1401" s="5"/>
      <c r="H1401" s="5"/>
    </row>
    <row r="1402" spans="1:8" x14ac:dyDescent="0.2">
      <c r="A1402" s="5" t="s">
        <v>1964</v>
      </c>
      <c r="B1402" s="5" t="s">
        <v>1965</v>
      </c>
      <c r="C1402" s="8">
        <v>2</v>
      </c>
      <c r="D1402" s="5" t="s">
        <v>42</v>
      </c>
      <c r="E1402" s="5"/>
      <c r="G1402" s="5"/>
      <c r="H1402" s="5"/>
    </row>
    <row r="1403" spans="1:8" x14ac:dyDescent="0.2">
      <c r="A1403" s="5"/>
      <c r="B1403" s="5" t="s">
        <v>669</v>
      </c>
      <c r="C1403" s="5"/>
      <c r="D1403" s="5" t="s">
        <v>322</v>
      </c>
      <c r="E1403" s="5"/>
      <c r="G1403" s="5"/>
      <c r="H1403" s="5"/>
    </row>
    <row r="1404" spans="1:8" x14ac:dyDescent="0.2">
      <c r="A1404" s="5"/>
      <c r="B1404" s="5" t="s">
        <v>622</v>
      </c>
      <c r="C1404" s="5"/>
      <c r="D1404" s="5" t="s">
        <v>366</v>
      </c>
      <c r="E1404" s="5"/>
      <c r="G1404" s="5"/>
      <c r="H1404" s="5"/>
    </row>
    <row r="1405" spans="1:8" x14ac:dyDescent="0.2">
      <c r="A1405" s="5" t="s">
        <v>1966</v>
      </c>
      <c r="B1405" s="5" t="s">
        <v>1967</v>
      </c>
      <c r="C1405" s="8">
        <v>27</v>
      </c>
      <c r="D1405" s="5" t="s">
        <v>42</v>
      </c>
      <c r="E1405" s="5"/>
      <c r="G1405" s="5"/>
      <c r="H1405" s="5"/>
    </row>
    <row r="1406" spans="1:8" x14ac:dyDescent="0.2">
      <c r="A1406" s="5"/>
      <c r="B1406" s="5" t="s">
        <v>1750</v>
      </c>
      <c r="C1406" s="5"/>
      <c r="D1406" s="5" t="s">
        <v>15</v>
      </c>
      <c r="E1406" s="5"/>
      <c r="G1406" s="5"/>
      <c r="H1406" s="5"/>
    </row>
    <row r="1407" spans="1:8" x14ac:dyDescent="0.2">
      <c r="A1407" s="5"/>
      <c r="B1407" s="5" t="s">
        <v>1751</v>
      </c>
      <c r="C1407" s="5"/>
      <c r="D1407" s="5" t="s">
        <v>322</v>
      </c>
      <c r="E1407" s="5"/>
      <c r="G1407" s="5"/>
      <c r="H1407" s="5"/>
    </row>
    <row r="1408" spans="1:8" x14ac:dyDescent="0.2">
      <c r="A1408" s="5"/>
      <c r="B1408" s="5" t="s">
        <v>1081</v>
      </c>
      <c r="C1408" s="5"/>
      <c r="D1408" s="5" t="s">
        <v>366</v>
      </c>
      <c r="E1408" s="5"/>
      <c r="G1408" s="5"/>
      <c r="H1408" s="5"/>
    </row>
    <row r="1409" spans="1:8" x14ac:dyDescent="0.2">
      <c r="A1409" s="5" t="s">
        <v>1968</v>
      </c>
      <c r="B1409" s="5" t="s">
        <v>1753</v>
      </c>
      <c r="C1409" s="8">
        <v>44</v>
      </c>
      <c r="D1409" s="5" t="s">
        <v>42</v>
      </c>
      <c r="E1409" s="5"/>
      <c r="G1409" s="5"/>
      <c r="H1409" s="5"/>
    </row>
    <row r="1410" spans="1:8" x14ac:dyDescent="0.2">
      <c r="A1410" s="5" t="s">
        <v>1969</v>
      </c>
      <c r="B1410" s="5" t="s">
        <v>1755</v>
      </c>
      <c r="C1410" s="8">
        <v>18</v>
      </c>
      <c r="D1410" s="5" t="s">
        <v>42</v>
      </c>
      <c r="E1410" s="5"/>
      <c r="G1410" s="5"/>
      <c r="H1410" s="5"/>
    </row>
    <row r="1411" spans="1:8" x14ac:dyDescent="0.2">
      <c r="A1411" s="5"/>
      <c r="B1411" s="5" t="s">
        <v>1740</v>
      </c>
      <c r="C1411" s="5"/>
      <c r="D1411" s="5" t="s">
        <v>322</v>
      </c>
      <c r="E1411" s="5"/>
      <c r="G1411" s="5"/>
      <c r="H1411" s="5"/>
    </row>
    <row r="1412" spans="1:8" x14ac:dyDescent="0.2">
      <c r="A1412" s="5"/>
      <c r="B1412" s="5" t="s">
        <v>1081</v>
      </c>
      <c r="C1412" s="5"/>
      <c r="D1412" s="5" t="s">
        <v>366</v>
      </c>
      <c r="E1412" s="5"/>
      <c r="G1412" s="5"/>
      <c r="H1412" s="5"/>
    </row>
    <row r="1413" spans="1:8" x14ac:dyDescent="0.2">
      <c r="A1413" s="5" t="s">
        <v>1970</v>
      </c>
      <c r="B1413" s="5" t="s">
        <v>1757</v>
      </c>
      <c r="C1413" s="8">
        <v>15</v>
      </c>
      <c r="D1413" s="5" t="s">
        <v>42</v>
      </c>
      <c r="E1413" s="5"/>
      <c r="G1413" s="5"/>
      <c r="H1413" s="5"/>
    </row>
    <row r="1414" spans="1:8" x14ac:dyDescent="0.2">
      <c r="A1414" s="5"/>
      <c r="B1414" s="5" t="s">
        <v>1737</v>
      </c>
      <c r="C1414" s="5"/>
      <c r="D1414" s="5" t="s">
        <v>322</v>
      </c>
      <c r="E1414" s="5"/>
      <c r="G1414" s="5"/>
      <c r="H1414" s="5"/>
    </row>
    <row r="1415" spans="1:8" x14ac:dyDescent="0.2">
      <c r="A1415" s="5"/>
      <c r="B1415" s="5" t="s">
        <v>1081</v>
      </c>
      <c r="C1415" s="5"/>
      <c r="D1415" s="5" t="s">
        <v>366</v>
      </c>
      <c r="E1415" s="5"/>
      <c r="G1415" s="5"/>
      <c r="H1415" s="5"/>
    </row>
    <row r="1416" spans="1:8" x14ac:dyDescent="0.2">
      <c r="A1416" s="5" t="s">
        <v>1971</v>
      </c>
      <c r="B1416" s="5" t="s">
        <v>1757</v>
      </c>
      <c r="C1416" s="8">
        <v>105</v>
      </c>
      <c r="D1416" s="5" t="s">
        <v>42</v>
      </c>
      <c r="E1416" s="5"/>
      <c r="G1416" s="5"/>
      <c r="H1416" s="5"/>
    </row>
    <row r="1417" spans="1:8" x14ac:dyDescent="0.2">
      <c r="A1417" s="5"/>
      <c r="B1417" s="5" t="s">
        <v>1743</v>
      </c>
      <c r="C1417" s="5"/>
      <c r="D1417" s="5" t="s">
        <v>322</v>
      </c>
      <c r="E1417" s="5"/>
      <c r="G1417" s="5"/>
      <c r="H1417" s="5"/>
    </row>
    <row r="1418" spans="1:8" x14ac:dyDescent="0.2">
      <c r="A1418" s="5"/>
      <c r="B1418" s="5" t="s">
        <v>1102</v>
      </c>
      <c r="C1418" s="5"/>
      <c r="D1418" s="5" t="s">
        <v>366</v>
      </c>
      <c r="E1418" s="5"/>
      <c r="G1418" s="5"/>
      <c r="H1418" s="5"/>
    </row>
    <row r="1419" spans="1:8" x14ac:dyDescent="0.2">
      <c r="A1419" s="5" t="s">
        <v>1972</v>
      </c>
      <c r="B1419" s="5" t="s">
        <v>1757</v>
      </c>
      <c r="C1419" s="8">
        <v>869</v>
      </c>
      <c r="D1419" s="5" t="s">
        <v>42</v>
      </c>
      <c r="E1419" s="5"/>
      <c r="G1419" s="5"/>
      <c r="H1419" s="5"/>
    </row>
    <row r="1420" spans="1:8" x14ac:dyDescent="0.2">
      <c r="A1420" s="5"/>
      <c r="B1420" s="5" t="s">
        <v>1904</v>
      </c>
      <c r="C1420" s="5"/>
      <c r="D1420" s="5" t="s">
        <v>322</v>
      </c>
      <c r="E1420" s="5"/>
      <c r="G1420" s="5"/>
      <c r="H1420" s="5"/>
    </row>
    <row r="1421" spans="1:8" x14ac:dyDescent="0.2">
      <c r="A1421" s="5"/>
      <c r="B1421" s="5" t="s">
        <v>1106</v>
      </c>
      <c r="C1421" s="5"/>
      <c r="D1421" s="5" t="s">
        <v>366</v>
      </c>
      <c r="E1421" s="5"/>
      <c r="G1421" s="5"/>
      <c r="H1421" s="5"/>
    </row>
    <row r="1422" spans="1:8" x14ac:dyDescent="0.2">
      <c r="A1422" s="5" t="s">
        <v>1973</v>
      </c>
      <c r="B1422" s="5" t="s">
        <v>1757</v>
      </c>
      <c r="C1422" s="8">
        <v>38</v>
      </c>
      <c r="D1422" s="5" t="s">
        <v>42</v>
      </c>
      <c r="E1422" s="5"/>
      <c r="G1422" s="5"/>
      <c r="H1422" s="5"/>
    </row>
    <row r="1423" spans="1:8" x14ac:dyDescent="0.2">
      <c r="A1423" s="5"/>
      <c r="B1423" s="5" t="s">
        <v>1974</v>
      </c>
      <c r="C1423" s="5"/>
      <c r="D1423" s="5" t="s">
        <v>322</v>
      </c>
      <c r="E1423" s="5"/>
      <c r="G1423" s="5"/>
      <c r="H1423" s="5"/>
    </row>
    <row r="1424" spans="1:8" x14ac:dyDescent="0.2">
      <c r="A1424" s="5"/>
      <c r="B1424" s="5" t="s">
        <v>1102</v>
      </c>
      <c r="C1424" s="5"/>
      <c r="D1424" s="5" t="s">
        <v>366</v>
      </c>
      <c r="E1424" s="5"/>
      <c r="G1424" s="5"/>
      <c r="H1424" s="5"/>
    </row>
    <row r="1425" spans="1:9" x14ac:dyDescent="0.2">
      <c r="A1425" s="5" t="s">
        <v>1975</v>
      </c>
      <c r="B1425" s="5" t="s">
        <v>1976</v>
      </c>
      <c r="C1425" s="8">
        <v>3</v>
      </c>
      <c r="D1425" s="5" t="s">
        <v>42</v>
      </c>
      <c r="E1425" s="5"/>
      <c r="G1425" s="5"/>
      <c r="H1425" s="5"/>
    </row>
    <row r="1426" spans="1:9" x14ac:dyDescent="0.2">
      <c r="A1426" s="5"/>
      <c r="B1426" s="5" t="s">
        <v>1106</v>
      </c>
      <c r="C1426" s="5"/>
      <c r="D1426" s="5" t="s">
        <v>366</v>
      </c>
      <c r="E1426" s="5"/>
      <c r="G1426" s="5"/>
      <c r="H1426" s="5"/>
    </row>
    <row r="1427" spans="1:9" x14ac:dyDescent="0.2">
      <c r="A1427" s="5" t="s">
        <v>1977</v>
      </c>
      <c r="B1427" s="5" t="s">
        <v>1978</v>
      </c>
      <c r="C1427" s="8">
        <v>32</v>
      </c>
      <c r="D1427" s="5" t="s">
        <v>42</v>
      </c>
      <c r="E1427" s="5"/>
      <c r="G1427" s="5"/>
      <c r="H1427" s="5"/>
    </row>
    <row r="1428" spans="1:9" x14ac:dyDescent="0.2">
      <c r="B1428" s="6" t="s">
        <v>1979</v>
      </c>
      <c r="C1428" s="6"/>
      <c r="D1428" s="6"/>
      <c r="E1428" s="6"/>
      <c r="F1428" s="9">
        <f>SUM(H958:H1428)</f>
        <v>0</v>
      </c>
      <c r="G1428" s="6"/>
      <c r="I1428" s="9">
        <f>PRODUCT(F1428,G1428)</f>
        <v>0</v>
      </c>
    </row>
    <row r="1430" spans="1:9" x14ac:dyDescent="0.2">
      <c r="A1430" s="6" t="s">
        <v>1980</v>
      </c>
      <c r="B1430" s="6" t="s">
        <v>1981</v>
      </c>
    </row>
    <row r="1431" spans="1:9" x14ac:dyDescent="0.2">
      <c r="A1431" s="5"/>
      <c r="B1431" s="5" t="s">
        <v>64</v>
      </c>
      <c r="C1431" s="5"/>
      <c r="D1431" s="5" t="s">
        <v>13</v>
      </c>
      <c r="E1431" s="5"/>
      <c r="G1431" s="5"/>
      <c r="H1431" s="5"/>
    </row>
    <row r="1432" spans="1:9" x14ac:dyDescent="0.2">
      <c r="A1432" s="5" t="s">
        <v>1982</v>
      </c>
      <c r="B1432" s="5" t="s">
        <v>66</v>
      </c>
      <c r="C1432" s="5"/>
      <c r="D1432" s="5" t="s">
        <v>18</v>
      </c>
      <c r="E1432" s="5"/>
      <c r="G1432" s="5"/>
      <c r="H1432" s="5"/>
    </row>
    <row r="1433" spans="1:9" x14ac:dyDescent="0.2">
      <c r="A1433" s="5" t="s">
        <v>1983</v>
      </c>
      <c r="B1433" s="5" t="s">
        <v>68</v>
      </c>
      <c r="C1433" s="5"/>
      <c r="D1433" s="5" t="s">
        <v>18</v>
      </c>
      <c r="E1433" s="5"/>
      <c r="G1433" s="5"/>
      <c r="H1433" s="5"/>
    </row>
    <row r="1434" spans="1:9" x14ac:dyDescent="0.2">
      <c r="A1434" s="5"/>
      <c r="B1434" s="5" t="s">
        <v>71</v>
      </c>
      <c r="C1434" s="5"/>
      <c r="D1434" s="5" t="s">
        <v>13</v>
      </c>
      <c r="E1434" s="5"/>
      <c r="G1434" s="5"/>
      <c r="H1434" s="5"/>
    </row>
    <row r="1435" spans="1:9" x14ac:dyDescent="0.2">
      <c r="A1435" s="5" t="s">
        <v>1984</v>
      </c>
      <c r="B1435" s="5" t="s">
        <v>269</v>
      </c>
      <c r="C1435" s="5"/>
      <c r="D1435" s="5" t="s">
        <v>18</v>
      </c>
      <c r="E1435" s="5"/>
      <c r="G1435" s="5"/>
      <c r="H1435" s="5"/>
    </row>
    <row r="1436" spans="1:9" x14ac:dyDescent="0.2">
      <c r="A1436" s="5" t="s">
        <v>1985</v>
      </c>
      <c r="B1436" s="5" t="s">
        <v>271</v>
      </c>
      <c r="C1436" s="5"/>
      <c r="D1436" s="5" t="s">
        <v>18</v>
      </c>
      <c r="E1436" s="5"/>
      <c r="G1436" s="5"/>
      <c r="H1436" s="5"/>
    </row>
    <row r="1437" spans="1:9" x14ac:dyDescent="0.2">
      <c r="A1437" s="5"/>
      <c r="B1437" s="5" t="s">
        <v>76</v>
      </c>
      <c r="C1437" s="5"/>
      <c r="D1437" s="5" t="s">
        <v>13</v>
      </c>
      <c r="E1437" s="5"/>
      <c r="G1437" s="5"/>
      <c r="H1437" s="5"/>
    </row>
    <row r="1438" spans="1:9" x14ac:dyDescent="0.2">
      <c r="A1438" s="5"/>
      <c r="B1438" s="5" t="s">
        <v>77</v>
      </c>
      <c r="C1438" s="5"/>
      <c r="D1438" s="5" t="s">
        <v>15</v>
      </c>
      <c r="E1438" s="5"/>
      <c r="G1438" s="5"/>
      <c r="H1438" s="5"/>
    </row>
    <row r="1439" spans="1:9" x14ac:dyDescent="0.2">
      <c r="A1439" s="5" t="s">
        <v>1986</v>
      </c>
      <c r="B1439" s="5" t="s">
        <v>1987</v>
      </c>
      <c r="C1439" s="5"/>
      <c r="D1439" s="5" t="s">
        <v>18</v>
      </c>
      <c r="E1439" s="5"/>
      <c r="G1439" s="5"/>
      <c r="H1439" s="5"/>
    </row>
    <row r="1440" spans="1:9" x14ac:dyDescent="0.2">
      <c r="A1440" s="5" t="s">
        <v>1988</v>
      </c>
      <c r="B1440" s="5" t="s">
        <v>1989</v>
      </c>
      <c r="C1440" s="5"/>
      <c r="D1440" s="5" t="s">
        <v>18</v>
      </c>
      <c r="E1440" s="5"/>
      <c r="G1440" s="5"/>
      <c r="H1440" s="5"/>
    </row>
    <row r="1441" spans="1:8" x14ac:dyDescent="0.2">
      <c r="A1441" s="5" t="s">
        <v>1990</v>
      </c>
      <c r="B1441" s="5" t="s">
        <v>1991</v>
      </c>
      <c r="C1441" s="5"/>
      <c r="D1441" s="5" t="s">
        <v>18</v>
      </c>
      <c r="E1441" s="5"/>
      <c r="G1441" s="5"/>
      <c r="H1441" s="5"/>
    </row>
    <row r="1442" spans="1:8" x14ac:dyDescent="0.2">
      <c r="A1442" s="5" t="s">
        <v>1992</v>
      </c>
      <c r="B1442" s="5" t="s">
        <v>1993</v>
      </c>
      <c r="C1442" s="5"/>
      <c r="D1442" s="5" t="s">
        <v>18</v>
      </c>
      <c r="E1442" s="5"/>
      <c r="G1442" s="5"/>
      <c r="H1442" s="5"/>
    </row>
    <row r="1443" spans="1:8" x14ac:dyDescent="0.2">
      <c r="A1443" s="5" t="s">
        <v>1994</v>
      </c>
      <c r="B1443" s="5" t="s">
        <v>299</v>
      </c>
      <c r="C1443" s="5"/>
      <c r="D1443" s="5" t="s">
        <v>18</v>
      </c>
      <c r="E1443" s="5"/>
      <c r="G1443" s="5"/>
      <c r="H1443" s="5"/>
    </row>
    <row r="1444" spans="1:8" x14ac:dyDescent="0.2">
      <c r="A1444" s="5"/>
      <c r="B1444" s="5" t="s">
        <v>94</v>
      </c>
      <c r="C1444" s="5"/>
      <c r="D1444" s="5" t="s">
        <v>13</v>
      </c>
      <c r="E1444" s="5"/>
      <c r="G1444" s="5"/>
      <c r="H1444" s="5"/>
    </row>
    <row r="1445" spans="1:8" x14ac:dyDescent="0.2">
      <c r="A1445" s="5" t="s">
        <v>1995</v>
      </c>
      <c r="B1445" s="5" t="s">
        <v>111</v>
      </c>
      <c r="C1445" s="8">
        <v>1</v>
      </c>
      <c r="D1445" s="5" t="s">
        <v>97</v>
      </c>
      <c r="E1445" s="5"/>
      <c r="G1445" s="5"/>
      <c r="H1445" s="5"/>
    </row>
    <row r="1446" spans="1:8" x14ac:dyDescent="0.2">
      <c r="A1446" s="5" t="s">
        <v>1996</v>
      </c>
      <c r="B1446" s="5" t="s">
        <v>113</v>
      </c>
      <c r="C1446" s="8">
        <v>1</v>
      </c>
      <c r="D1446" s="5" t="s">
        <v>97</v>
      </c>
      <c r="E1446" s="5"/>
      <c r="G1446" s="5"/>
      <c r="H1446" s="5"/>
    </row>
    <row r="1447" spans="1:8" x14ac:dyDescent="0.2">
      <c r="A1447" s="5" t="s">
        <v>1997</v>
      </c>
      <c r="B1447" s="5" t="s">
        <v>1998</v>
      </c>
      <c r="C1447" s="8">
        <v>1</v>
      </c>
      <c r="D1447" s="5" t="s">
        <v>97</v>
      </c>
      <c r="E1447" s="5"/>
      <c r="G1447" s="5"/>
      <c r="H1447" s="5"/>
    </row>
    <row r="1448" spans="1:8" x14ac:dyDescent="0.2">
      <c r="A1448" s="5" t="s">
        <v>1999</v>
      </c>
      <c r="B1448" s="5" t="s">
        <v>2000</v>
      </c>
      <c r="C1448" s="8">
        <v>1</v>
      </c>
      <c r="D1448" s="5" t="s">
        <v>97</v>
      </c>
      <c r="E1448" s="5"/>
      <c r="G1448" s="5"/>
      <c r="H1448" s="5"/>
    </row>
    <row r="1449" spans="1:8" x14ac:dyDescent="0.2">
      <c r="A1449" s="5" t="s">
        <v>2001</v>
      </c>
      <c r="B1449" s="5" t="s">
        <v>2002</v>
      </c>
      <c r="C1449" s="8">
        <v>1</v>
      </c>
      <c r="D1449" s="5" t="s">
        <v>97</v>
      </c>
      <c r="E1449" s="5"/>
      <c r="G1449" s="5"/>
      <c r="H1449" s="5"/>
    </row>
    <row r="1450" spans="1:8" x14ac:dyDescent="0.2">
      <c r="A1450" s="5" t="s">
        <v>2003</v>
      </c>
      <c r="B1450" s="5" t="s">
        <v>2004</v>
      </c>
      <c r="C1450" s="8">
        <v>1</v>
      </c>
      <c r="D1450" s="5" t="s">
        <v>97</v>
      </c>
      <c r="E1450" s="5"/>
      <c r="G1450" s="5"/>
      <c r="H1450" s="5"/>
    </row>
    <row r="1451" spans="1:8" x14ac:dyDescent="0.2">
      <c r="A1451" s="5"/>
      <c r="B1451" s="5" t="s">
        <v>135</v>
      </c>
      <c r="C1451" s="5"/>
      <c r="D1451" s="5" t="s">
        <v>13</v>
      </c>
      <c r="E1451" s="5"/>
      <c r="G1451" s="5"/>
      <c r="H1451" s="5"/>
    </row>
    <row r="1452" spans="1:8" x14ac:dyDescent="0.2">
      <c r="A1452" s="5" t="s">
        <v>2005</v>
      </c>
      <c r="B1452" s="5" t="s">
        <v>2006</v>
      </c>
      <c r="C1452" s="5"/>
      <c r="D1452" s="5" t="s">
        <v>18</v>
      </c>
      <c r="E1452" s="5"/>
      <c r="G1452" s="5"/>
      <c r="H1452" s="5"/>
    </row>
    <row r="1453" spans="1:8" x14ac:dyDescent="0.2">
      <c r="A1453" s="5" t="s">
        <v>2007</v>
      </c>
      <c r="B1453" s="5" t="s">
        <v>2008</v>
      </c>
      <c r="C1453" s="5"/>
      <c r="D1453" s="5" t="s">
        <v>18</v>
      </c>
      <c r="E1453" s="5"/>
      <c r="G1453" s="5"/>
      <c r="H1453" s="5"/>
    </row>
    <row r="1454" spans="1:8" x14ac:dyDescent="0.2">
      <c r="A1454" s="5"/>
      <c r="B1454" s="5" t="s">
        <v>2009</v>
      </c>
      <c r="C1454" s="5"/>
      <c r="D1454" s="5" t="s">
        <v>13</v>
      </c>
      <c r="E1454" s="5"/>
      <c r="G1454" s="5"/>
      <c r="H1454" s="5"/>
    </row>
    <row r="1455" spans="1:8" x14ac:dyDescent="0.2">
      <c r="A1455" s="5" t="s">
        <v>2010</v>
      </c>
      <c r="B1455" s="5" t="s">
        <v>2011</v>
      </c>
      <c r="C1455" s="8">
        <v>222.07</v>
      </c>
      <c r="D1455" s="5" t="s">
        <v>382</v>
      </c>
      <c r="E1455" s="5"/>
      <c r="G1455" s="5"/>
      <c r="H1455" s="5"/>
    </row>
    <row r="1456" spans="1:8" x14ac:dyDescent="0.2">
      <c r="A1456" s="5" t="s">
        <v>2012</v>
      </c>
      <c r="B1456" s="5" t="s">
        <v>2013</v>
      </c>
      <c r="C1456" s="8">
        <v>136.94</v>
      </c>
      <c r="D1456" s="5" t="s">
        <v>382</v>
      </c>
      <c r="E1456" s="5"/>
      <c r="G1456" s="5"/>
      <c r="H1456" s="5"/>
    </row>
    <row r="1457" spans="1:8" x14ac:dyDescent="0.2">
      <c r="A1457" s="5"/>
      <c r="B1457" s="5" t="s">
        <v>38</v>
      </c>
      <c r="C1457" s="5"/>
      <c r="D1457" s="5" t="s">
        <v>13</v>
      </c>
      <c r="E1457" s="5"/>
      <c r="G1457" s="5"/>
      <c r="H1457" s="5"/>
    </row>
    <row r="1458" spans="1:8" x14ac:dyDescent="0.2">
      <c r="A1458" s="5"/>
      <c r="B1458" s="5" t="s">
        <v>2014</v>
      </c>
      <c r="C1458" s="5"/>
      <c r="D1458" s="5" t="s">
        <v>15</v>
      </c>
      <c r="E1458" s="5"/>
      <c r="G1458" s="5"/>
      <c r="H1458" s="5"/>
    </row>
    <row r="1459" spans="1:8" x14ac:dyDescent="0.2">
      <c r="A1459" s="5"/>
      <c r="B1459" s="5" t="s">
        <v>1732</v>
      </c>
      <c r="C1459" s="5"/>
      <c r="D1459" s="5" t="s">
        <v>322</v>
      </c>
      <c r="E1459" s="5"/>
      <c r="G1459" s="5"/>
      <c r="H1459" s="5"/>
    </row>
    <row r="1460" spans="1:8" x14ac:dyDescent="0.2">
      <c r="A1460" s="5"/>
      <c r="B1460" s="5" t="s">
        <v>622</v>
      </c>
      <c r="C1460" s="5"/>
      <c r="D1460" s="5" t="s">
        <v>366</v>
      </c>
      <c r="E1460" s="5"/>
      <c r="G1460" s="5"/>
      <c r="H1460" s="5"/>
    </row>
    <row r="1461" spans="1:8" x14ac:dyDescent="0.2">
      <c r="A1461" s="5" t="s">
        <v>2015</v>
      </c>
      <c r="B1461" s="5" t="s">
        <v>2016</v>
      </c>
      <c r="C1461" s="8">
        <v>23.68</v>
      </c>
      <c r="D1461" s="5" t="s">
        <v>382</v>
      </c>
      <c r="E1461" s="5"/>
      <c r="G1461" s="5"/>
      <c r="H1461" s="5"/>
    </row>
    <row r="1462" spans="1:8" x14ac:dyDescent="0.2">
      <c r="A1462" s="5"/>
      <c r="B1462" s="5" t="s">
        <v>2017</v>
      </c>
      <c r="C1462" s="5"/>
      <c r="D1462" s="5" t="s">
        <v>322</v>
      </c>
      <c r="E1462" s="5"/>
      <c r="G1462" s="5"/>
      <c r="H1462" s="5"/>
    </row>
    <row r="1463" spans="1:8" x14ac:dyDescent="0.2">
      <c r="A1463" s="5"/>
      <c r="B1463" s="5" t="s">
        <v>622</v>
      </c>
      <c r="C1463" s="5"/>
      <c r="D1463" s="5" t="s">
        <v>366</v>
      </c>
      <c r="E1463" s="5"/>
      <c r="G1463" s="5"/>
      <c r="H1463" s="5"/>
    </row>
    <row r="1464" spans="1:8" x14ac:dyDescent="0.2">
      <c r="A1464" s="5" t="s">
        <v>2018</v>
      </c>
      <c r="B1464" s="5" t="s">
        <v>2019</v>
      </c>
      <c r="C1464" s="8">
        <v>5.04</v>
      </c>
      <c r="D1464" s="5" t="s">
        <v>382</v>
      </c>
      <c r="E1464" s="5"/>
      <c r="G1464" s="5"/>
      <c r="H1464" s="5"/>
    </row>
    <row r="1465" spans="1:8" x14ac:dyDescent="0.2">
      <c r="A1465" s="5"/>
      <c r="B1465" s="5" t="s">
        <v>1740</v>
      </c>
      <c r="C1465" s="5"/>
      <c r="D1465" s="5" t="s">
        <v>322</v>
      </c>
      <c r="E1465" s="5"/>
      <c r="G1465" s="5"/>
      <c r="H1465" s="5"/>
    </row>
    <row r="1466" spans="1:8" x14ac:dyDescent="0.2">
      <c r="A1466" s="5"/>
      <c r="B1466" s="5" t="s">
        <v>622</v>
      </c>
      <c r="C1466" s="5"/>
      <c r="D1466" s="5" t="s">
        <v>366</v>
      </c>
      <c r="E1466" s="5"/>
      <c r="G1466" s="5"/>
      <c r="H1466" s="5"/>
    </row>
    <row r="1467" spans="1:8" x14ac:dyDescent="0.2">
      <c r="A1467" s="5" t="s">
        <v>2020</v>
      </c>
      <c r="B1467" s="5" t="s">
        <v>2021</v>
      </c>
      <c r="C1467" s="8">
        <v>4.74</v>
      </c>
      <c r="D1467" s="5" t="s">
        <v>382</v>
      </c>
      <c r="E1467" s="5"/>
      <c r="G1467" s="5"/>
      <c r="H1467" s="5"/>
    </row>
    <row r="1468" spans="1:8" x14ac:dyDescent="0.2">
      <c r="A1468" s="5"/>
      <c r="B1468" s="5" t="s">
        <v>2022</v>
      </c>
      <c r="C1468" s="5"/>
      <c r="D1468" s="5" t="s">
        <v>322</v>
      </c>
      <c r="E1468" s="5"/>
      <c r="G1468" s="5"/>
      <c r="H1468" s="5"/>
    </row>
    <row r="1469" spans="1:8" x14ac:dyDescent="0.2">
      <c r="A1469" s="5"/>
      <c r="B1469" s="5" t="s">
        <v>653</v>
      </c>
      <c r="C1469" s="5"/>
      <c r="D1469" s="5" t="s">
        <v>366</v>
      </c>
      <c r="E1469" s="5"/>
      <c r="G1469" s="5"/>
      <c r="H1469" s="5"/>
    </row>
    <row r="1470" spans="1:8" x14ac:dyDescent="0.2">
      <c r="A1470" s="5" t="s">
        <v>2023</v>
      </c>
      <c r="B1470" s="5" t="s">
        <v>2024</v>
      </c>
      <c r="C1470" s="8">
        <v>10.82</v>
      </c>
      <c r="D1470" s="5" t="s">
        <v>382</v>
      </c>
      <c r="E1470" s="5"/>
      <c r="G1470" s="5"/>
      <c r="H1470" s="5"/>
    </row>
    <row r="1471" spans="1:8" x14ac:dyDescent="0.2">
      <c r="A1471" s="5"/>
      <c r="B1471" s="5" t="s">
        <v>2025</v>
      </c>
      <c r="C1471" s="5"/>
      <c r="D1471" s="5" t="s">
        <v>322</v>
      </c>
      <c r="E1471" s="5"/>
      <c r="G1471" s="5"/>
      <c r="H1471" s="5"/>
    </row>
    <row r="1472" spans="1:8" x14ac:dyDescent="0.2">
      <c r="A1472" s="5"/>
      <c r="B1472" s="5" t="s">
        <v>651</v>
      </c>
      <c r="C1472" s="5"/>
      <c r="D1472" s="5" t="s">
        <v>366</v>
      </c>
      <c r="E1472" s="5"/>
      <c r="G1472" s="5"/>
      <c r="H1472" s="5"/>
    </row>
    <row r="1473" spans="1:8" x14ac:dyDescent="0.2">
      <c r="A1473" s="5" t="s">
        <v>2026</v>
      </c>
      <c r="B1473" s="5" t="s">
        <v>653</v>
      </c>
      <c r="C1473" s="5"/>
      <c r="D1473" s="5" t="s">
        <v>654</v>
      </c>
      <c r="E1473" s="5"/>
      <c r="G1473" s="5"/>
      <c r="H1473" s="5"/>
    </row>
    <row r="1474" spans="1:8" x14ac:dyDescent="0.2">
      <c r="A1474" s="5" t="s">
        <v>2027</v>
      </c>
      <c r="B1474" s="5" t="s">
        <v>2028</v>
      </c>
      <c r="C1474" s="8">
        <v>1.94</v>
      </c>
      <c r="D1474" s="5" t="s">
        <v>382</v>
      </c>
      <c r="E1474" s="5"/>
      <c r="G1474" s="5"/>
      <c r="H1474" s="5"/>
    </row>
    <row r="1475" spans="1:8" x14ac:dyDescent="0.2">
      <c r="A1475" s="5" t="s">
        <v>2029</v>
      </c>
      <c r="B1475" s="5" t="s">
        <v>658</v>
      </c>
      <c r="C1475" s="5"/>
      <c r="D1475" s="5" t="s">
        <v>654</v>
      </c>
      <c r="E1475" s="5"/>
      <c r="G1475" s="5"/>
      <c r="H1475" s="5"/>
    </row>
    <row r="1476" spans="1:8" x14ac:dyDescent="0.2">
      <c r="A1476" s="5" t="s">
        <v>2030</v>
      </c>
      <c r="B1476" s="5" t="s">
        <v>2028</v>
      </c>
      <c r="C1476" s="8">
        <v>0.44</v>
      </c>
      <c r="D1476" s="5" t="s">
        <v>382</v>
      </c>
      <c r="E1476" s="5"/>
      <c r="G1476" s="5"/>
      <c r="H1476" s="5"/>
    </row>
    <row r="1477" spans="1:8" x14ac:dyDescent="0.2">
      <c r="A1477" s="5" t="s">
        <v>2031</v>
      </c>
      <c r="B1477" s="5" t="s">
        <v>662</v>
      </c>
      <c r="C1477" s="5"/>
      <c r="D1477" s="5" t="s">
        <v>654</v>
      </c>
      <c r="E1477" s="5"/>
      <c r="G1477" s="5"/>
      <c r="H1477" s="5"/>
    </row>
    <row r="1478" spans="1:8" x14ac:dyDescent="0.2">
      <c r="A1478" s="5" t="s">
        <v>2032</v>
      </c>
      <c r="B1478" s="5" t="s">
        <v>2028</v>
      </c>
      <c r="C1478" s="8">
        <v>0.44</v>
      </c>
      <c r="D1478" s="5" t="s">
        <v>382</v>
      </c>
      <c r="E1478" s="5"/>
      <c r="G1478" s="5"/>
      <c r="H1478" s="5"/>
    </row>
    <row r="1479" spans="1:8" x14ac:dyDescent="0.2">
      <c r="A1479" s="5" t="s">
        <v>2033</v>
      </c>
      <c r="B1479" s="5" t="s">
        <v>666</v>
      </c>
      <c r="C1479" s="5"/>
      <c r="D1479" s="5" t="s">
        <v>654</v>
      </c>
      <c r="E1479" s="5"/>
      <c r="G1479" s="5"/>
      <c r="H1479" s="5"/>
    </row>
    <row r="1480" spans="1:8" x14ac:dyDescent="0.2">
      <c r="A1480" s="5" t="s">
        <v>2034</v>
      </c>
      <c r="B1480" s="5" t="s">
        <v>2028</v>
      </c>
      <c r="C1480" s="8">
        <v>0.59</v>
      </c>
      <c r="D1480" s="5" t="s">
        <v>382</v>
      </c>
      <c r="E1480" s="5"/>
      <c r="G1480" s="5"/>
      <c r="H1480" s="5"/>
    </row>
    <row r="1481" spans="1:8" x14ac:dyDescent="0.2">
      <c r="A1481" s="5"/>
      <c r="B1481" s="5" t="s">
        <v>669</v>
      </c>
      <c r="C1481" s="5"/>
      <c r="D1481" s="5" t="s">
        <v>366</v>
      </c>
      <c r="E1481" s="5"/>
      <c r="G1481" s="5"/>
      <c r="H1481" s="5"/>
    </row>
    <row r="1482" spans="1:8" x14ac:dyDescent="0.2">
      <c r="A1482" s="5" t="s">
        <v>2035</v>
      </c>
      <c r="B1482" s="5" t="s">
        <v>622</v>
      </c>
      <c r="C1482" s="5"/>
      <c r="D1482" s="5" t="s">
        <v>654</v>
      </c>
      <c r="E1482" s="5"/>
      <c r="G1482" s="5"/>
      <c r="H1482" s="5"/>
    </row>
    <row r="1483" spans="1:8" x14ac:dyDescent="0.2">
      <c r="A1483" s="5" t="s">
        <v>2036</v>
      </c>
      <c r="B1483" s="5" t="s">
        <v>2037</v>
      </c>
      <c r="C1483" s="8">
        <v>1</v>
      </c>
      <c r="D1483" s="5" t="s">
        <v>382</v>
      </c>
      <c r="E1483" s="5"/>
      <c r="G1483" s="5"/>
      <c r="H1483" s="5"/>
    </row>
    <row r="1484" spans="1:8" x14ac:dyDescent="0.2">
      <c r="A1484" s="5" t="s">
        <v>2038</v>
      </c>
      <c r="B1484" s="5" t="s">
        <v>653</v>
      </c>
      <c r="C1484" s="5"/>
      <c r="D1484" s="5" t="s">
        <v>654</v>
      </c>
      <c r="E1484" s="5"/>
      <c r="G1484" s="5"/>
      <c r="H1484" s="5"/>
    </row>
    <row r="1485" spans="1:8" x14ac:dyDescent="0.2">
      <c r="A1485" s="5" t="s">
        <v>2039</v>
      </c>
      <c r="B1485" s="5" t="s">
        <v>2040</v>
      </c>
      <c r="C1485" s="8">
        <v>0.98</v>
      </c>
      <c r="D1485" s="5" t="s">
        <v>382</v>
      </c>
      <c r="E1485" s="5"/>
      <c r="G1485" s="5"/>
      <c r="H1485" s="5"/>
    </row>
    <row r="1486" spans="1:8" x14ac:dyDescent="0.2">
      <c r="A1486" s="5" t="s">
        <v>2041</v>
      </c>
      <c r="B1486" s="5" t="s">
        <v>2042</v>
      </c>
      <c r="C1486" s="8">
        <v>0.33</v>
      </c>
      <c r="D1486" s="5" t="s">
        <v>382</v>
      </c>
      <c r="E1486" s="5"/>
      <c r="G1486" s="5"/>
      <c r="H1486" s="5"/>
    </row>
    <row r="1487" spans="1:8" x14ac:dyDescent="0.2">
      <c r="A1487" s="5" t="s">
        <v>2043</v>
      </c>
      <c r="B1487" s="5" t="s">
        <v>658</v>
      </c>
      <c r="C1487" s="5"/>
      <c r="D1487" s="5" t="s">
        <v>654</v>
      </c>
      <c r="E1487" s="5"/>
      <c r="G1487" s="5"/>
      <c r="H1487" s="5"/>
    </row>
    <row r="1488" spans="1:8" x14ac:dyDescent="0.2">
      <c r="A1488" s="5" t="s">
        <v>2044</v>
      </c>
      <c r="B1488" s="5" t="s">
        <v>2040</v>
      </c>
      <c r="C1488" s="8">
        <v>0.52</v>
      </c>
      <c r="D1488" s="5" t="s">
        <v>382</v>
      </c>
      <c r="E1488" s="5"/>
      <c r="G1488" s="5"/>
      <c r="H1488" s="5"/>
    </row>
    <row r="1489" spans="1:8" x14ac:dyDescent="0.2">
      <c r="A1489" s="5" t="s">
        <v>2045</v>
      </c>
      <c r="B1489" s="5" t="s">
        <v>2042</v>
      </c>
      <c r="C1489" s="8">
        <v>0.15</v>
      </c>
      <c r="D1489" s="5" t="s">
        <v>382</v>
      </c>
      <c r="E1489" s="5"/>
      <c r="G1489" s="5"/>
      <c r="H1489" s="5"/>
    </row>
    <row r="1490" spans="1:8" x14ac:dyDescent="0.2">
      <c r="A1490" s="5" t="s">
        <v>2046</v>
      </c>
      <c r="B1490" s="5" t="s">
        <v>662</v>
      </c>
      <c r="C1490" s="5"/>
      <c r="D1490" s="5" t="s">
        <v>654</v>
      </c>
      <c r="E1490" s="5"/>
      <c r="G1490" s="5"/>
      <c r="H1490" s="5"/>
    </row>
    <row r="1491" spans="1:8" x14ac:dyDescent="0.2">
      <c r="A1491" s="5" t="s">
        <v>2047</v>
      </c>
      <c r="B1491" s="5" t="s">
        <v>2040</v>
      </c>
      <c r="C1491" s="8">
        <v>0.52</v>
      </c>
      <c r="D1491" s="5" t="s">
        <v>382</v>
      </c>
      <c r="E1491" s="5"/>
      <c r="G1491" s="5"/>
      <c r="H1491" s="5"/>
    </row>
    <row r="1492" spans="1:8" x14ac:dyDescent="0.2">
      <c r="A1492" s="5" t="s">
        <v>2048</v>
      </c>
      <c r="B1492" s="5" t="s">
        <v>2042</v>
      </c>
      <c r="C1492" s="8">
        <v>0.15</v>
      </c>
      <c r="D1492" s="5" t="s">
        <v>382</v>
      </c>
      <c r="E1492" s="5"/>
      <c r="G1492" s="5"/>
      <c r="H1492" s="5"/>
    </row>
    <row r="1493" spans="1:8" x14ac:dyDescent="0.2">
      <c r="A1493" s="5" t="s">
        <v>2049</v>
      </c>
      <c r="B1493" s="5" t="s">
        <v>666</v>
      </c>
      <c r="C1493" s="5"/>
      <c r="D1493" s="5" t="s">
        <v>654</v>
      </c>
      <c r="E1493" s="5"/>
      <c r="G1493" s="5"/>
      <c r="H1493" s="5"/>
    </row>
    <row r="1494" spans="1:8" x14ac:dyDescent="0.2">
      <c r="A1494" s="5" t="s">
        <v>2050</v>
      </c>
      <c r="B1494" s="5" t="s">
        <v>2040</v>
      </c>
      <c r="C1494" s="8">
        <v>0.46</v>
      </c>
      <c r="D1494" s="5" t="s">
        <v>382</v>
      </c>
      <c r="E1494" s="5"/>
      <c r="G1494" s="5"/>
      <c r="H1494" s="5"/>
    </row>
    <row r="1495" spans="1:8" x14ac:dyDescent="0.2">
      <c r="A1495" s="5" t="s">
        <v>2051</v>
      </c>
      <c r="B1495" s="5" t="s">
        <v>2042</v>
      </c>
      <c r="C1495" s="8">
        <v>0.28000000000000003</v>
      </c>
      <c r="D1495" s="5" t="s">
        <v>382</v>
      </c>
      <c r="E1495" s="5"/>
      <c r="G1495" s="5"/>
      <c r="H1495" s="5"/>
    </row>
    <row r="1496" spans="1:8" x14ac:dyDescent="0.2">
      <c r="A1496" s="5"/>
      <c r="B1496" s="5" t="s">
        <v>1483</v>
      </c>
      <c r="C1496" s="5"/>
      <c r="D1496" s="5" t="s">
        <v>322</v>
      </c>
      <c r="E1496" s="5"/>
      <c r="G1496" s="5"/>
      <c r="H1496" s="5"/>
    </row>
    <row r="1497" spans="1:8" x14ac:dyDescent="0.2">
      <c r="A1497" s="5"/>
      <c r="B1497" s="5" t="s">
        <v>653</v>
      </c>
      <c r="C1497" s="5"/>
      <c r="D1497" s="5" t="s">
        <v>366</v>
      </c>
      <c r="E1497" s="5"/>
      <c r="G1497" s="5"/>
      <c r="H1497" s="5"/>
    </row>
    <row r="1498" spans="1:8" x14ac:dyDescent="0.2">
      <c r="A1498" s="5" t="s">
        <v>2052</v>
      </c>
      <c r="B1498" s="5" t="s">
        <v>2053</v>
      </c>
      <c r="C1498" s="8">
        <v>19.399999999999999</v>
      </c>
      <c r="D1498" s="5" t="s">
        <v>382</v>
      </c>
      <c r="E1498" s="5"/>
      <c r="G1498" s="5"/>
      <c r="H1498" s="5"/>
    </row>
    <row r="1499" spans="1:8" x14ac:dyDescent="0.2">
      <c r="A1499" s="5"/>
      <c r="B1499" s="5" t="s">
        <v>658</v>
      </c>
      <c r="C1499" s="5"/>
      <c r="D1499" s="5" t="s">
        <v>366</v>
      </c>
      <c r="E1499" s="5"/>
      <c r="G1499" s="5"/>
      <c r="H1499" s="5"/>
    </row>
    <row r="1500" spans="1:8" x14ac:dyDescent="0.2">
      <c r="A1500" s="5" t="s">
        <v>2054</v>
      </c>
      <c r="B1500" s="5" t="s">
        <v>2053</v>
      </c>
      <c r="C1500" s="8">
        <v>12.87</v>
      </c>
      <c r="D1500" s="5" t="s">
        <v>382</v>
      </c>
      <c r="E1500" s="5"/>
      <c r="G1500" s="5"/>
      <c r="H1500" s="5"/>
    </row>
    <row r="1501" spans="1:8" x14ac:dyDescent="0.2">
      <c r="A1501" s="5"/>
      <c r="B1501" s="5" t="s">
        <v>662</v>
      </c>
      <c r="C1501" s="5"/>
      <c r="D1501" s="5" t="s">
        <v>366</v>
      </c>
      <c r="E1501" s="5"/>
      <c r="G1501" s="5"/>
      <c r="H1501" s="5"/>
    </row>
    <row r="1502" spans="1:8" x14ac:dyDescent="0.2">
      <c r="A1502" s="5" t="s">
        <v>2055</v>
      </c>
      <c r="B1502" s="5" t="s">
        <v>2053</v>
      </c>
      <c r="C1502" s="8">
        <v>12.01</v>
      </c>
      <c r="D1502" s="5" t="s">
        <v>382</v>
      </c>
      <c r="E1502" s="5"/>
      <c r="G1502" s="5"/>
      <c r="H1502" s="5"/>
    </row>
    <row r="1503" spans="1:8" x14ac:dyDescent="0.2">
      <c r="A1503" s="5"/>
      <c r="B1503" s="5" t="s">
        <v>666</v>
      </c>
      <c r="C1503" s="5"/>
      <c r="D1503" s="5" t="s">
        <v>366</v>
      </c>
      <c r="E1503" s="5"/>
      <c r="G1503" s="5"/>
      <c r="H1503" s="5"/>
    </row>
    <row r="1504" spans="1:8" x14ac:dyDescent="0.2">
      <c r="A1504" s="5" t="s">
        <v>2056</v>
      </c>
      <c r="B1504" s="5" t="s">
        <v>2053</v>
      </c>
      <c r="C1504" s="8">
        <v>4.45</v>
      </c>
      <c r="D1504" s="5" t="s">
        <v>382</v>
      </c>
      <c r="E1504" s="5"/>
      <c r="G1504" s="5"/>
      <c r="H1504" s="5"/>
    </row>
    <row r="1505" spans="1:8" x14ac:dyDescent="0.2">
      <c r="A1505" s="5"/>
      <c r="B1505" s="5" t="s">
        <v>2057</v>
      </c>
      <c r="C1505" s="5"/>
      <c r="D1505" s="5" t="s">
        <v>322</v>
      </c>
      <c r="E1505" s="5"/>
      <c r="G1505" s="5"/>
      <c r="H1505" s="5"/>
    </row>
    <row r="1506" spans="1:8" x14ac:dyDescent="0.2">
      <c r="A1506" s="5"/>
      <c r="B1506" s="5" t="s">
        <v>658</v>
      </c>
      <c r="C1506" s="5"/>
      <c r="D1506" s="5" t="s">
        <v>366</v>
      </c>
      <c r="E1506" s="5"/>
      <c r="G1506" s="5"/>
      <c r="H1506" s="5"/>
    </row>
    <row r="1507" spans="1:8" x14ac:dyDescent="0.2">
      <c r="A1507" s="5" t="s">
        <v>2058</v>
      </c>
      <c r="B1507" s="5" t="s">
        <v>2059</v>
      </c>
      <c r="C1507" s="8">
        <v>1.02</v>
      </c>
      <c r="D1507" s="5" t="s">
        <v>382</v>
      </c>
      <c r="E1507" s="5"/>
      <c r="G1507" s="5"/>
      <c r="H1507" s="5"/>
    </row>
    <row r="1508" spans="1:8" x14ac:dyDescent="0.2">
      <c r="A1508" s="5"/>
      <c r="B1508" s="5" t="s">
        <v>1682</v>
      </c>
      <c r="C1508" s="5"/>
      <c r="D1508" s="5" t="s">
        <v>366</v>
      </c>
      <c r="E1508" s="5"/>
      <c r="G1508" s="5"/>
      <c r="H1508" s="5"/>
    </row>
    <row r="1509" spans="1:8" x14ac:dyDescent="0.2">
      <c r="A1509" s="5" t="s">
        <v>2060</v>
      </c>
      <c r="B1509" s="5" t="s">
        <v>2059</v>
      </c>
      <c r="C1509" s="8">
        <v>0.73</v>
      </c>
      <c r="D1509" s="5" t="s">
        <v>382</v>
      </c>
      <c r="E1509" s="5"/>
      <c r="G1509" s="5"/>
      <c r="H1509" s="5"/>
    </row>
    <row r="1510" spans="1:8" x14ac:dyDescent="0.2">
      <c r="A1510" s="5"/>
      <c r="B1510" s="5" t="s">
        <v>666</v>
      </c>
      <c r="C1510" s="5"/>
      <c r="D1510" s="5" t="s">
        <v>366</v>
      </c>
      <c r="E1510" s="5"/>
      <c r="G1510" s="5"/>
      <c r="H1510" s="5"/>
    </row>
    <row r="1511" spans="1:8" x14ac:dyDescent="0.2">
      <c r="A1511" s="5" t="s">
        <v>2061</v>
      </c>
      <c r="B1511" s="5" t="s">
        <v>2059</v>
      </c>
      <c r="C1511" s="8">
        <v>0.73</v>
      </c>
      <c r="D1511" s="5" t="s">
        <v>382</v>
      </c>
      <c r="E1511" s="5"/>
      <c r="G1511" s="5"/>
      <c r="H1511" s="5"/>
    </row>
    <row r="1512" spans="1:8" x14ac:dyDescent="0.2">
      <c r="A1512" s="5"/>
      <c r="B1512" s="5" t="s">
        <v>954</v>
      </c>
      <c r="C1512" s="5"/>
      <c r="D1512" s="5" t="s">
        <v>366</v>
      </c>
      <c r="E1512" s="5"/>
      <c r="G1512" s="5"/>
      <c r="H1512" s="5"/>
    </row>
    <row r="1513" spans="1:8" x14ac:dyDescent="0.2">
      <c r="A1513" s="5" t="s">
        <v>2062</v>
      </c>
      <c r="B1513" s="5" t="s">
        <v>2059</v>
      </c>
      <c r="C1513" s="8">
        <v>0.28000000000000003</v>
      </c>
      <c r="D1513" s="5" t="s">
        <v>382</v>
      </c>
      <c r="E1513" s="5"/>
      <c r="G1513" s="5"/>
      <c r="H1513" s="5"/>
    </row>
    <row r="1514" spans="1:8" x14ac:dyDescent="0.2">
      <c r="A1514" s="5"/>
      <c r="B1514" s="5" t="s">
        <v>1707</v>
      </c>
      <c r="C1514" s="5"/>
      <c r="D1514" s="5" t="s">
        <v>322</v>
      </c>
      <c r="E1514" s="5"/>
      <c r="G1514" s="5"/>
      <c r="H1514" s="5"/>
    </row>
    <row r="1515" spans="1:8" x14ac:dyDescent="0.2">
      <c r="A1515" s="5" t="s">
        <v>2063</v>
      </c>
      <c r="B1515" s="5" t="s">
        <v>2064</v>
      </c>
      <c r="C1515" s="8">
        <v>2.2400000000000002</v>
      </c>
      <c r="D1515" s="5" t="s">
        <v>382</v>
      </c>
      <c r="E1515" s="5"/>
      <c r="G1515" s="5"/>
      <c r="H1515" s="5"/>
    </row>
    <row r="1516" spans="1:8" x14ac:dyDescent="0.2">
      <c r="A1516" s="5" t="s">
        <v>2065</v>
      </c>
      <c r="B1516" s="5" t="s">
        <v>2066</v>
      </c>
      <c r="C1516" s="8">
        <v>12.24</v>
      </c>
      <c r="D1516" s="5" t="s">
        <v>382</v>
      </c>
      <c r="E1516" s="5"/>
      <c r="G1516" s="5"/>
      <c r="H1516" s="5"/>
    </row>
    <row r="1517" spans="1:8" x14ac:dyDescent="0.2">
      <c r="A1517" s="5" t="s">
        <v>2067</v>
      </c>
      <c r="B1517" s="5" t="s">
        <v>2068</v>
      </c>
      <c r="C1517" s="8">
        <v>1.47</v>
      </c>
      <c r="D1517" s="5" t="s">
        <v>382</v>
      </c>
      <c r="E1517" s="5"/>
      <c r="G1517" s="5"/>
      <c r="H1517" s="5"/>
    </row>
    <row r="1518" spans="1:8" x14ac:dyDescent="0.2">
      <c r="A1518" s="5"/>
      <c r="B1518" s="5" t="s">
        <v>2069</v>
      </c>
      <c r="C1518" s="5"/>
      <c r="D1518" s="5" t="s">
        <v>15</v>
      </c>
      <c r="E1518" s="5"/>
      <c r="G1518" s="5"/>
      <c r="H1518" s="5"/>
    </row>
    <row r="1519" spans="1:8" x14ac:dyDescent="0.2">
      <c r="A1519" s="5"/>
      <c r="B1519" s="5" t="s">
        <v>2057</v>
      </c>
      <c r="C1519" s="5"/>
      <c r="D1519" s="5" t="s">
        <v>322</v>
      </c>
      <c r="E1519" s="5"/>
      <c r="G1519" s="5"/>
      <c r="H1519" s="5"/>
    </row>
    <row r="1520" spans="1:8" x14ac:dyDescent="0.2">
      <c r="A1520" s="5"/>
      <c r="B1520" s="5" t="s">
        <v>658</v>
      </c>
      <c r="C1520" s="5"/>
      <c r="D1520" s="5" t="s">
        <v>366</v>
      </c>
      <c r="E1520" s="5"/>
      <c r="G1520" s="5"/>
      <c r="H1520" s="5"/>
    </row>
    <row r="1521" spans="1:8" x14ac:dyDescent="0.2">
      <c r="A1521" s="5" t="s">
        <v>2070</v>
      </c>
      <c r="B1521" s="5" t="s">
        <v>2071</v>
      </c>
      <c r="C1521" s="8">
        <v>17.36</v>
      </c>
      <c r="D1521" s="5" t="s">
        <v>382</v>
      </c>
      <c r="E1521" s="5"/>
      <c r="G1521" s="5"/>
      <c r="H1521" s="5"/>
    </row>
    <row r="1522" spans="1:8" x14ac:dyDescent="0.2">
      <c r="A1522" s="5"/>
      <c r="B1522" s="5" t="s">
        <v>1682</v>
      </c>
      <c r="C1522" s="5"/>
      <c r="D1522" s="5" t="s">
        <v>366</v>
      </c>
      <c r="E1522" s="5"/>
      <c r="G1522" s="5"/>
      <c r="H1522" s="5"/>
    </row>
    <row r="1523" spans="1:8" x14ac:dyDescent="0.2">
      <c r="A1523" s="5" t="s">
        <v>2072</v>
      </c>
      <c r="B1523" s="5" t="s">
        <v>2071</v>
      </c>
      <c r="C1523" s="8">
        <v>16.89</v>
      </c>
      <c r="D1523" s="5" t="s">
        <v>382</v>
      </c>
      <c r="E1523" s="5"/>
      <c r="G1523" s="5"/>
      <c r="H1523" s="5"/>
    </row>
    <row r="1524" spans="1:8" x14ac:dyDescent="0.2">
      <c r="A1524" s="5"/>
      <c r="B1524" s="5" t="s">
        <v>666</v>
      </c>
      <c r="C1524" s="5"/>
      <c r="D1524" s="5" t="s">
        <v>366</v>
      </c>
      <c r="E1524" s="5"/>
      <c r="G1524" s="5"/>
      <c r="H1524" s="5"/>
    </row>
    <row r="1525" spans="1:8" x14ac:dyDescent="0.2">
      <c r="A1525" s="5" t="s">
        <v>2073</v>
      </c>
      <c r="B1525" s="5" t="s">
        <v>2071</v>
      </c>
      <c r="C1525" s="8">
        <v>17.850000000000001</v>
      </c>
      <c r="D1525" s="5" t="s">
        <v>382</v>
      </c>
      <c r="E1525" s="5"/>
      <c r="G1525" s="5"/>
      <c r="H1525" s="5"/>
    </row>
    <row r="1526" spans="1:8" x14ac:dyDescent="0.2">
      <c r="A1526" s="5"/>
      <c r="B1526" s="5" t="s">
        <v>1698</v>
      </c>
      <c r="C1526" s="5"/>
      <c r="D1526" s="5" t="s">
        <v>322</v>
      </c>
      <c r="E1526" s="5"/>
      <c r="G1526" s="5"/>
      <c r="H1526" s="5"/>
    </row>
    <row r="1527" spans="1:8" x14ac:dyDescent="0.2">
      <c r="A1527" s="5"/>
      <c r="B1527" s="5" t="s">
        <v>658</v>
      </c>
      <c r="C1527" s="5"/>
      <c r="D1527" s="5" t="s">
        <v>366</v>
      </c>
      <c r="E1527" s="5"/>
      <c r="G1527" s="5"/>
      <c r="H1527" s="5"/>
    </row>
    <row r="1528" spans="1:8" x14ac:dyDescent="0.2">
      <c r="A1528" s="5" t="s">
        <v>2074</v>
      </c>
      <c r="B1528" s="5" t="s">
        <v>2075</v>
      </c>
      <c r="C1528" s="8">
        <v>15.67</v>
      </c>
      <c r="D1528" s="5" t="s">
        <v>382</v>
      </c>
      <c r="E1528" s="5"/>
      <c r="G1528" s="5"/>
      <c r="H1528" s="5"/>
    </row>
    <row r="1529" spans="1:8" x14ac:dyDescent="0.2">
      <c r="A1529" s="5"/>
      <c r="B1529" s="5" t="s">
        <v>1682</v>
      </c>
      <c r="C1529" s="5"/>
      <c r="D1529" s="5" t="s">
        <v>366</v>
      </c>
      <c r="E1529" s="5"/>
      <c r="G1529" s="5"/>
      <c r="H1529" s="5"/>
    </row>
    <row r="1530" spans="1:8" x14ac:dyDescent="0.2">
      <c r="A1530" s="5" t="s">
        <v>2076</v>
      </c>
      <c r="B1530" s="5" t="s">
        <v>2075</v>
      </c>
      <c r="C1530" s="8">
        <v>11.47</v>
      </c>
      <c r="D1530" s="5" t="s">
        <v>382</v>
      </c>
      <c r="E1530" s="5"/>
      <c r="G1530" s="5"/>
      <c r="H1530" s="5"/>
    </row>
    <row r="1531" spans="1:8" x14ac:dyDescent="0.2">
      <c r="A1531" s="5"/>
      <c r="B1531" s="5" t="s">
        <v>666</v>
      </c>
      <c r="C1531" s="5"/>
      <c r="D1531" s="5" t="s">
        <v>366</v>
      </c>
      <c r="E1531" s="5"/>
      <c r="G1531" s="5"/>
      <c r="H1531" s="5"/>
    </row>
    <row r="1532" spans="1:8" x14ac:dyDescent="0.2">
      <c r="A1532" s="5" t="s">
        <v>2077</v>
      </c>
      <c r="B1532" s="5" t="s">
        <v>2075</v>
      </c>
      <c r="C1532" s="8">
        <v>15.36</v>
      </c>
      <c r="D1532" s="5" t="s">
        <v>382</v>
      </c>
      <c r="E1532" s="5"/>
      <c r="G1532" s="5"/>
      <c r="H1532" s="5"/>
    </row>
    <row r="1533" spans="1:8" x14ac:dyDescent="0.2">
      <c r="A1533" s="5"/>
      <c r="B1533" s="5" t="s">
        <v>53</v>
      </c>
      <c r="C1533" s="5"/>
      <c r="D1533" s="5" t="s">
        <v>13</v>
      </c>
      <c r="E1533" s="5"/>
      <c r="G1533" s="5"/>
      <c r="H1533" s="5"/>
    </row>
    <row r="1534" spans="1:8" x14ac:dyDescent="0.2">
      <c r="A1534" s="5"/>
      <c r="B1534" s="5" t="s">
        <v>2014</v>
      </c>
      <c r="C1534" s="5"/>
      <c r="D1534" s="5" t="s">
        <v>15</v>
      </c>
      <c r="E1534" s="5"/>
      <c r="G1534" s="5"/>
      <c r="H1534" s="5"/>
    </row>
    <row r="1535" spans="1:8" x14ac:dyDescent="0.2">
      <c r="A1535" s="5"/>
      <c r="B1535" s="5" t="s">
        <v>621</v>
      </c>
      <c r="C1535" s="5"/>
      <c r="D1535" s="5" t="s">
        <v>322</v>
      </c>
      <c r="E1535" s="5"/>
      <c r="G1535" s="5"/>
      <c r="H1535" s="5"/>
    </row>
    <row r="1536" spans="1:8" x14ac:dyDescent="0.2">
      <c r="A1536" s="5"/>
      <c r="B1536" s="5" t="s">
        <v>1081</v>
      </c>
      <c r="C1536" s="5"/>
      <c r="D1536" s="5" t="s">
        <v>366</v>
      </c>
      <c r="E1536" s="5"/>
      <c r="G1536" s="5"/>
      <c r="H1536" s="5"/>
    </row>
    <row r="1537" spans="1:8" x14ac:dyDescent="0.2">
      <c r="A1537" s="5" t="s">
        <v>2078</v>
      </c>
      <c r="B1537" s="5" t="s">
        <v>2079</v>
      </c>
      <c r="C1537" s="8">
        <v>11.7</v>
      </c>
      <c r="D1537" s="5" t="s">
        <v>382</v>
      </c>
      <c r="E1537" s="5"/>
      <c r="G1537" s="5"/>
      <c r="H1537" s="5"/>
    </row>
    <row r="1538" spans="1:8" x14ac:dyDescent="0.2">
      <c r="A1538" s="5"/>
      <c r="B1538" s="5" t="s">
        <v>2017</v>
      </c>
      <c r="C1538" s="5"/>
      <c r="D1538" s="5" t="s">
        <v>322</v>
      </c>
      <c r="E1538" s="5"/>
      <c r="G1538" s="5"/>
      <c r="H1538" s="5"/>
    </row>
    <row r="1539" spans="1:8" x14ac:dyDescent="0.2">
      <c r="A1539" s="5"/>
      <c r="B1539" s="5" t="s">
        <v>1081</v>
      </c>
      <c r="C1539" s="5"/>
      <c r="D1539" s="5" t="s">
        <v>366</v>
      </c>
      <c r="E1539" s="5"/>
      <c r="G1539" s="5"/>
      <c r="H1539" s="5"/>
    </row>
    <row r="1540" spans="1:8" x14ac:dyDescent="0.2">
      <c r="A1540" s="5" t="s">
        <v>2080</v>
      </c>
      <c r="B1540" s="5" t="s">
        <v>2019</v>
      </c>
      <c r="C1540" s="8">
        <v>3.9</v>
      </c>
      <c r="D1540" s="5" t="s">
        <v>382</v>
      </c>
      <c r="E1540" s="5"/>
      <c r="G1540" s="5"/>
      <c r="H1540" s="5"/>
    </row>
    <row r="1541" spans="1:8" x14ac:dyDescent="0.2">
      <c r="A1541" s="5"/>
      <c r="B1541" s="5" t="s">
        <v>1740</v>
      </c>
      <c r="C1541" s="5"/>
      <c r="D1541" s="5" t="s">
        <v>322</v>
      </c>
      <c r="E1541" s="5"/>
      <c r="G1541" s="5"/>
      <c r="H1541" s="5"/>
    </row>
    <row r="1542" spans="1:8" x14ac:dyDescent="0.2">
      <c r="A1542" s="5"/>
      <c r="B1542" s="5" t="s">
        <v>1081</v>
      </c>
      <c r="C1542" s="5"/>
      <c r="D1542" s="5" t="s">
        <v>366</v>
      </c>
      <c r="E1542" s="5"/>
      <c r="G1542" s="5"/>
      <c r="H1542" s="5"/>
    </row>
    <row r="1543" spans="1:8" x14ac:dyDescent="0.2">
      <c r="A1543" s="5" t="s">
        <v>2081</v>
      </c>
      <c r="B1543" s="5" t="s">
        <v>2021</v>
      </c>
      <c r="C1543" s="8">
        <v>1.61</v>
      </c>
      <c r="D1543" s="5" t="s">
        <v>382</v>
      </c>
      <c r="E1543" s="5"/>
      <c r="G1543" s="5"/>
      <c r="H1543" s="5"/>
    </row>
    <row r="1544" spans="1:8" x14ac:dyDescent="0.2">
      <c r="A1544" s="5"/>
      <c r="B1544" s="5" t="s">
        <v>2022</v>
      </c>
      <c r="C1544" s="5"/>
      <c r="D1544" s="5" t="s">
        <v>322</v>
      </c>
      <c r="E1544" s="5"/>
      <c r="G1544" s="5"/>
      <c r="H1544" s="5"/>
    </row>
    <row r="1545" spans="1:8" x14ac:dyDescent="0.2">
      <c r="A1545" s="5"/>
      <c r="B1545" s="5" t="s">
        <v>1102</v>
      </c>
      <c r="C1545" s="5"/>
      <c r="D1545" s="5" t="s">
        <v>366</v>
      </c>
      <c r="E1545" s="5"/>
      <c r="G1545" s="5"/>
      <c r="H1545" s="5"/>
    </row>
    <row r="1546" spans="1:8" x14ac:dyDescent="0.2">
      <c r="A1546" s="5" t="s">
        <v>2082</v>
      </c>
      <c r="B1546" s="5" t="s">
        <v>2024</v>
      </c>
      <c r="C1546" s="8">
        <v>15.92</v>
      </c>
      <c r="D1546" s="5" t="s">
        <v>382</v>
      </c>
      <c r="E1546" s="5"/>
      <c r="G1546" s="5"/>
      <c r="H1546" s="5"/>
    </row>
    <row r="1547" spans="1:8" x14ac:dyDescent="0.2">
      <c r="A1547" s="5"/>
      <c r="B1547" s="5" t="s">
        <v>2083</v>
      </c>
      <c r="C1547" s="5"/>
      <c r="D1547" s="5" t="s">
        <v>322</v>
      </c>
      <c r="E1547" s="5"/>
      <c r="G1547" s="5"/>
      <c r="H1547" s="5"/>
    </row>
    <row r="1548" spans="1:8" x14ac:dyDescent="0.2">
      <c r="A1548" s="5"/>
      <c r="B1548" s="5" t="s">
        <v>1106</v>
      </c>
      <c r="C1548" s="5"/>
      <c r="D1548" s="5" t="s">
        <v>366</v>
      </c>
      <c r="E1548" s="5"/>
      <c r="G1548" s="5"/>
      <c r="H1548" s="5"/>
    </row>
    <row r="1549" spans="1:8" x14ac:dyDescent="0.2">
      <c r="A1549" s="5" t="s">
        <v>2084</v>
      </c>
      <c r="B1549" s="5" t="s">
        <v>2085</v>
      </c>
      <c r="C1549" s="8">
        <v>1.04</v>
      </c>
      <c r="D1549" s="5" t="s">
        <v>382</v>
      </c>
      <c r="E1549" s="5"/>
      <c r="G1549" s="5"/>
      <c r="H1549" s="5"/>
    </row>
    <row r="1550" spans="1:8" x14ac:dyDescent="0.2">
      <c r="A1550" s="5"/>
      <c r="B1550" s="5" t="s">
        <v>1436</v>
      </c>
      <c r="C1550" s="5"/>
      <c r="D1550" s="5" t="s">
        <v>322</v>
      </c>
      <c r="E1550" s="5"/>
      <c r="G1550" s="5"/>
      <c r="H1550" s="5"/>
    </row>
    <row r="1551" spans="1:8" x14ac:dyDescent="0.2">
      <c r="A1551" s="5"/>
      <c r="B1551" s="5" t="s">
        <v>651</v>
      </c>
      <c r="C1551" s="5"/>
      <c r="D1551" s="5" t="s">
        <v>366</v>
      </c>
      <c r="E1551" s="5"/>
      <c r="G1551" s="5"/>
      <c r="H1551" s="5"/>
    </row>
    <row r="1552" spans="1:8" x14ac:dyDescent="0.2">
      <c r="A1552" s="5" t="s">
        <v>2086</v>
      </c>
      <c r="B1552" s="5" t="s">
        <v>1081</v>
      </c>
      <c r="C1552" s="5"/>
      <c r="D1552" s="5" t="s">
        <v>654</v>
      </c>
      <c r="E1552" s="5"/>
      <c r="G1552" s="5"/>
      <c r="H1552" s="5"/>
    </row>
    <row r="1553" spans="1:8" x14ac:dyDescent="0.2">
      <c r="A1553" s="5" t="s">
        <v>2087</v>
      </c>
      <c r="B1553" s="5" t="s">
        <v>2028</v>
      </c>
      <c r="C1553" s="8">
        <v>0.36</v>
      </c>
      <c r="D1553" s="5" t="s">
        <v>382</v>
      </c>
      <c r="E1553" s="5"/>
      <c r="G1553" s="5"/>
      <c r="H1553" s="5"/>
    </row>
    <row r="1554" spans="1:8" x14ac:dyDescent="0.2">
      <c r="A1554" s="5" t="s">
        <v>2088</v>
      </c>
      <c r="B1554" s="5" t="s">
        <v>1102</v>
      </c>
      <c r="C1554" s="5"/>
      <c r="D1554" s="5" t="s">
        <v>654</v>
      </c>
      <c r="E1554" s="5"/>
      <c r="G1554" s="5"/>
      <c r="H1554" s="5"/>
    </row>
    <row r="1555" spans="1:8" x14ac:dyDescent="0.2">
      <c r="A1555" s="5" t="s">
        <v>2089</v>
      </c>
      <c r="B1555" s="5" t="s">
        <v>2028</v>
      </c>
      <c r="C1555" s="8">
        <v>3.48</v>
      </c>
      <c r="D1555" s="5" t="s">
        <v>382</v>
      </c>
      <c r="E1555" s="5"/>
      <c r="G1555" s="5"/>
      <c r="H1555" s="5"/>
    </row>
    <row r="1556" spans="1:8" x14ac:dyDescent="0.2">
      <c r="A1556" s="5" t="s">
        <v>2090</v>
      </c>
      <c r="B1556" s="5" t="s">
        <v>1106</v>
      </c>
      <c r="C1556" s="5"/>
      <c r="D1556" s="5" t="s">
        <v>654</v>
      </c>
      <c r="E1556" s="5"/>
      <c r="G1556" s="5"/>
      <c r="H1556" s="5"/>
    </row>
    <row r="1557" spans="1:8" x14ac:dyDescent="0.2">
      <c r="A1557" s="5" t="s">
        <v>2091</v>
      </c>
      <c r="B1557" s="5" t="s">
        <v>2028</v>
      </c>
      <c r="C1557" s="8">
        <v>0.36</v>
      </c>
      <c r="D1557" s="5" t="s">
        <v>368</v>
      </c>
      <c r="E1557" s="5"/>
      <c r="G1557" s="5"/>
      <c r="H1557" s="5"/>
    </row>
    <row r="1558" spans="1:8" x14ac:dyDescent="0.2">
      <c r="A1558" s="5" t="s">
        <v>2092</v>
      </c>
      <c r="B1558" s="5" t="s">
        <v>1110</v>
      </c>
      <c r="C1558" s="5"/>
      <c r="D1558" s="5" t="s">
        <v>654</v>
      </c>
      <c r="E1558" s="5"/>
      <c r="G1558" s="5"/>
      <c r="H1558" s="5"/>
    </row>
    <row r="1559" spans="1:8" x14ac:dyDescent="0.2">
      <c r="A1559" s="5" t="s">
        <v>2093</v>
      </c>
      <c r="B1559" s="5" t="s">
        <v>2028</v>
      </c>
      <c r="C1559" s="8">
        <v>1.07</v>
      </c>
      <c r="D1559" s="5" t="s">
        <v>382</v>
      </c>
      <c r="E1559" s="5"/>
      <c r="G1559" s="5"/>
      <c r="H1559" s="5"/>
    </row>
    <row r="1560" spans="1:8" x14ac:dyDescent="0.2">
      <c r="A1560" s="5" t="s">
        <v>2094</v>
      </c>
      <c r="B1560" s="5" t="s">
        <v>2095</v>
      </c>
      <c r="C1560" s="8">
        <v>1.48</v>
      </c>
      <c r="D1560" s="5" t="s">
        <v>382</v>
      </c>
      <c r="E1560" s="5"/>
      <c r="G1560" s="5"/>
      <c r="H1560" s="5"/>
    </row>
    <row r="1561" spans="1:8" x14ac:dyDescent="0.2">
      <c r="A1561" s="5"/>
      <c r="B1561" s="5" t="s">
        <v>669</v>
      </c>
      <c r="C1561" s="5"/>
      <c r="D1561" s="5" t="s">
        <v>366</v>
      </c>
      <c r="E1561" s="5"/>
      <c r="G1561" s="5"/>
      <c r="H1561" s="5"/>
    </row>
    <row r="1562" spans="1:8" x14ac:dyDescent="0.2">
      <c r="A1562" s="5" t="s">
        <v>2096</v>
      </c>
      <c r="B1562" s="5" t="s">
        <v>1081</v>
      </c>
      <c r="C1562" s="5"/>
      <c r="D1562" s="5" t="s">
        <v>654</v>
      </c>
      <c r="E1562" s="5"/>
      <c r="G1562" s="5"/>
      <c r="H1562" s="5"/>
    </row>
    <row r="1563" spans="1:8" x14ac:dyDescent="0.2">
      <c r="A1563" s="5" t="s">
        <v>2097</v>
      </c>
      <c r="B1563" s="5" t="s">
        <v>2037</v>
      </c>
      <c r="C1563" s="8">
        <v>0.54</v>
      </c>
      <c r="D1563" s="5" t="s">
        <v>382</v>
      </c>
      <c r="E1563" s="5"/>
      <c r="G1563" s="5"/>
      <c r="H1563" s="5"/>
    </row>
    <row r="1564" spans="1:8" x14ac:dyDescent="0.2">
      <c r="A1564" s="5" t="s">
        <v>2098</v>
      </c>
      <c r="B1564" s="5" t="s">
        <v>1102</v>
      </c>
      <c r="C1564" s="5"/>
      <c r="D1564" s="5" t="s">
        <v>654</v>
      </c>
      <c r="E1564" s="5"/>
      <c r="G1564" s="5"/>
      <c r="H1564" s="5"/>
    </row>
    <row r="1565" spans="1:8" x14ac:dyDescent="0.2">
      <c r="A1565" s="5" t="s">
        <v>2099</v>
      </c>
      <c r="B1565" s="5" t="s">
        <v>2040</v>
      </c>
      <c r="C1565" s="8">
        <v>2.9</v>
      </c>
      <c r="D1565" s="5" t="s">
        <v>382</v>
      </c>
      <c r="E1565" s="5"/>
      <c r="G1565" s="5"/>
      <c r="H1565" s="5"/>
    </row>
    <row r="1566" spans="1:8" x14ac:dyDescent="0.2">
      <c r="A1566" s="5" t="s">
        <v>2100</v>
      </c>
      <c r="B1566" s="5" t="s">
        <v>2042</v>
      </c>
      <c r="C1566" s="8">
        <v>5.73</v>
      </c>
      <c r="D1566" s="5" t="s">
        <v>382</v>
      </c>
      <c r="E1566" s="5"/>
      <c r="G1566" s="5"/>
      <c r="H1566" s="5"/>
    </row>
    <row r="1567" spans="1:8" x14ac:dyDescent="0.2">
      <c r="A1567" s="5" t="s">
        <v>2101</v>
      </c>
      <c r="B1567" s="5" t="s">
        <v>1106</v>
      </c>
      <c r="C1567" s="5"/>
      <c r="D1567" s="5" t="s">
        <v>654</v>
      </c>
      <c r="E1567" s="5"/>
      <c r="G1567" s="5"/>
      <c r="H1567" s="5"/>
    </row>
    <row r="1568" spans="1:8" x14ac:dyDescent="0.2">
      <c r="A1568" s="5" t="s">
        <v>2102</v>
      </c>
      <c r="B1568" s="5" t="s">
        <v>2040</v>
      </c>
      <c r="C1568" s="8">
        <v>1.6</v>
      </c>
      <c r="D1568" s="5" t="s">
        <v>382</v>
      </c>
      <c r="E1568" s="5"/>
      <c r="G1568" s="5"/>
      <c r="H1568" s="5"/>
    </row>
    <row r="1569" spans="1:8" x14ac:dyDescent="0.2">
      <c r="A1569" s="5" t="s">
        <v>2103</v>
      </c>
      <c r="B1569" s="5" t="s">
        <v>2042</v>
      </c>
      <c r="C1569" s="8">
        <v>0.71</v>
      </c>
      <c r="D1569" s="5" t="s">
        <v>382</v>
      </c>
      <c r="E1569" s="5"/>
      <c r="G1569" s="5"/>
      <c r="H1569" s="5"/>
    </row>
    <row r="1570" spans="1:8" x14ac:dyDescent="0.2">
      <c r="A1570" s="5" t="s">
        <v>2104</v>
      </c>
      <c r="B1570" s="5" t="s">
        <v>1131</v>
      </c>
      <c r="C1570" s="5"/>
      <c r="D1570" s="5" t="s">
        <v>654</v>
      </c>
      <c r="E1570" s="5"/>
      <c r="G1570" s="5"/>
      <c r="H1570" s="5"/>
    </row>
    <row r="1571" spans="1:8" x14ac:dyDescent="0.2">
      <c r="A1571" s="5" t="s">
        <v>2105</v>
      </c>
      <c r="B1571" s="5" t="s">
        <v>2040</v>
      </c>
      <c r="C1571" s="8">
        <v>1.42</v>
      </c>
      <c r="D1571" s="5" t="s">
        <v>382</v>
      </c>
      <c r="E1571" s="5"/>
      <c r="G1571" s="5"/>
      <c r="H1571" s="5"/>
    </row>
    <row r="1572" spans="1:8" x14ac:dyDescent="0.2">
      <c r="A1572" s="5" t="s">
        <v>2106</v>
      </c>
      <c r="B1572" s="5" t="s">
        <v>2042</v>
      </c>
      <c r="C1572" s="8">
        <v>0.95</v>
      </c>
      <c r="D1572" s="5" t="s">
        <v>382</v>
      </c>
      <c r="E1572" s="5"/>
      <c r="G1572" s="5"/>
      <c r="H1572" s="5"/>
    </row>
    <row r="1573" spans="1:8" x14ac:dyDescent="0.2">
      <c r="A1573" s="5" t="s">
        <v>2107</v>
      </c>
      <c r="B1573" s="5" t="s">
        <v>1110</v>
      </c>
      <c r="C1573" s="5"/>
      <c r="D1573" s="5" t="s">
        <v>654</v>
      </c>
      <c r="E1573" s="5"/>
      <c r="G1573" s="5"/>
      <c r="H1573" s="5"/>
    </row>
    <row r="1574" spans="1:8" x14ac:dyDescent="0.2">
      <c r="A1574" s="5" t="s">
        <v>2108</v>
      </c>
      <c r="B1574" s="5" t="s">
        <v>2040</v>
      </c>
      <c r="C1574" s="8">
        <v>1.6</v>
      </c>
      <c r="D1574" s="5" t="s">
        <v>382</v>
      </c>
      <c r="E1574" s="5"/>
      <c r="G1574" s="5"/>
      <c r="H1574" s="5"/>
    </row>
    <row r="1575" spans="1:8" x14ac:dyDescent="0.2">
      <c r="A1575" s="5"/>
      <c r="B1575" s="5" t="s">
        <v>2109</v>
      </c>
      <c r="C1575" s="5"/>
      <c r="D1575" s="5" t="s">
        <v>322</v>
      </c>
      <c r="E1575" s="5"/>
      <c r="G1575" s="5"/>
      <c r="H1575" s="5"/>
    </row>
    <row r="1576" spans="1:8" x14ac:dyDescent="0.2">
      <c r="A1576" s="5"/>
      <c r="B1576" s="5" t="s">
        <v>1102</v>
      </c>
      <c r="C1576" s="5"/>
      <c r="D1576" s="5" t="s">
        <v>366</v>
      </c>
      <c r="E1576" s="5"/>
      <c r="G1576" s="5"/>
      <c r="H1576" s="5"/>
    </row>
    <row r="1577" spans="1:8" x14ac:dyDescent="0.2">
      <c r="A1577" s="5" t="s">
        <v>2110</v>
      </c>
      <c r="B1577" s="5" t="s">
        <v>2053</v>
      </c>
      <c r="C1577" s="8">
        <v>13.41</v>
      </c>
      <c r="D1577" s="5" t="s">
        <v>382</v>
      </c>
      <c r="E1577" s="5"/>
      <c r="G1577" s="5"/>
      <c r="H1577" s="5"/>
    </row>
    <row r="1578" spans="1:8" x14ac:dyDescent="0.2">
      <c r="A1578" s="5"/>
      <c r="B1578" s="5" t="s">
        <v>1106</v>
      </c>
      <c r="C1578" s="5"/>
      <c r="D1578" s="5" t="s">
        <v>366</v>
      </c>
      <c r="E1578" s="5"/>
      <c r="G1578" s="5"/>
      <c r="H1578" s="5"/>
    </row>
    <row r="1579" spans="1:8" x14ac:dyDescent="0.2">
      <c r="A1579" s="5" t="s">
        <v>2111</v>
      </c>
      <c r="B1579" s="5" t="s">
        <v>2053</v>
      </c>
      <c r="C1579" s="8">
        <v>8.26</v>
      </c>
      <c r="D1579" s="5" t="s">
        <v>382</v>
      </c>
      <c r="E1579" s="5"/>
      <c r="G1579" s="5"/>
      <c r="H1579" s="5"/>
    </row>
    <row r="1580" spans="1:8" x14ac:dyDescent="0.2">
      <c r="A1580" s="5"/>
      <c r="B1580" s="5" t="s">
        <v>1131</v>
      </c>
      <c r="C1580" s="5"/>
      <c r="D1580" s="5" t="s">
        <v>366</v>
      </c>
      <c r="E1580" s="5"/>
      <c r="G1580" s="5"/>
      <c r="H1580" s="5"/>
    </row>
    <row r="1581" spans="1:8" x14ac:dyDescent="0.2">
      <c r="A1581" s="5" t="s">
        <v>2112</v>
      </c>
      <c r="B1581" s="5" t="s">
        <v>2053</v>
      </c>
      <c r="C1581" s="8">
        <v>7.8</v>
      </c>
      <c r="D1581" s="5" t="s">
        <v>382</v>
      </c>
      <c r="E1581" s="5"/>
      <c r="G1581" s="5"/>
      <c r="H1581" s="5"/>
    </row>
    <row r="1582" spans="1:8" x14ac:dyDescent="0.2">
      <c r="A1582" s="5"/>
      <c r="B1582" s="5" t="s">
        <v>1110</v>
      </c>
      <c r="C1582" s="5"/>
      <c r="D1582" s="5" t="s">
        <v>366</v>
      </c>
      <c r="E1582" s="5"/>
      <c r="G1582" s="5"/>
      <c r="H1582" s="5"/>
    </row>
    <row r="1583" spans="1:8" x14ac:dyDescent="0.2">
      <c r="A1583" s="5" t="s">
        <v>2113</v>
      </c>
      <c r="B1583" s="5" t="s">
        <v>2053</v>
      </c>
      <c r="C1583" s="8">
        <v>0.92</v>
      </c>
      <c r="D1583" s="5" t="s">
        <v>382</v>
      </c>
      <c r="E1583" s="5"/>
      <c r="G1583" s="5"/>
      <c r="H1583" s="5"/>
    </row>
    <row r="1584" spans="1:8" x14ac:dyDescent="0.2">
      <c r="A1584" s="5"/>
      <c r="B1584" s="5" t="s">
        <v>2057</v>
      </c>
      <c r="C1584" s="5"/>
      <c r="D1584" s="5" t="s">
        <v>322</v>
      </c>
      <c r="E1584" s="5"/>
      <c r="G1584" s="5"/>
      <c r="H1584" s="5"/>
    </row>
    <row r="1585" spans="1:8" x14ac:dyDescent="0.2">
      <c r="A1585" s="5"/>
      <c r="B1585" s="5" t="s">
        <v>1106</v>
      </c>
      <c r="C1585" s="5"/>
      <c r="D1585" s="5" t="s">
        <v>366</v>
      </c>
      <c r="E1585" s="5"/>
      <c r="G1585" s="5"/>
      <c r="H1585" s="5"/>
    </row>
    <row r="1586" spans="1:8" x14ac:dyDescent="0.2">
      <c r="A1586" s="5" t="s">
        <v>2114</v>
      </c>
      <c r="B1586" s="5" t="s">
        <v>2059</v>
      </c>
      <c r="C1586" s="8">
        <v>4.5599999999999996</v>
      </c>
      <c r="D1586" s="5" t="s">
        <v>382</v>
      </c>
      <c r="E1586" s="5"/>
      <c r="G1586" s="5"/>
      <c r="H1586" s="5"/>
    </row>
    <row r="1587" spans="1:8" x14ac:dyDescent="0.2">
      <c r="A1587" s="5" t="s">
        <v>2115</v>
      </c>
      <c r="B1587" s="5" t="s">
        <v>2116</v>
      </c>
      <c r="C1587" s="8">
        <v>1.07</v>
      </c>
      <c r="D1587" s="5" t="s">
        <v>382</v>
      </c>
      <c r="E1587" s="5"/>
      <c r="G1587" s="5"/>
      <c r="H1587" s="5"/>
    </row>
    <row r="1588" spans="1:8" x14ac:dyDescent="0.2">
      <c r="A1588" s="5"/>
      <c r="B1588" s="5" t="s">
        <v>1915</v>
      </c>
      <c r="C1588" s="5"/>
      <c r="D1588" s="5" t="s">
        <v>366</v>
      </c>
      <c r="E1588" s="5"/>
      <c r="G1588" s="5"/>
      <c r="H1588" s="5"/>
    </row>
    <row r="1589" spans="1:8" x14ac:dyDescent="0.2">
      <c r="A1589" s="5" t="s">
        <v>2117</v>
      </c>
      <c r="B1589" s="5" t="s">
        <v>2059</v>
      </c>
      <c r="C1589" s="8">
        <v>0.67</v>
      </c>
      <c r="D1589" s="5" t="s">
        <v>382</v>
      </c>
      <c r="E1589" s="5"/>
      <c r="G1589" s="5"/>
      <c r="H1589" s="5"/>
    </row>
    <row r="1590" spans="1:8" x14ac:dyDescent="0.2">
      <c r="A1590" s="5"/>
      <c r="B1590" s="5" t="s">
        <v>1110</v>
      </c>
      <c r="C1590" s="5"/>
      <c r="D1590" s="5" t="s">
        <v>366</v>
      </c>
      <c r="E1590" s="5"/>
      <c r="G1590" s="5"/>
      <c r="H1590" s="5"/>
    </row>
    <row r="1591" spans="1:8" x14ac:dyDescent="0.2">
      <c r="A1591" s="5" t="s">
        <v>2118</v>
      </c>
      <c r="B1591" s="5" t="s">
        <v>2059</v>
      </c>
      <c r="C1591" s="8">
        <v>0.67</v>
      </c>
      <c r="D1591" s="5" t="s">
        <v>382</v>
      </c>
      <c r="E1591" s="5"/>
      <c r="G1591" s="5"/>
      <c r="H1591" s="5"/>
    </row>
    <row r="1592" spans="1:8" x14ac:dyDescent="0.2">
      <c r="A1592" s="5"/>
      <c r="B1592" s="5" t="s">
        <v>1309</v>
      </c>
      <c r="C1592" s="5"/>
      <c r="D1592" s="5" t="s">
        <v>366</v>
      </c>
      <c r="E1592" s="5"/>
      <c r="G1592" s="5"/>
      <c r="H1592" s="5"/>
    </row>
    <row r="1593" spans="1:8" x14ac:dyDescent="0.2">
      <c r="A1593" s="5" t="s">
        <v>2119</v>
      </c>
      <c r="B1593" s="5" t="s">
        <v>2059</v>
      </c>
      <c r="C1593" s="8">
        <v>1.1499999999999999</v>
      </c>
      <c r="D1593" s="5" t="s">
        <v>382</v>
      </c>
      <c r="E1593" s="5"/>
      <c r="G1593" s="5"/>
      <c r="H1593" s="5"/>
    </row>
    <row r="1594" spans="1:8" x14ac:dyDescent="0.2">
      <c r="A1594" s="5"/>
      <c r="B1594" s="5" t="s">
        <v>1698</v>
      </c>
      <c r="C1594" s="5"/>
      <c r="D1594" s="5" t="s">
        <v>322</v>
      </c>
      <c r="E1594" s="5"/>
      <c r="G1594" s="5"/>
      <c r="H1594" s="5"/>
    </row>
    <row r="1595" spans="1:8" x14ac:dyDescent="0.2">
      <c r="A1595" s="5"/>
      <c r="B1595" s="5" t="s">
        <v>1106</v>
      </c>
      <c r="C1595" s="5"/>
      <c r="D1595" s="5" t="s">
        <v>366</v>
      </c>
      <c r="E1595" s="5"/>
      <c r="G1595" s="5"/>
      <c r="H1595" s="5"/>
    </row>
    <row r="1596" spans="1:8" x14ac:dyDescent="0.2">
      <c r="A1596" s="5" t="s">
        <v>2120</v>
      </c>
      <c r="B1596" s="5" t="s">
        <v>2121</v>
      </c>
      <c r="C1596" s="8">
        <v>3.11</v>
      </c>
      <c r="D1596" s="5" t="s">
        <v>382</v>
      </c>
      <c r="E1596" s="5"/>
      <c r="G1596" s="5"/>
      <c r="H1596" s="5"/>
    </row>
    <row r="1597" spans="1:8" x14ac:dyDescent="0.2">
      <c r="A1597" s="5"/>
      <c r="B1597" s="5" t="s">
        <v>1707</v>
      </c>
      <c r="C1597" s="5"/>
      <c r="D1597" s="5" t="s">
        <v>322</v>
      </c>
      <c r="E1597" s="5"/>
      <c r="G1597" s="5"/>
      <c r="H1597" s="5"/>
    </row>
    <row r="1598" spans="1:8" x14ac:dyDescent="0.2">
      <c r="A1598" s="5" t="s">
        <v>2122</v>
      </c>
      <c r="B1598" s="5" t="s">
        <v>2123</v>
      </c>
      <c r="C1598" s="8">
        <v>3.28</v>
      </c>
      <c r="D1598" s="5" t="s">
        <v>382</v>
      </c>
      <c r="E1598" s="5"/>
      <c r="G1598" s="5"/>
      <c r="H1598" s="5"/>
    </row>
    <row r="1599" spans="1:8" x14ac:dyDescent="0.2">
      <c r="A1599" s="5" t="s">
        <v>2124</v>
      </c>
      <c r="B1599" s="5" t="s">
        <v>2125</v>
      </c>
      <c r="C1599" s="8">
        <v>0.12</v>
      </c>
      <c r="D1599" s="5" t="s">
        <v>382</v>
      </c>
      <c r="E1599" s="5"/>
      <c r="G1599" s="5"/>
      <c r="H1599" s="5"/>
    </row>
    <row r="1600" spans="1:8" x14ac:dyDescent="0.2">
      <c r="A1600" s="5" t="s">
        <v>2126</v>
      </c>
      <c r="B1600" s="5" t="s">
        <v>2127</v>
      </c>
      <c r="C1600" s="8">
        <v>0.11</v>
      </c>
      <c r="D1600" s="5" t="s">
        <v>382</v>
      </c>
      <c r="E1600" s="5"/>
      <c r="G1600" s="5"/>
      <c r="H1600" s="5"/>
    </row>
    <row r="1601" spans="1:8" x14ac:dyDescent="0.2">
      <c r="A1601" s="5" t="s">
        <v>2128</v>
      </c>
      <c r="B1601" s="5" t="s">
        <v>1944</v>
      </c>
      <c r="C1601" s="8">
        <v>1.29</v>
      </c>
      <c r="D1601" s="5" t="s">
        <v>382</v>
      </c>
      <c r="E1601" s="5"/>
      <c r="G1601" s="5"/>
      <c r="H1601" s="5"/>
    </row>
    <row r="1602" spans="1:8" x14ac:dyDescent="0.2">
      <c r="A1602" s="5"/>
      <c r="B1602" s="5" t="s">
        <v>2069</v>
      </c>
      <c r="C1602" s="5"/>
      <c r="D1602" s="5" t="s">
        <v>15</v>
      </c>
      <c r="E1602" s="5"/>
      <c r="G1602" s="5"/>
      <c r="H1602" s="5"/>
    </row>
    <row r="1603" spans="1:8" x14ac:dyDescent="0.2">
      <c r="A1603" s="5"/>
      <c r="B1603" s="5" t="s">
        <v>2057</v>
      </c>
      <c r="C1603" s="5"/>
      <c r="D1603" s="5" t="s">
        <v>322</v>
      </c>
      <c r="E1603" s="5"/>
      <c r="G1603" s="5"/>
      <c r="H1603" s="5"/>
    </row>
    <row r="1604" spans="1:8" x14ac:dyDescent="0.2">
      <c r="A1604" s="5"/>
      <c r="B1604" s="5" t="s">
        <v>1106</v>
      </c>
      <c r="C1604" s="5"/>
      <c r="D1604" s="5" t="s">
        <v>366</v>
      </c>
      <c r="E1604" s="5"/>
      <c r="G1604" s="5"/>
      <c r="H1604" s="5"/>
    </row>
    <row r="1605" spans="1:8" x14ac:dyDescent="0.2">
      <c r="A1605" s="5" t="s">
        <v>2129</v>
      </c>
      <c r="B1605" s="5" t="s">
        <v>2071</v>
      </c>
      <c r="C1605" s="8">
        <v>10.11</v>
      </c>
      <c r="D1605" s="5" t="s">
        <v>382</v>
      </c>
      <c r="E1605" s="5"/>
      <c r="G1605" s="5"/>
      <c r="H1605" s="5"/>
    </row>
    <row r="1606" spans="1:8" x14ac:dyDescent="0.2">
      <c r="A1606" s="5"/>
      <c r="B1606" s="5" t="s">
        <v>1915</v>
      </c>
      <c r="C1606" s="5"/>
      <c r="D1606" s="5" t="s">
        <v>366</v>
      </c>
      <c r="E1606" s="5"/>
      <c r="G1606" s="5"/>
      <c r="H1606" s="5"/>
    </row>
    <row r="1607" spans="1:8" x14ac:dyDescent="0.2">
      <c r="A1607" s="5" t="s">
        <v>2130</v>
      </c>
      <c r="B1607" s="5" t="s">
        <v>2071</v>
      </c>
      <c r="C1607" s="8">
        <v>7.45</v>
      </c>
      <c r="D1607" s="5" t="s">
        <v>382</v>
      </c>
      <c r="E1607" s="5"/>
      <c r="G1607" s="5"/>
      <c r="H1607" s="5"/>
    </row>
    <row r="1608" spans="1:8" x14ac:dyDescent="0.2">
      <c r="A1608" s="5"/>
      <c r="B1608" s="5" t="s">
        <v>1110</v>
      </c>
      <c r="C1608" s="5"/>
      <c r="D1608" s="5" t="s">
        <v>366</v>
      </c>
      <c r="E1608" s="5"/>
      <c r="G1608" s="5"/>
      <c r="H1608" s="5"/>
    </row>
    <row r="1609" spans="1:8" x14ac:dyDescent="0.2">
      <c r="A1609" s="5" t="s">
        <v>2131</v>
      </c>
      <c r="B1609" s="5" t="s">
        <v>2071</v>
      </c>
      <c r="C1609" s="8">
        <v>7.72</v>
      </c>
      <c r="D1609" s="5" t="s">
        <v>382</v>
      </c>
      <c r="E1609" s="5"/>
      <c r="G1609" s="5"/>
      <c r="H1609" s="5"/>
    </row>
    <row r="1610" spans="1:8" x14ac:dyDescent="0.2">
      <c r="A1610" s="5"/>
      <c r="B1610" s="5" t="s">
        <v>1698</v>
      </c>
      <c r="C1610" s="5"/>
      <c r="D1610" s="5" t="s">
        <v>322</v>
      </c>
      <c r="E1610" s="5"/>
      <c r="G1610" s="5"/>
      <c r="H1610" s="5"/>
    </row>
    <row r="1611" spans="1:8" x14ac:dyDescent="0.2">
      <c r="A1611" s="5"/>
      <c r="B1611" s="5" t="s">
        <v>1106</v>
      </c>
      <c r="C1611" s="5"/>
      <c r="D1611" s="5" t="s">
        <v>366</v>
      </c>
      <c r="E1611" s="5"/>
      <c r="G1611" s="5"/>
      <c r="H1611" s="5"/>
    </row>
    <row r="1612" spans="1:8" x14ac:dyDescent="0.2">
      <c r="A1612" s="5" t="s">
        <v>2132</v>
      </c>
      <c r="B1612" s="5" t="s">
        <v>2075</v>
      </c>
      <c r="C1612" s="8">
        <v>4.67</v>
      </c>
      <c r="D1612" s="5" t="s">
        <v>382</v>
      </c>
      <c r="E1612" s="5"/>
      <c r="G1612" s="5"/>
      <c r="H1612" s="5"/>
    </row>
    <row r="1613" spans="1:8" x14ac:dyDescent="0.2">
      <c r="A1613" s="5"/>
      <c r="B1613" s="5" t="s">
        <v>1915</v>
      </c>
      <c r="C1613" s="5"/>
      <c r="D1613" s="5" t="s">
        <v>366</v>
      </c>
      <c r="E1613" s="5"/>
      <c r="G1613" s="5"/>
      <c r="H1613" s="5"/>
    </row>
    <row r="1614" spans="1:8" x14ac:dyDescent="0.2">
      <c r="A1614" s="5" t="s">
        <v>2133</v>
      </c>
      <c r="B1614" s="5" t="s">
        <v>2075</v>
      </c>
      <c r="C1614" s="8">
        <v>5.69</v>
      </c>
      <c r="D1614" s="5" t="s">
        <v>382</v>
      </c>
      <c r="E1614" s="5"/>
      <c r="G1614" s="5"/>
      <c r="H1614" s="5"/>
    </row>
    <row r="1615" spans="1:8" x14ac:dyDescent="0.2">
      <c r="A1615" s="5"/>
      <c r="B1615" s="5" t="s">
        <v>1110</v>
      </c>
      <c r="C1615" s="5"/>
      <c r="D1615" s="5" t="s">
        <v>366</v>
      </c>
      <c r="E1615" s="5"/>
      <c r="G1615" s="5"/>
      <c r="H1615" s="5"/>
    </row>
    <row r="1616" spans="1:8" x14ac:dyDescent="0.2">
      <c r="A1616" s="5" t="s">
        <v>2134</v>
      </c>
      <c r="B1616" s="5" t="s">
        <v>2075</v>
      </c>
      <c r="C1616" s="8">
        <v>6.7</v>
      </c>
      <c r="D1616" s="5" t="s">
        <v>382</v>
      </c>
      <c r="E1616" s="5"/>
      <c r="G1616" s="5"/>
      <c r="H1616" s="5"/>
    </row>
    <row r="1617" spans="1:9" x14ac:dyDescent="0.2">
      <c r="B1617" s="6" t="s">
        <v>2135</v>
      </c>
      <c r="C1617" s="6"/>
      <c r="D1617" s="6"/>
      <c r="E1617" s="6"/>
      <c r="F1617" s="9">
        <f>SUM(H1431:H1617)</f>
        <v>0</v>
      </c>
      <c r="G1617" s="6"/>
      <c r="I1617" s="9">
        <f>PRODUCT(F1617,G1617)</f>
        <v>0</v>
      </c>
    </row>
    <row r="1619" spans="1:9" x14ac:dyDescent="0.2">
      <c r="A1619" s="6" t="s">
        <v>2136</v>
      </c>
      <c r="B1619" s="6" t="s">
        <v>2137</v>
      </c>
    </row>
    <row r="1620" spans="1:9" x14ac:dyDescent="0.2">
      <c r="A1620" s="5"/>
      <c r="B1620" s="5" t="s">
        <v>64</v>
      </c>
      <c r="C1620" s="5"/>
      <c r="D1620" s="5" t="s">
        <v>13</v>
      </c>
      <c r="E1620" s="5"/>
      <c r="G1620" s="5"/>
      <c r="H1620" s="5"/>
    </row>
    <row r="1621" spans="1:9" x14ac:dyDescent="0.2">
      <c r="A1621" s="5" t="s">
        <v>2138</v>
      </c>
      <c r="B1621" s="5" t="s">
        <v>66</v>
      </c>
      <c r="C1621" s="5"/>
      <c r="D1621" s="5" t="s">
        <v>18</v>
      </c>
      <c r="E1621" s="5"/>
      <c r="G1621" s="5"/>
      <c r="H1621" s="5"/>
    </row>
    <row r="1622" spans="1:9" x14ac:dyDescent="0.2">
      <c r="A1622" s="5" t="s">
        <v>2139</v>
      </c>
      <c r="B1622" s="5" t="s">
        <v>68</v>
      </c>
      <c r="C1622" s="5"/>
      <c r="D1622" s="5" t="s">
        <v>18</v>
      </c>
      <c r="E1622" s="5"/>
      <c r="G1622" s="5"/>
      <c r="H1622" s="5"/>
    </row>
    <row r="1623" spans="1:9" x14ac:dyDescent="0.2">
      <c r="A1623" s="5"/>
      <c r="B1623" s="5" t="s">
        <v>71</v>
      </c>
      <c r="C1623" s="5"/>
      <c r="D1623" s="5" t="s">
        <v>13</v>
      </c>
      <c r="E1623" s="5"/>
      <c r="G1623" s="5"/>
      <c r="H1623" s="5"/>
    </row>
    <row r="1624" spans="1:9" x14ac:dyDescent="0.2">
      <c r="A1624" s="5" t="s">
        <v>2140</v>
      </c>
      <c r="B1624" s="5" t="s">
        <v>269</v>
      </c>
      <c r="C1624" s="5"/>
      <c r="D1624" s="5" t="s">
        <v>18</v>
      </c>
      <c r="E1624" s="5"/>
      <c r="G1624" s="5"/>
      <c r="H1624" s="5"/>
    </row>
    <row r="1625" spans="1:9" x14ac:dyDescent="0.2">
      <c r="A1625" s="5" t="s">
        <v>2141</v>
      </c>
      <c r="B1625" s="5" t="s">
        <v>271</v>
      </c>
      <c r="C1625" s="5"/>
      <c r="D1625" s="5" t="s">
        <v>18</v>
      </c>
      <c r="E1625" s="5"/>
      <c r="G1625" s="5"/>
      <c r="H1625" s="5"/>
    </row>
    <row r="1626" spans="1:9" x14ac:dyDescent="0.2">
      <c r="A1626" s="5"/>
      <c r="B1626" s="5" t="s">
        <v>76</v>
      </c>
      <c r="C1626" s="5"/>
      <c r="D1626" s="5" t="s">
        <v>13</v>
      </c>
      <c r="E1626" s="5"/>
      <c r="G1626" s="5"/>
      <c r="H1626" s="5"/>
    </row>
    <row r="1627" spans="1:9" x14ac:dyDescent="0.2">
      <c r="A1627" s="5"/>
      <c r="B1627" s="5" t="s">
        <v>77</v>
      </c>
      <c r="C1627" s="5"/>
      <c r="D1627" s="5" t="s">
        <v>15</v>
      </c>
      <c r="E1627" s="5"/>
      <c r="G1627" s="5"/>
      <c r="H1627" s="5"/>
    </row>
    <row r="1628" spans="1:9" x14ac:dyDescent="0.2">
      <c r="A1628" s="5" t="s">
        <v>2142</v>
      </c>
      <c r="B1628" s="5" t="s">
        <v>2143</v>
      </c>
      <c r="C1628" s="5"/>
      <c r="D1628" s="5" t="s">
        <v>18</v>
      </c>
      <c r="E1628" s="5"/>
      <c r="G1628" s="5"/>
      <c r="H1628" s="5"/>
    </row>
    <row r="1629" spans="1:9" x14ac:dyDescent="0.2">
      <c r="A1629" s="5" t="s">
        <v>2144</v>
      </c>
      <c r="B1629" s="5" t="s">
        <v>299</v>
      </c>
      <c r="C1629" s="5"/>
      <c r="D1629" s="5" t="s">
        <v>18</v>
      </c>
      <c r="E1629" s="5"/>
      <c r="G1629" s="5"/>
      <c r="H1629" s="5"/>
    </row>
    <row r="1630" spans="1:9" x14ac:dyDescent="0.2">
      <c r="A1630" s="5"/>
      <c r="B1630" s="5" t="s">
        <v>94</v>
      </c>
      <c r="C1630" s="5"/>
      <c r="D1630" s="5" t="s">
        <v>13</v>
      </c>
      <c r="E1630" s="5"/>
      <c r="G1630" s="5"/>
      <c r="H1630" s="5"/>
    </row>
    <row r="1631" spans="1:9" x14ac:dyDescent="0.2">
      <c r="A1631" s="5" t="s">
        <v>2145</v>
      </c>
      <c r="B1631" s="5" t="s">
        <v>111</v>
      </c>
      <c r="C1631" s="8">
        <v>1</v>
      </c>
      <c r="D1631" s="5" t="s">
        <v>97</v>
      </c>
      <c r="E1631" s="5"/>
      <c r="G1631" s="5"/>
      <c r="H1631" s="5"/>
    </row>
    <row r="1632" spans="1:9" x14ac:dyDescent="0.2">
      <c r="A1632" s="5" t="s">
        <v>2146</v>
      </c>
      <c r="B1632" s="5" t="s">
        <v>2147</v>
      </c>
      <c r="C1632" s="8">
        <v>1</v>
      </c>
      <c r="D1632" s="5" t="s">
        <v>97</v>
      </c>
      <c r="E1632" s="5"/>
      <c r="G1632" s="5"/>
      <c r="H1632" s="5"/>
    </row>
    <row r="1633" spans="1:8" x14ac:dyDescent="0.2">
      <c r="A1633" s="5" t="s">
        <v>2148</v>
      </c>
      <c r="B1633" s="5" t="s">
        <v>113</v>
      </c>
      <c r="C1633" s="8">
        <v>1</v>
      </c>
      <c r="D1633" s="5" t="s">
        <v>97</v>
      </c>
      <c r="E1633" s="5"/>
      <c r="G1633" s="5"/>
      <c r="H1633" s="5"/>
    </row>
    <row r="1634" spans="1:8" x14ac:dyDescent="0.2">
      <c r="A1634" s="5" t="s">
        <v>2149</v>
      </c>
      <c r="B1634" s="5" t="s">
        <v>2150</v>
      </c>
      <c r="C1634" s="8">
        <v>1</v>
      </c>
      <c r="D1634" s="5" t="s">
        <v>97</v>
      </c>
      <c r="E1634" s="5"/>
      <c r="G1634" s="5"/>
      <c r="H1634" s="5"/>
    </row>
    <row r="1635" spans="1:8" x14ac:dyDescent="0.2">
      <c r="A1635" s="5" t="s">
        <v>2151</v>
      </c>
      <c r="B1635" s="5" t="s">
        <v>2152</v>
      </c>
      <c r="C1635" s="8">
        <v>1</v>
      </c>
      <c r="D1635" s="5" t="s">
        <v>97</v>
      </c>
      <c r="E1635" s="5"/>
      <c r="G1635" s="5"/>
      <c r="H1635" s="5"/>
    </row>
    <row r="1636" spans="1:8" x14ac:dyDescent="0.2">
      <c r="A1636" s="5" t="s">
        <v>2153</v>
      </c>
      <c r="B1636" s="5" t="s">
        <v>2154</v>
      </c>
      <c r="C1636" s="8">
        <v>1</v>
      </c>
      <c r="D1636" s="5" t="s">
        <v>97</v>
      </c>
      <c r="E1636" s="5"/>
      <c r="G1636" s="5"/>
      <c r="H1636" s="5"/>
    </row>
    <row r="1637" spans="1:8" x14ac:dyDescent="0.2">
      <c r="A1637" s="5" t="s">
        <v>2155</v>
      </c>
      <c r="B1637" s="5" t="s">
        <v>2156</v>
      </c>
      <c r="C1637" s="8">
        <v>1</v>
      </c>
      <c r="D1637" s="5" t="s">
        <v>97</v>
      </c>
      <c r="E1637" s="5"/>
      <c r="G1637" s="5"/>
      <c r="H1637" s="5"/>
    </row>
    <row r="1638" spans="1:8" x14ac:dyDescent="0.2">
      <c r="A1638" s="5" t="s">
        <v>2157</v>
      </c>
      <c r="B1638" s="5" t="s">
        <v>2158</v>
      </c>
      <c r="C1638" s="8">
        <v>1</v>
      </c>
      <c r="D1638" s="5" t="s">
        <v>97</v>
      </c>
      <c r="E1638" s="5"/>
      <c r="G1638" s="5"/>
      <c r="H1638" s="5"/>
    </row>
    <row r="1639" spans="1:8" x14ac:dyDescent="0.2">
      <c r="A1639" s="5" t="s">
        <v>2159</v>
      </c>
      <c r="B1639" s="5" t="s">
        <v>2160</v>
      </c>
      <c r="C1639" s="8">
        <v>1</v>
      </c>
      <c r="D1639" s="5" t="s">
        <v>97</v>
      </c>
      <c r="E1639" s="5"/>
      <c r="G1639" s="5"/>
      <c r="H1639" s="5"/>
    </row>
    <row r="1640" spans="1:8" x14ac:dyDescent="0.2">
      <c r="A1640" s="5" t="s">
        <v>2161</v>
      </c>
      <c r="B1640" s="5" t="s">
        <v>2162</v>
      </c>
      <c r="C1640" s="8">
        <v>1</v>
      </c>
      <c r="D1640" s="5" t="s">
        <v>97</v>
      </c>
      <c r="E1640" s="5"/>
      <c r="G1640" s="5"/>
      <c r="H1640" s="5"/>
    </row>
    <row r="1641" spans="1:8" x14ac:dyDescent="0.2">
      <c r="A1641" s="5" t="s">
        <v>2163</v>
      </c>
      <c r="B1641" s="5" t="s">
        <v>2164</v>
      </c>
      <c r="C1641" s="8">
        <v>1</v>
      </c>
      <c r="D1641" s="5" t="s">
        <v>97</v>
      </c>
      <c r="E1641" s="5"/>
      <c r="G1641" s="5"/>
      <c r="H1641" s="5"/>
    </row>
    <row r="1642" spans="1:8" x14ac:dyDescent="0.2">
      <c r="A1642" s="5" t="s">
        <v>2165</v>
      </c>
      <c r="B1642" s="5" t="s">
        <v>2166</v>
      </c>
      <c r="C1642" s="8">
        <v>1</v>
      </c>
      <c r="D1642" s="5" t="s">
        <v>97</v>
      </c>
      <c r="E1642" s="5"/>
      <c r="G1642" s="5"/>
      <c r="H1642" s="5"/>
    </row>
    <row r="1643" spans="1:8" x14ac:dyDescent="0.2">
      <c r="A1643" s="5" t="s">
        <v>2167</v>
      </c>
      <c r="B1643" s="5" t="s">
        <v>2168</v>
      </c>
      <c r="C1643" s="8">
        <v>1</v>
      </c>
      <c r="D1643" s="5" t="s">
        <v>97</v>
      </c>
      <c r="E1643" s="5"/>
      <c r="G1643" s="5"/>
      <c r="H1643" s="5"/>
    </row>
    <row r="1644" spans="1:8" x14ac:dyDescent="0.2">
      <c r="A1644" s="5"/>
      <c r="B1644" s="5" t="s">
        <v>38</v>
      </c>
      <c r="C1644" s="5"/>
      <c r="D1644" s="5" t="s">
        <v>13</v>
      </c>
      <c r="E1644" s="5"/>
      <c r="G1644" s="5"/>
      <c r="H1644" s="5"/>
    </row>
    <row r="1645" spans="1:8" x14ac:dyDescent="0.2">
      <c r="A1645" s="5"/>
      <c r="B1645" s="5" t="s">
        <v>2169</v>
      </c>
      <c r="C1645" s="5"/>
      <c r="D1645" s="5" t="s">
        <v>15</v>
      </c>
      <c r="E1645" s="5"/>
      <c r="G1645" s="5"/>
      <c r="H1645" s="5"/>
    </row>
    <row r="1646" spans="1:8" x14ac:dyDescent="0.2">
      <c r="A1646" s="5"/>
      <c r="B1646" s="5" t="s">
        <v>2057</v>
      </c>
      <c r="C1646" s="5"/>
      <c r="D1646" s="5" t="s">
        <v>322</v>
      </c>
      <c r="E1646" s="5"/>
      <c r="G1646" s="5"/>
      <c r="H1646" s="5"/>
    </row>
    <row r="1647" spans="1:8" x14ac:dyDescent="0.2">
      <c r="A1647" s="5"/>
      <c r="B1647" s="5" t="s">
        <v>658</v>
      </c>
      <c r="C1647" s="5"/>
      <c r="D1647" s="5" t="s">
        <v>366</v>
      </c>
      <c r="E1647" s="5"/>
      <c r="G1647" s="5"/>
      <c r="H1647" s="5"/>
    </row>
    <row r="1648" spans="1:8" x14ac:dyDescent="0.2">
      <c r="A1648" s="5" t="s">
        <v>2170</v>
      </c>
      <c r="B1648" s="5" t="s">
        <v>2071</v>
      </c>
      <c r="C1648" s="8">
        <v>11.49</v>
      </c>
      <c r="D1648" s="5" t="s">
        <v>382</v>
      </c>
      <c r="E1648" s="5"/>
      <c r="G1648" s="5"/>
      <c r="H1648" s="5"/>
    </row>
    <row r="1649" spans="1:8" x14ac:dyDescent="0.2">
      <c r="A1649" s="5"/>
      <c r="B1649" s="5" t="s">
        <v>1682</v>
      </c>
      <c r="C1649" s="5"/>
      <c r="D1649" s="5" t="s">
        <v>366</v>
      </c>
      <c r="E1649" s="5"/>
      <c r="G1649" s="5"/>
      <c r="H1649" s="5"/>
    </row>
    <row r="1650" spans="1:8" x14ac:dyDescent="0.2">
      <c r="A1650" s="5" t="s">
        <v>2171</v>
      </c>
      <c r="B1650" s="5" t="s">
        <v>2071</v>
      </c>
      <c r="C1650" s="8">
        <v>11.28</v>
      </c>
      <c r="D1650" s="5" t="s">
        <v>382</v>
      </c>
      <c r="E1650" s="5"/>
      <c r="G1650" s="5"/>
      <c r="H1650" s="5"/>
    </row>
    <row r="1651" spans="1:8" x14ac:dyDescent="0.2">
      <c r="A1651" s="5"/>
      <c r="B1651" s="5" t="s">
        <v>666</v>
      </c>
      <c r="C1651" s="5"/>
      <c r="D1651" s="5" t="s">
        <v>366</v>
      </c>
      <c r="E1651" s="5"/>
      <c r="G1651" s="5"/>
      <c r="H1651" s="5"/>
    </row>
    <row r="1652" spans="1:8" x14ac:dyDescent="0.2">
      <c r="A1652" s="5" t="s">
        <v>2172</v>
      </c>
      <c r="B1652" s="5" t="s">
        <v>2071</v>
      </c>
      <c r="C1652" s="8">
        <v>11.62</v>
      </c>
      <c r="D1652" s="5" t="s">
        <v>382</v>
      </c>
      <c r="E1652" s="5"/>
      <c r="G1652" s="5"/>
      <c r="H1652" s="5"/>
    </row>
    <row r="1653" spans="1:8" x14ac:dyDescent="0.2">
      <c r="A1653" s="5"/>
      <c r="B1653" s="5" t="s">
        <v>1698</v>
      </c>
      <c r="C1653" s="5"/>
      <c r="D1653" s="5" t="s">
        <v>322</v>
      </c>
      <c r="E1653" s="5"/>
      <c r="G1653" s="5"/>
      <c r="H1653" s="5"/>
    </row>
    <row r="1654" spans="1:8" x14ac:dyDescent="0.2">
      <c r="A1654" s="5"/>
      <c r="B1654" s="5" t="s">
        <v>658</v>
      </c>
      <c r="C1654" s="5"/>
      <c r="D1654" s="5" t="s">
        <v>366</v>
      </c>
      <c r="E1654" s="5"/>
      <c r="G1654" s="5"/>
      <c r="H1654" s="5"/>
    </row>
    <row r="1655" spans="1:8" x14ac:dyDescent="0.2">
      <c r="A1655" s="5" t="s">
        <v>2173</v>
      </c>
      <c r="B1655" s="5" t="s">
        <v>2071</v>
      </c>
      <c r="C1655" s="8">
        <v>4.1100000000000003</v>
      </c>
      <c r="D1655" s="5" t="s">
        <v>382</v>
      </c>
      <c r="E1655" s="5"/>
      <c r="G1655" s="5"/>
      <c r="H1655" s="5"/>
    </row>
    <row r="1656" spans="1:8" x14ac:dyDescent="0.2">
      <c r="A1656" s="5"/>
      <c r="B1656" s="5" t="s">
        <v>1682</v>
      </c>
      <c r="C1656" s="5"/>
      <c r="D1656" s="5" t="s">
        <v>366</v>
      </c>
      <c r="E1656" s="5"/>
      <c r="G1656" s="5"/>
      <c r="H1656" s="5"/>
    </row>
    <row r="1657" spans="1:8" x14ac:dyDescent="0.2">
      <c r="A1657" s="5" t="s">
        <v>2174</v>
      </c>
      <c r="B1657" s="5" t="s">
        <v>2071</v>
      </c>
      <c r="C1657" s="8">
        <v>3.41</v>
      </c>
      <c r="D1657" s="5" t="s">
        <v>382</v>
      </c>
      <c r="E1657" s="5"/>
      <c r="G1657" s="5"/>
      <c r="H1657" s="5"/>
    </row>
    <row r="1658" spans="1:8" x14ac:dyDescent="0.2">
      <c r="A1658" s="5"/>
      <c r="B1658" s="5" t="s">
        <v>666</v>
      </c>
      <c r="C1658" s="5"/>
      <c r="D1658" s="5" t="s">
        <v>366</v>
      </c>
      <c r="E1658" s="5"/>
      <c r="G1658" s="5"/>
      <c r="H1658" s="5"/>
    </row>
    <row r="1659" spans="1:8" x14ac:dyDescent="0.2">
      <c r="A1659" s="5" t="s">
        <v>2175</v>
      </c>
      <c r="B1659" s="5" t="s">
        <v>2071</v>
      </c>
      <c r="C1659" s="8">
        <v>4.2699999999999996</v>
      </c>
      <c r="D1659" s="5" t="s">
        <v>382</v>
      </c>
      <c r="E1659" s="5"/>
      <c r="G1659" s="5"/>
      <c r="H1659" s="5"/>
    </row>
    <row r="1660" spans="1:8" x14ac:dyDescent="0.2">
      <c r="A1660" s="5"/>
      <c r="B1660" s="5" t="s">
        <v>53</v>
      </c>
      <c r="C1660" s="5"/>
      <c r="D1660" s="5" t="s">
        <v>13</v>
      </c>
      <c r="E1660" s="5"/>
      <c r="G1660" s="5"/>
      <c r="H1660" s="5"/>
    </row>
    <row r="1661" spans="1:8" x14ac:dyDescent="0.2">
      <c r="A1661" s="5"/>
      <c r="B1661" s="5" t="s">
        <v>2057</v>
      </c>
      <c r="C1661" s="5"/>
      <c r="D1661" s="5" t="s">
        <v>322</v>
      </c>
      <c r="E1661" s="5"/>
      <c r="G1661" s="5"/>
      <c r="H1661" s="5"/>
    </row>
    <row r="1662" spans="1:8" x14ac:dyDescent="0.2">
      <c r="A1662" s="5"/>
      <c r="B1662" s="5" t="s">
        <v>1106</v>
      </c>
      <c r="C1662" s="5"/>
      <c r="D1662" s="5" t="s">
        <v>366</v>
      </c>
      <c r="E1662" s="5"/>
      <c r="G1662" s="5"/>
      <c r="H1662" s="5"/>
    </row>
    <row r="1663" spans="1:8" x14ac:dyDescent="0.2">
      <c r="A1663" s="5" t="s">
        <v>2176</v>
      </c>
      <c r="B1663" s="5" t="s">
        <v>2071</v>
      </c>
      <c r="C1663" s="8">
        <v>5.14</v>
      </c>
      <c r="D1663" s="5" t="s">
        <v>382</v>
      </c>
      <c r="E1663" s="5"/>
      <c r="G1663" s="5"/>
      <c r="H1663" s="5"/>
    </row>
    <row r="1664" spans="1:8" x14ac:dyDescent="0.2">
      <c r="A1664" s="5"/>
      <c r="B1664" s="5" t="s">
        <v>1915</v>
      </c>
      <c r="C1664" s="5"/>
      <c r="D1664" s="5" t="s">
        <v>366</v>
      </c>
      <c r="E1664" s="5"/>
      <c r="G1664" s="5"/>
      <c r="H1664" s="5"/>
    </row>
    <row r="1665" spans="1:9" x14ac:dyDescent="0.2">
      <c r="A1665" s="5" t="s">
        <v>2177</v>
      </c>
      <c r="B1665" s="5" t="s">
        <v>2071</v>
      </c>
      <c r="C1665" s="8">
        <v>5.19</v>
      </c>
      <c r="D1665" s="5" t="s">
        <v>382</v>
      </c>
      <c r="E1665" s="5"/>
      <c r="G1665" s="5"/>
      <c r="H1665" s="5"/>
    </row>
    <row r="1666" spans="1:9" x14ac:dyDescent="0.2">
      <c r="A1666" s="5"/>
      <c r="B1666" s="5" t="s">
        <v>1110</v>
      </c>
      <c r="C1666" s="5"/>
      <c r="D1666" s="5" t="s">
        <v>366</v>
      </c>
      <c r="E1666" s="5"/>
      <c r="G1666" s="5"/>
      <c r="H1666" s="5"/>
    </row>
    <row r="1667" spans="1:9" x14ac:dyDescent="0.2">
      <c r="A1667" s="5" t="s">
        <v>2178</v>
      </c>
      <c r="B1667" s="5" t="s">
        <v>2071</v>
      </c>
      <c r="C1667" s="8">
        <v>5.37</v>
      </c>
      <c r="D1667" s="5" t="s">
        <v>382</v>
      </c>
      <c r="E1667" s="5"/>
      <c r="G1667" s="5"/>
      <c r="H1667" s="5"/>
    </row>
    <row r="1668" spans="1:9" x14ac:dyDescent="0.2">
      <c r="A1668" s="5"/>
      <c r="B1668" s="5" t="s">
        <v>1698</v>
      </c>
      <c r="C1668" s="5"/>
      <c r="D1668" s="5" t="s">
        <v>322</v>
      </c>
      <c r="E1668" s="5"/>
      <c r="G1668" s="5"/>
      <c r="H1668" s="5"/>
    </row>
    <row r="1669" spans="1:9" x14ac:dyDescent="0.2">
      <c r="A1669" s="5"/>
      <c r="B1669" s="5" t="s">
        <v>1106</v>
      </c>
      <c r="C1669" s="5"/>
      <c r="D1669" s="5" t="s">
        <v>366</v>
      </c>
      <c r="E1669" s="5"/>
      <c r="G1669" s="5"/>
      <c r="H1669" s="5"/>
    </row>
    <row r="1670" spans="1:9" x14ac:dyDescent="0.2">
      <c r="A1670" s="5" t="s">
        <v>2179</v>
      </c>
      <c r="B1670" s="5" t="s">
        <v>2071</v>
      </c>
      <c r="C1670" s="8">
        <v>1.35</v>
      </c>
      <c r="D1670" s="5" t="s">
        <v>382</v>
      </c>
      <c r="E1670" s="5"/>
      <c r="G1670" s="5"/>
      <c r="H1670" s="5"/>
    </row>
    <row r="1671" spans="1:9" x14ac:dyDescent="0.2">
      <c r="A1671" s="5"/>
      <c r="B1671" s="5" t="s">
        <v>1915</v>
      </c>
      <c r="C1671" s="5"/>
      <c r="D1671" s="5" t="s">
        <v>366</v>
      </c>
      <c r="E1671" s="5"/>
      <c r="G1671" s="5"/>
      <c r="H1671" s="5"/>
    </row>
    <row r="1672" spans="1:9" x14ac:dyDescent="0.2">
      <c r="A1672" s="5" t="s">
        <v>2180</v>
      </c>
      <c r="B1672" s="5" t="s">
        <v>2071</v>
      </c>
      <c r="C1672" s="8">
        <v>1.8</v>
      </c>
      <c r="D1672" s="5" t="s">
        <v>382</v>
      </c>
      <c r="E1672" s="5"/>
      <c r="G1672" s="5"/>
      <c r="H1672" s="5"/>
    </row>
    <row r="1673" spans="1:9" x14ac:dyDescent="0.2">
      <c r="A1673" s="5"/>
      <c r="B1673" s="5" t="s">
        <v>1110</v>
      </c>
      <c r="C1673" s="5"/>
      <c r="D1673" s="5" t="s">
        <v>366</v>
      </c>
      <c r="E1673" s="5"/>
      <c r="G1673" s="5"/>
      <c r="H1673" s="5"/>
    </row>
    <row r="1674" spans="1:9" x14ac:dyDescent="0.2">
      <c r="A1674" s="5" t="s">
        <v>2181</v>
      </c>
      <c r="B1674" s="5" t="s">
        <v>2071</v>
      </c>
      <c r="C1674" s="8">
        <v>2.11</v>
      </c>
      <c r="D1674" s="5" t="s">
        <v>382</v>
      </c>
      <c r="E1674" s="5"/>
      <c r="G1674" s="5"/>
      <c r="H1674" s="5"/>
    </row>
    <row r="1675" spans="1:9" x14ac:dyDescent="0.2">
      <c r="B1675" s="6" t="s">
        <v>2182</v>
      </c>
      <c r="C1675" s="6"/>
      <c r="D1675" s="6"/>
      <c r="E1675" s="6"/>
      <c r="F1675" s="9">
        <f>SUM(H1620:H1675)</f>
        <v>0</v>
      </c>
      <c r="G1675" s="6"/>
      <c r="I1675" s="9">
        <f>PRODUCT(F1675,G1675)</f>
        <v>0</v>
      </c>
    </row>
    <row r="1677" spans="1:9" x14ac:dyDescent="0.2">
      <c r="A1677" s="6" t="s">
        <v>2183</v>
      </c>
      <c r="B1677" s="6" t="s">
        <v>2184</v>
      </c>
    </row>
    <row r="1678" spans="1:9" x14ac:dyDescent="0.2">
      <c r="A1678" s="5"/>
      <c r="B1678" s="5" t="s">
        <v>64</v>
      </c>
      <c r="C1678" s="5"/>
      <c r="D1678" s="5" t="s">
        <v>13</v>
      </c>
      <c r="E1678" s="5"/>
      <c r="G1678" s="5"/>
      <c r="H1678" s="5"/>
    </row>
    <row r="1679" spans="1:9" x14ac:dyDescent="0.2">
      <c r="A1679" s="5" t="s">
        <v>2185</v>
      </c>
      <c r="B1679" s="5" t="s">
        <v>66</v>
      </c>
      <c r="C1679" s="5"/>
      <c r="D1679" s="5" t="s">
        <v>18</v>
      </c>
      <c r="E1679" s="5"/>
      <c r="G1679" s="5"/>
      <c r="H1679" s="5"/>
    </row>
    <row r="1680" spans="1:9" x14ac:dyDescent="0.2">
      <c r="A1680" s="5" t="s">
        <v>2186</v>
      </c>
      <c r="B1680" s="5" t="s">
        <v>68</v>
      </c>
      <c r="C1680" s="5"/>
      <c r="D1680" s="5" t="s">
        <v>18</v>
      </c>
      <c r="E1680" s="5"/>
      <c r="G1680" s="5"/>
      <c r="H1680" s="5"/>
    </row>
    <row r="1681" spans="1:8" x14ac:dyDescent="0.2">
      <c r="A1681" s="5"/>
      <c r="B1681" s="5" t="s">
        <v>71</v>
      </c>
      <c r="C1681" s="5"/>
      <c r="D1681" s="5" t="s">
        <v>13</v>
      </c>
      <c r="E1681" s="5"/>
      <c r="G1681" s="5"/>
      <c r="H1681" s="5"/>
    </row>
    <row r="1682" spans="1:8" x14ac:dyDescent="0.2">
      <c r="A1682" s="5" t="s">
        <v>2187</v>
      </c>
      <c r="B1682" s="5" t="s">
        <v>269</v>
      </c>
      <c r="C1682" s="5"/>
      <c r="D1682" s="5" t="s">
        <v>18</v>
      </c>
      <c r="E1682" s="5"/>
      <c r="G1682" s="5"/>
      <c r="H1682" s="5"/>
    </row>
    <row r="1683" spans="1:8" x14ac:dyDescent="0.2">
      <c r="A1683" s="5" t="s">
        <v>2188</v>
      </c>
      <c r="B1683" s="5" t="s">
        <v>2189</v>
      </c>
      <c r="C1683" s="5"/>
      <c r="D1683" s="5" t="s">
        <v>18</v>
      </c>
      <c r="E1683" s="5"/>
      <c r="G1683" s="5"/>
      <c r="H1683" s="5"/>
    </row>
    <row r="1684" spans="1:8" x14ac:dyDescent="0.2">
      <c r="A1684" s="5" t="s">
        <v>2190</v>
      </c>
      <c r="B1684" s="5" t="s">
        <v>2191</v>
      </c>
      <c r="C1684" s="5"/>
      <c r="D1684" s="5" t="s">
        <v>18</v>
      </c>
      <c r="E1684" s="5"/>
      <c r="G1684" s="5"/>
      <c r="H1684" s="5"/>
    </row>
    <row r="1685" spans="1:8" x14ac:dyDescent="0.2">
      <c r="A1685" s="5" t="s">
        <v>2192</v>
      </c>
      <c r="B1685" s="5" t="s">
        <v>2193</v>
      </c>
      <c r="C1685" s="5"/>
      <c r="D1685" s="5" t="s">
        <v>18</v>
      </c>
      <c r="E1685" s="5"/>
      <c r="G1685" s="5"/>
      <c r="H1685" s="5"/>
    </row>
    <row r="1686" spans="1:8" x14ac:dyDescent="0.2">
      <c r="A1686" s="5"/>
      <c r="B1686" s="5" t="s">
        <v>76</v>
      </c>
      <c r="C1686" s="5"/>
      <c r="D1686" s="5" t="s">
        <v>13</v>
      </c>
      <c r="E1686" s="5"/>
      <c r="G1686" s="5"/>
      <c r="H1686" s="5"/>
    </row>
    <row r="1687" spans="1:8" x14ac:dyDescent="0.2">
      <c r="A1687" s="5"/>
      <c r="B1687" s="5" t="s">
        <v>77</v>
      </c>
      <c r="C1687" s="5"/>
      <c r="D1687" s="5" t="s">
        <v>15</v>
      </c>
      <c r="E1687" s="5"/>
      <c r="G1687" s="5"/>
      <c r="H1687" s="5"/>
    </row>
    <row r="1688" spans="1:8" x14ac:dyDescent="0.2">
      <c r="A1688" s="5" t="s">
        <v>2194</v>
      </c>
      <c r="B1688" s="5" t="s">
        <v>273</v>
      </c>
      <c r="C1688" s="5"/>
      <c r="D1688" s="5" t="s">
        <v>18</v>
      </c>
      <c r="E1688" s="5"/>
      <c r="G1688" s="5"/>
      <c r="H1688" s="5"/>
    </row>
    <row r="1689" spans="1:8" x14ac:dyDescent="0.2">
      <c r="A1689" s="5" t="s">
        <v>2195</v>
      </c>
      <c r="B1689" s="5" t="s">
        <v>275</v>
      </c>
      <c r="C1689" s="5"/>
      <c r="D1689" s="5" t="s">
        <v>18</v>
      </c>
      <c r="E1689" s="5"/>
      <c r="G1689" s="5"/>
      <c r="H1689" s="5"/>
    </row>
    <row r="1690" spans="1:8" x14ac:dyDescent="0.2">
      <c r="A1690" s="5" t="s">
        <v>2196</v>
      </c>
      <c r="B1690" s="5" t="s">
        <v>277</v>
      </c>
      <c r="C1690" s="5"/>
      <c r="D1690" s="5" t="s">
        <v>18</v>
      </c>
      <c r="E1690" s="5"/>
      <c r="G1690" s="5"/>
      <c r="H1690" s="5"/>
    </row>
    <row r="1691" spans="1:8" x14ac:dyDescent="0.2">
      <c r="A1691" s="5" t="s">
        <v>2197</v>
      </c>
      <c r="B1691" s="5" t="s">
        <v>279</v>
      </c>
      <c r="C1691" s="5"/>
      <c r="D1691" s="5" t="s">
        <v>18</v>
      </c>
      <c r="E1691" s="5"/>
      <c r="G1691" s="5"/>
      <c r="H1691" s="5"/>
    </row>
    <row r="1692" spans="1:8" x14ac:dyDescent="0.2">
      <c r="A1692" s="5" t="s">
        <v>2198</v>
      </c>
      <c r="B1692" s="5" t="s">
        <v>281</v>
      </c>
      <c r="C1692" s="5"/>
      <c r="D1692" s="5" t="s">
        <v>18</v>
      </c>
      <c r="E1692" s="5"/>
      <c r="G1692" s="5"/>
      <c r="H1692" s="5"/>
    </row>
    <row r="1693" spans="1:8" x14ac:dyDescent="0.2">
      <c r="A1693" s="5" t="s">
        <v>2199</v>
      </c>
      <c r="B1693" s="5" t="s">
        <v>283</v>
      </c>
      <c r="C1693" s="5"/>
      <c r="D1693" s="5" t="s">
        <v>18</v>
      </c>
      <c r="E1693" s="5"/>
      <c r="G1693" s="5"/>
      <c r="H1693" s="5"/>
    </row>
    <row r="1694" spans="1:8" x14ac:dyDescent="0.2">
      <c r="A1694" s="5" t="s">
        <v>2200</v>
      </c>
      <c r="B1694" s="5" t="s">
        <v>285</v>
      </c>
      <c r="C1694" s="5"/>
      <c r="D1694" s="5" t="s">
        <v>18</v>
      </c>
      <c r="E1694" s="5"/>
      <c r="G1694" s="5"/>
      <c r="H1694" s="5"/>
    </row>
    <row r="1695" spans="1:8" x14ac:dyDescent="0.2">
      <c r="A1695" s="5" t="s">
        <v>2201</v>
      </c>
      <c r="B1695" s="5" t="s">
        <v>287</v>
      </c>
      <c r="C1695" s="5"/>
      <c r="D1695" s="5" t="s">
        <v>18</v>
      </c>
      <c r="E1695" s="5"/>
      <c r="G1695" s="5"/>
      <c r="H1695" s="5"/>
    </row>
    <row r="1696" spans="1:8" x14ac:dyDescent="0.2">
      <c r="A1696" s="5" t="s">
        <v>2202</v>
      </c>
      <c r="B1696" s="5" t="s">
        <v>289</v>
      </c>
      <c r="C1696" s="5"/>
      <c r="D1696" s="5" t="s">
        <v>18</v>
      </c>
      <c r="E1696" s="5"/>
      <c r="G1696" s="5"/>
      <c r="H1696" s="5"/>
    </row>
    <row r="1697" spans="1:8" x14ac:dyDescent="0.2">
      <c r="A1697" s="5" t="s">
        <v>2203</v>
      </c>
      <c r="B1697" s="5" t="s">
        <v>291</v>
      </c>
      <c r="C1697" s="5"/>
      <c r="D1697" s="5" t="s">
        <v>18</v>
      </c>
      <c r="E1697" s="5"/>
      <c r="G1697" s="5"/>
      <c r="H1697" s="5"/>
    </row>
    <row r="1698" spans="1:8" x14ac:dyDescent="0.2">
      <c r="A1698" s="5" t="s">
        <v>2204</v>
      </c>
      <c r="B1698" s="5" t="s">
        <v>293</v>
      </c>
      <c r="C1698" s="5"/>
      <c r="D1698" s="5" t="s">
        <v>18</v>
      </c>
      <c r="E1698" s="5"/>
      <c r="G1698" s="5"/>
      <c r="H1698" s="5"/>
    </row>
    <row r="1699" spans="1:8" x14ac:dyDescent="0.2">
      <c r="A1699" s="5" t="s">
        <v>2205</v>
      </c>
      <c r="B1699" s="5" t="s">
        <v>295</v>
      </c>
      <c r="C1699" s="5"/>
      <c r="D1699" s="5" t="s">
        <v>18</v>
      </c>
      <c r="E1699" s="5"/>
      <c r="G1699" s="5"/>
      <c r="H1699" s="5"/>
    </row>
    <row r="1700" spans="1:8" x14ac:dyDescent="0.2">
      <c r="A1700" s="5" t="s">
        <v>2206</v>
      </c>
      <c r="B1700" s="5" t="s">
        <v>297</v>
      </c>
      <c r="C1700" s="5"/>
      <c r="D1700" s="5" t="s">
        <v>18</v>
      </c>
      <c r="E1700" s="5"/>
      <c r="G1700" s="5"/>
      <c r="H1700" s="5"/>
    </row>
    <row r="1701" spans="1:8" x14ac:dyDescent="0.2">
      <c r="A1701" s="5" t="s">
        <v>2207</v>
      </c>
      <c r="B1701" s="5" t="s">
        <v>299</v>
      </c>
      <c r="C1701" s="5"/>
      <c r="D1701" s="5" t="s">
        <v>18</v>
      </c>
      <c r="E1701" s="5"/>
      <c r="G1701" s="5"/>
      <c r="H1701" s="5"/>
    </row>
    <row r="1702" spans="1:8" x14ac:dyDescent="0.2">
      <c r="A1702" s="5"/>
      <c r="B1702" s="5" t="s">
        <v>94</v>
      </c>
      <c r="C1702" s="5"/>
      <c r="D1702" s="5" t="s">
        <v>13</v>
      </c>
      <c r="E1702" s="5"/>
      <c r="G1702" s="5"/>
      <c r="H1702" s="5"/>
    </row>
    <row r="1703" spans="1:8" x14ac:dyDescent="0.2">
      <c r="A1703" s="5" t="s">
        <v>2208</v>
      </c>
      <c r="B1703" s="5" t="s">
        <v>301</v>
      </c>
      <c r="C1703" s="8">
        <v>1</v>
      </c>
      <c r="D1703" s="5" t="s">
        <v>97</v>
      </c>
      <c r="E1703" s="5"/>
      <c r="G1703" s="5"/>
      <c r="H1703" s="5"/>
    </row>
    <row r="1704" spans="1:8" x14ac:dyDescent="0.2">
      <c r="A1704" s="5" t="s">
        <v>2209</v>
      </c>
      <c r="B1704" s="5" t="s">
        <v>303</v>
      </c>
      <c r="C1704" s="8">
        <v>1</v>
      </c>
      <c r="D1704" s="5" t="s">
        <v>97</v>
      </c>
      <c r="E1704" s="5"/>
      <c r="G1704" s="5"/>
      <c r="H1704" s="5"/>
    </row>
    <row r="1705" spans="1:8" x14ac:dyDescent="0.2">
      <c r="A1705" s="5" t="s">
        <v>2210</v>
      </c>
      <c r="B1705" s="5" t="s">
        <v>305</v>
      </c>
      <c r="C1705" s="8">
        <v>1</v>
      </c>
      <c r="D1705" s="5" t="s">
        <v>97</v>
      </c>
      <c r="E1705" s="5"/>
      <c r="G1705" s="5"/>
      <c r="H1705" s="5"/>
    </row>
    <row r="1706" spans="1:8" x14ac:dyDescent="0.2">
      <c r="A1706" s="5" t="s">
        <v>2211</v>
      </c>
      <c r="B1706" s="5" t="s">
        <v>111</v>
      </c>
      <c r="C1706" s="8">
        <v>1</v>
      </c>
      <c r="D1706" s="5" t="s">
        <v>97</v>
      </c>
      <c r="E1706" s="5"/>
      <c r="G1706" s="5"/>
      <c r="H1706" s="5"/>
    </row>
    <row r="1707" spans="1:8" x14ac:dyDescent="0.2">
      <c r="A1707" s="5" t="s">
        <v>2212</v>
      </c>
      <c r="B1707" s="5" t="s">
        <v>113</v>
      </c>
      <c r="C1707" s="8">
        <v>1</v>
      </c>
      <c r="D1707" s="5" t="s">
        <v>97</v>
      </c>
      <c r="E1707" s="5"/>
      <c r="G1707" s="5"/>
      <c r="H1707" s="5"/>
    </row>
    <row r="1708" spans="1:8" x14ac:dyDescent="0.2">
      <c r="A1708" s="5" t="s">
        <v>2213</v>
      </c>
      <c r="B1708" s="5" t="s">
        <v>309</v>
      </c>
      <c r="C1708" s="8">
        <v>1</v>
      </c>
      <c r="D1708" s="5" t="s">
        <v>97</v>
      </c>
      <c r="E1708" s="5"/>
      <c r="G1708" s="5"/>
      <c r="H1708" s="5"/>
    </row>
    <row r="1709" spans="1:8" x14ac:dyDescent="0.2">
      <c r="A1709" s="5" t="s">
        <v>2214</v>
      </c>
      <c r="B1709" s="5" t="s">
        <v>311</v>
      </c>
      <c r="C1709" s="8">
        <v>1</v>
      </c>
      <c r="D1709" s="5" t="s">
        <v>97</v>
      </c>
      <c r="E1709" s="5"/>
      <c r="G1709" s="5"/>
      <c r="H1709" s="5"/>
    </row>
    <row r="1710" spans="1:8" x14ac:dyDescent="0.2">
      <c r="A1710" s="5" t="s">
        <v>2215</v>
      </c>
      <c r="B1710" s="5" t="s">
        <v>313</v>
      </c>
      <c r="C1710" s="8">
        <v>1</v>
      </c>
      <c r="D1710" s="5" t="s">
        <v>97</v>
      </c>
      <c r="E1710" s="5"/>
      <c r="G1710" s="5"/>
      <c r="H1710" s="5"/>
    </row>
    <row r="1711" spans="1:8" x14ac:dyDescent="0.2">
      <c r="A1711" s="5" t="s">
        <v>2216</v>
      </c>
      <c r="B1711" s="5" t="s">
        <v>317</v>
      </c>
      <c r="C1711" s="8">
        <v>1</v>
      </c>
      <c r="D1711" s="5" t="s">
        <v>97</v>
      </c>
      <c r="E1711" s="5"/>
      <c r="G1711" s="5"/>
      <c r="H1711" s="5"/>
    </row>
    <row r="1712" spans="1:8" x14ac:dyDescent="0.2">
      <c r="A1712" s="5"/>
      <c r="B1712" s="5" t="s">
        <v>135</v>
      </c>
      <c r="C1712" s="5"/>
      <c r="D1712" s="5" t="s">
        <v>13</v>
      </c>
      <c r="E1712" s="5"/>
      <c r="G1712" s="5"/>
      <c r="H1712" s="5"/>
    </row>
    <row r="1713" spans="1:8" x14ac:dyDescent="0.2">
      <c r="A1713" s="5" t="s">
        <v>2217</v>
      </c>
      <c r="B1713" s="5" t="s">
        <v>2218</v>
      </c>
      <c r="C1713" s="5"/>
      <c r="D1713" s="5" t="s">
        <v>18</v>
      </c>
      <c r="E1713" s="5"/>
      <c r="G1713" s="5"/>
      <c r="H1713" s="5"/>
    </row>
    <row r="1714" spans="1:8" x14ac:dyDescent="0.2">
      <c r="A1714" s="5" t="s">
        <v>2219</v>
      </c>
      <c r="B1714" s="5" t="s">
        <v>2220</v>
      </c>
      <c r="C1714" s="5"/>
      <c r="D1714" s="5" t="s">
        <v>18</v>
      </c>
      <c r="E1714" s="5"/>
      <c r="G1714" s="5"/>
      <c r="H1714" s="5"/>
    </row>
    <row r="1715" spans="1:8" x14ac:dyDescent="0.2">
      <c r="A1715" s="5"/>
      <c r="B1715" s="5" t="s">
        <v>38</v>
      </c>
      <c r="C1715" s="5"/>
      <c r="D1715" s="5" t="s">
        <v>13</v>
      </c>
      <c r="E1715" s="5"/>
      <c r="G1715" s="5"/>
      <c r="H1715" s="5"/>
    </row>
    <row r="1716" spans="1:8" x14ac:dyDescent="0.2">
      <c r="A1716" s="5"/>
      <c r="B1716" s="5" t="s">
        <v>2221</v>
      </c>
      <c r="C1716" s="5"/>
      <c r="D1716" s="5" t="s">
        <v>15</v>
      </c>
      <c r="E1716" s="5"/>
      <c r="G1716" s="5"/>
      <c r="H1716" s="5"/>
    </row>
    <row r="1717" spans="1:8" x14ac:dyDescent="0.2">
      <c r="A1717" s="5"/>
      <c r="B1717" s="5" t="s">
        <v>2222</v>
      </c>
      <c r="C1717" s="5"/>
      <c r="D1717" s="5" t="s">
        <v>322</v>
      </c>
      <c r="E1717" s="5"/>
      <c r="G1717" s="5"/>
      <c r="H1717" s="5"/>
    </row>
    <row r="1718" spans="1:8" x14ac:dyDescent="0.2">
      <c r="A1718" s="5"/>
      <c r="B1718" s="5" t="s">
        <v>2223</v>
      </c>
      <c r="C1718" s="5"/>
      <c r="D1718" s="5" t="s">
        <v>366</v>
      </c>
      <c r="E1718" s="5"/>
      <c r="G1718" s="5"/>
      <c r="H1718" s="5"/>
    </row>
    <row r="1719" spans="1:8" x14ac:dyDescent="0.2">
      <c r="A1719" s="5" t="s">
        <v>2224</v>
      </c>
      <c r="B1719" s="5" t="s">
        <v>2225</v>
      </c>
      <c r="C1719" s="8">
        <v>4</v>
      </c>
      <c r="D1719" s="5" t="s">
        <v>42</v>
      </c>
      <c r="E1719" s="5"/>
      <c r="G1719" s="5"/>
      <c r="H1719" s="5"/>
    </row>
    <row r="1720" spans="1:8" x14ac:dyDescent="0.2">
      <c r="A1720" s="5"/>
      <c r="B1720" s="5" t="s">
        <v>2226</v>
      </c>
      <c r="C1720" s="5"/>
      <c r="D1720" s="5" t="s">
        <v>366</v>
      </c>
      <c r="E1720" s="5"/>
      <c r="G1720" s="5"/>
      <c r="H1720" s="5"/>
    </row>
    <row r="1721" spans="1:8" x14ac:dyDescent="0.2">
      <c r="A1721" s="5" t="s">
        <v>2227</v>
      </c>
      <c r="B1721" s="5" t="s">
        <v>2225</v>
      </c>
      <c r="C1721" s="8">
        <v>7</v>
      </c>
      <c r="D1721" s="5" t="s">
        <v>42</v>
      </c>
      <c r="E1721" s="5"/>
      <c r="G1721" s="5"/>
      <c r="H1721" s="5"/>
    </row>
    <row r="1722" spans="1:8" x14ac:dyDescent="0.2">
      <c r="A1722" s="5"/>
      <c r="B1722" s="5" t="s">
        <v>2228</v>
      </c>
      <c r="C1722" s="5"/>
      <c r="D1722" s="5" t="s">
        <v>322</v>
      </c>
      <c r="E1722" s="5"/>
      <c r="G1722" s="5"/>
      <c r="H1722" s="5"/>
    </row>
    <row r="1723" spans="1:8" x14ac:dyDescent="0.2">
      <c r="A1723" s="5"/>
      <c r="B1723" s="5" t="s">
        <v>2223</v>
      </c>
      <c r="C1723" s="5"/>
      <c r="D1723" s="5" t="s">
        <v>366</v>
      </c>
      <c r="E1723" s="5"/>
      <c r="G1723" s="5"/>
      <c r="H1723" s="5"/>
    </row>
    <row r="1724" spans="1:8" x14ac:dyDescent="0.2">
      <c r="A1724" s="5" t="s">
        <v>2229</v>
      </c>
      <c r="B1724" s="5" t="s">
        <v>2225</v>
      </c>
      <c r="C1724" s="8">
        <v>17</v>
      </c>
      <c r="D1724" s="5" t="s">
        <v>42</v>
      </c>
      <c r="E1724" s="5"/>
      <c r="G1724" s="5"/>
      <c r="H1724" s="5"/>
    </row>
    <row r="1725" spans="1:8" x14ac:dyDescent="0.2">
      <c r="A1725" s="5"/>
      <c r="B1725" s="5" t="s">
        <v>2226</v>
      </c>
      <c r="C1725" s="5"/>
      <c r="D1725" s="5" t="s">
        <v>366</v>
      </c>
      <c r="E1725" s="5"/>
      <c r="G1725" s="5"/>
      <c r="H1725" s="5"/>
    </row>
    <row r="1726" spans="1:8" x14ac:dyDescent="0.2">
      <c r="A1726" s="5" t="s">
        <v>2230</v>
      </c>
      <c r="B1726" s="5" t="s">
        <v>2225</v>
      </c>
      <c r="C1726" s="8">
        <v>20</v>
      </c>
      <c r="D1726" s="5" t="s">
        <v>42</v>
      </c>
      <c r="E1726" s="5"/>
      <c r="G1726" s="5"/>
      <c r="H1726" s="5"/>
    </row>
    <row r="1727" spans="1:8" x14ac:dyDescent="0.2">
      <c r="A1727" s="5"/>
      <c r="B1727" s="5" t="s">
        <v>2231</v>
      </c>
      <c r="C1727" s="5"/>
      <c r="D1727" s="5" t="s">
        <v>322</v>
      </c>
      <c r="E1727" s="5"/>
      <c r="G1727" s="5"/>
      <c r="H1727" s="5"/>
    </row>
    <row r="1728" spans="1:8" x14ac:dyDescent="0.2">
      <c r="A1728" s="5"/>
      <c r="B1728" s="5" t="s">
        <v>2232</v>
      </c>
      <c r="C1728" s="5"/>
      <c r="D1728" s="5" t="s">
        <v>366</v>
      </c>
      <c r="E1728" s="5"/>
      <c r="G1728" s="5"/>
      <c r="H1728" s="5"/>
    </row>
    <row r="1729" spans="1:8" x14ac:dyDescent="0.2">
      <c r="A1729" s="5" t="s">
        <v>2233</v>
      </c>
      <c r="B1729" s="5" t="s">
        <v>2225</v>
      </c>
      <c r="C1729" s="8">
        <v>276</v>
      </c>
      <c r="D1729" s="5" t="s">
        <v>42</v>
      </c>
      <c r="E1729" s="5"/>
      <c r="G1729" s="5"/>
      <c r="H1729" s="5"/>
    </row>
    <row r="1730" spans="1:8" x14ac:dyDescent="0.2">
      <c r="A1730" s="5"/>
      <c r="B1730" s="5" t="s">
        <v>2226</v>
      </c>
      <c r="C1730" s="5"/>
      <c r="D1730" s="5" t="s">
        <v>366</v>
      </c>
      <c r="E1730" s="5"/>
      <c r="G1730" s="5"/>
      <c r="H1730" s="5"/>
    </row>
    <row r="1731" spans="1:8" x14ac:dyDescent="0.2">
      <c r="A1731" s="5" t="s">
        <v>2234</v>
      </c>
      <c r="B1731" s="5" t="s">
        <v>2225</v>
      </c>
      <c r="C1731" s="8">
        <v>28</v>
      </c>
      <c r="D1731" s="5" t="s">
        <v>42</v>
      </c>
      <c r="E1731" s="5"/>
      <c r="G1731" s="5"/>
      <c r="H1731" s="5"/>
    </row>
    <row r="1732" spans="1:8" x14ac:dyDescent="0.2">
      <c r="A1732" s="5"/>
      <c r="B1732" s="5" t="s">
        <v>2235</v>
      </c>
      <c r="C1732" s="5"/>
      <c r="D1732" s="5" t="s">
        <v>15</v>
      </c>
      <c r="E1732" s="5"/>
      <c r="G1732" s="5"/>
      <c r="H1732" s="5"/>
    </row>
    <row r="1733" spans="1:8" x14ac:dyDescent="0.2">
      <c r="A1733" s="5"/>
      <c r="B1733" s="5" t="s">
        <v>2236</v>
      </c>
      <c r="C1733" s="5"/>
      <c r="D1733" s="5" t="s">
        <v>322</v>
      </c>
      <c r="E1733" s="5"/>
      <c r="G1733" s="5"/>
      <c r="H1733" s="5"/>
    </row>
    <row r="1734" spans="1:8" x14ac:dyDescent="0.2">
      <c r="A1734" s="5"/>
      <c r="B1734" s="5" t="s">
        <v>2237</v>
      </c>
      <c r="C1734" s="5"/>
      <c r="D1734" s="5" t="s">
        <v>366</v>
      </c>
      <c r="E1734" s="5"/>
      <c r="G1734" s="5"/>
      <c r="H1734" s="5"/>
    </row>
    <row r="1735" spans="1:8" x14ac:dyDescent="0.2">
      <c r="A1735" s="5" t="s">
        <v>2238</v>
      </c>
      <c r="B1735" s="5" t="s">
        <v>2225</v>
      </c>
      <c r="C1735" s="8">
        <v>1</v>
      </c>
      <c r="D1735" s="5" t="s">
        <v>368</v>
      </c>
      <c r="E1735" s="5"/>
      <c r="G1735" s="5"/>
      <c r="H1735" s="5"/>
    </row>
    <row r="1736" spans="1:8" x14ac:dyDescent="0.2">
      <c r="A1736" s="5"/>
      <c r="B1736" s="5" t="s">
        <v>2239</v>
      </c>
      <c r="C1736" s="5"/>
      <c r="D1736" s="5" t="s">
        <v>366</v>
      </c>
      <c r="E1736" s="5"/>
      <c r="G1736" s="5"/>
      <c r="H1736" s="5"/>
    </row>
    <row r="1737" spans="1:8" x14ac:dyDescent="0.2">
      <c r="A1737" s="5" t="s">
        <v>2240</v>
      </c>
      <c r="B1737" s="5" t="s">
        <v>2225</v>
      </c>
      <c r="C1737" s="8">
        <v>1</v>
      </c>
      <c r="D1737" s="5" t="s">
        <v>368</v>
      </c>
      <c r="E1737" s="5"/>
      <c r="G1737" s="5"/>
      <c r="H1737" s="5"/>
    </row>
    <row r="1738" spans="1:8" x14ac:dyDescent="0.2">
      <c r="A1738" s="5"/>
      <c r="B1738" s="5" t="s">
        <v>2241</v>
      </c>
      <c r="C1738" s="5"/>
      <c r="D1738" s="5" t="s">
        <v>322</v>
      </c>
      <c r="E1738" s="5"/>
      <c r="G1738" s="5"/>
      <c r="H1738" s="5"/>
    </row>
    <row r="1739" spans="1:8" x14ac:dyDescent="0.2">
      <c r="A1739" s="5"/>
      <c r="B1739" s="5" t="s">
        <v>2237</v>
      </c>
      <c r="C1739" s="5"/>
      <c r="D1739" s="5" t="s">
        <v>366</v>
      </c>
      <c r="E1739" s="5"/>
      <c r="G1739" s="5"/>
      <c r="H1739" s="5"/>
    </row>
    <row r="1740" spans="1:8" x14ac:dyDescent="0.2">
      <c r="A1740" s="5" t="s">
        <v>2242</v>
      </c>
      <c r="B1740" s="5" t="s">
        <v>2225</v>
      </c>
      <c r="C1740" s="8">
        <v>2</v>
      </c>
      <c r="D1740" s="5" t="s">
        <v>368</v>
      </c>
      <c r="E1740" s="5"/>
      <c r="G1740" s="5"/>
      <c r="H1740" s="5"/>
    </row>
    <row r="1741" spans="1:8" x14ac:dyDescent="0.2">
      <c r="A1741" s="5"/>
      <c r="B1741" s="5" t="s">
        <v>2239</v>
      </c>
      <c r="C1741" s="5"/>
      <c r="D1741" s="5" t="s">
        <v>366</v>
      </c>
      <c r="E1741" s="5"/>
      <c r="G1741" s="5"/>
      <c r="H1741" s="5"/>
    </row>
    <row r="1742" spans="1:8" x14ac:dyDescent="0.2">
      <c r="A1742" s="5" t="s">
        <v>2243</v>
      </c>
      <c r="B1742" s="5" t="s">
        <v>2225</v>
      </c>
      <c r="C1742" s="8">
        <v>2</v>
      </c>
      <c r="D1742" s="5" t="s">
        <v>368</v>
      </c>
      <c r="E1742" s="5"/>
      <c r="G1742" s="5"/>
      <c r="H1742" s="5"/>
    </row>
    <row r="1743" spans="1:8" x14ac:dyDescent="0.2">
      <c r="A1743" s="5"/>
      <c r="B1743" s="5" t="s">
        <v>2244</v>
      </c>
      <c r="C1743" s="5"/>
      <c r="D1743" s="5" t="s">
        <v>322</v>
      </c>
      <c r="E1743" s="5"/>
      <c r="G1743" s="5"/>
      <c r="H1743" s="5"/>
    </row>
    <row r="1744" spans="1:8" x14ac:dyDescent="0.2">
      <c r="A1744" s="5"/>
      <c r="B1744" s="5" t="s">
        <v>2245</v>
      </c>
      <c r="C1744" s="5"/>
      <c r="D1744" s="5" t="s">
        <v>366</v>
      </c>
      <c r="E1744" s="5"/>
      <c r="G1744" s="5"/>
      <c r="H1744" s="5"/>
    </row>
    <row r="1745" spans="1:8" x14ac:dyDescent="0.2">
      <c r="A1745" s="5" t="s">
        <v>2246</v>
      </c>
      <c r="B1745" s="5" t="s">
        <v>2225</v>
      </c>
      <c r="C1745" s="8">
        <v>28</v>
      </c>
      <c r="D1745" s="5" t="s">
        <v>368</v>
      </c>
      <c r="E1745" s="5"/>
      <c r="G1745" s="5"/>
      <c r="H1745" s="5"/>
    </row>
    <row r="1746" spans="1:8" x14ac:dyDescent="0.2">
      <c r="A1746" s="5"/>
      <c r="B1746" s="5" t="s">
        <v>2239</v>
      </c>
      <c r="C1746" s="5"/>
      <c r="D1746" s="5" t="s">
        <v>366</v>
      </c>
      <c r="E1746" s="5"/>
      <c r="G1746" s="5"/>
      <c r="H1746" s="5"/>
    </row>
    <row r="1747" spans="1:8" x14ac:dyDescent="0.2">
      <c r="A1747" s="5" t="s">
        <v>2247</v>
      </c>
      <c r="B1747" s="5" t="s">
        <v>2225</v>
      </c>
      <c r="C1747" s="8">
        <v>3</v>
      </c>
      <c r="D1747" s="5" t="s">
        <v>368</v>
      </c>
      <c r="E1747" s="5"/>
      <c r="G1747" s="5"/>
      <c r="H1747" s="5"/>
    </row>
    <row r="1748" spans="1:8" x14ac:dyDescent="0.2">
      <c r="A1748" s="5"/>
      <c r="B1748" s="5" t="s">
        <v>2248</v>
      </c>
      <c r="C1748" s="5"/>
      <c r="D1748" s="5" t="s">
        <v>15</v>
      </c>
      <c r="E1748" s="5"/>
      <c r="G1748" s="5"/>
      <c r="H1748" s="5"/>
    </row>
    <row r="1749" spans="1:8" x14ac:dyDescent="0.2">
      <c r="A1749" s="5"/>
      <c r="B1749" s="5" t="s">
        <v>2249</v>
      </c>
      <c r="C1749" s="5"/>
      <c r="D1749" s="5" t="s">
        <v>322</v>
      </c>
      <c r="E1749" s="5"/>
      <c r="G1749" s="5"/>
      <c r="H1749" s="5"/>
    </row>
    <row r="1750" spans="1:8" x14ac:dyDescent="0.2">
      <c r="A1750" s="5"/>
      <c r="B1750" s="5" t="s">
        <v>2250</v>
      </c>
      <c r="C1750" s="5"/>
      <c r="D1750" s="5" t="s">
        <v>366</v>
      </c>
      <c r="E1750" s="5"/>
      <c r="G1750" s="5"/>
      <c r="H1750" s="5"/>
    </row>
    <row r="1751" spans="1:8" x14ac:dyDescent="0.2">
      <c r="A1751" s="5" t="s">
        <v>2251</v>
      </c>
      <c r="B1751" s="5" t="s">
        <v>2225</v>
      </c>
      <c r="C1751" s="8">
        <v>0.03</v>
      </c>
      <c r="D1751" s="5" t="s">
        <v>382</v>
      </c>
      <c r="E1751" s="5"/>
      <c r="G1751" s="5"/>
      <c r="H1751" s="5"/>
    </row>
    <row r="1752" spans="1:8" x14ac:dyDescent="0.2">
      <c r="A1752" s="5"/>
      <c r="B1752" s="5" t="s">
        <v>2252</v>
      </c>
      <c r="C1752" s="5"/>
      <c r="D1752" s="5" t="s">
        <v>366</v>
      </c>
      <c r="E1752" s="5"/>
      <c r="G1752" s="5"/>
      <c r="H1752" s="5"/>
    </row>
    <row r="1753" spans="1:8" x14ac:dyDescent="0.2">
      <c r="A1753" s="5" t="s">
        <v>2253</v>
      </c>
      <c r="B1753" s="5" t="s">
        <v>2225</v>
      </c>
      <c r="C1753" s="8">
        <v>0.05</v>
      </c>
      <c r="D1753" s="5" t="s">
        <v>382</v>
      </c>
      <c r="E1753" s="5"/>
      <c r="G1753" s="5"/>
      <c r="H1753" s="5"/>
    </row>
    <row r="1754" spans="1:8" x14ac:dyDescent="0.2">
      <c r="A1754" s="5"/>
      <c r="B1754" s="5" t="s">
        <v>2254</v>
      </c>
      <c r="C1754" s="5"/>
      <c r="D1754" s="5" t="s">
        <v>322</v>
      </c>
      <c r="E1754" s="5"/>
      <c r="G1754" s="5"/>
      <c r="H1754" s="5"/>
    </row>
    <row r="1755" spans="1:8" x14ac:dyDescent="0.2">
      <c r="A1755" s="5"/>
      <c r="B1755" s="5" t="s">
        <v>2250</v>
      </c>
      <c r="C1755" s="5"/>
      <c r="D1755" s="5" t="s">
        <v>366</v>
      </c>
      <c r="E1755" s="5"/>
      <c r="G1755" s="5"/>
      <c r="H1755" s="5"/>
    </row>
    <row r="1756" spans="1:8" x14ac:dyDescent="0.2">
      <c r="A1756" s="5" t="s">
        <v>2255</v>
      </c>
      <c r="B1756" s="5" t="s">
        <v>2225</v>
      </c>
      <c r="C1756" s="8">
        <v>0.11</v>
      </c>
      <c r="D1756" s="5" t="s">
        <v>382</v>
      </c>
      <c r="E1756" s="5"/>
      <c r="G1756" s="5"/>
      <c r="H1756" s="5"/>
    </row>
    <row r="1757" spans="1:8" x14ac:dyDescent="0.2">
      <c r="A1757" s="5"/>
      <c r="B1757" s="5" t="s">
        <v>2252</v>
      </c>
      <c r="C1757" s="5"/>
      <c r="D1757" s="5" t="s">
        <v>366</v>
      </c>
      <c r="E1757" s="5"/>
      <c r="G1757" s="5"/>
      <c r="H1757" s="5"/>
    </row>
    <row r="1758" spans="1:8" x14ac:dyDescent="0.2">
      <c r="A1758" s="5" t="s">
        <v>2256</v>
      </c>
      <c r="B1758" s="5" t="s">
        <v>2225</v>
      </c>
      <c r="C1758" s="8">
        <v>0.12</v>
      </c>
      <c r="D1758" s="5" t="s">
        <v>382</v>
      </c>
      <c r="E1758" s="5"/>
      <c r="G1758" s="5"/>
      <c r="H1758" s="5"/>
    </row>
    <row r="1759" spans="1:8" x14ac:dyDescent="0.2">
      <c r="A1759" s="5"/>
      <c r="B1759" s="5" t="s">
        <v>2257</v>
      </c>
      <c r="C1759" s="5"/>
      <c r="D1759" s="5" t="s">
        <v>322</v>
      </c>
      <c r="E1759" s="5"/>
      <c r="G1759" s="5"/>
      <c r="H1759" s="5"/>
    </row>
    <row r="1760" spans="1:8" x14ac:dyDescent="0.2">
      <c r="A1760" s="5"/>
      <c r="B1760" s="5" t="s">
        <v>2258</v>
      </c>
      <c r="C1760" s="5"/>
      <c r="D1760" s="5" t="s">
        <v>366</v>
      </c>
      <c r="E1760" s="5"/>
      <c r="G1760" s="5"/>
      <c r="H1760" s="5"/>
    </row>
    <row r="1761" spans="1:8" x14ac:dyDescent="0.2">
      <c r="A1761" s="5" t="s">
        <v>2259</v>
      </c>
      <c r="B1761" s="5" t="s">
        <v>2225</v>
      </c>
      <c r="C1761" s="8">
        <v>1.66</v>
      </c>
      <c r="D1761" s="5" t="s">
        <v>382</v>
      </c>
      <c r="E1761" s="5"/>
      <c r="G1761" s="5"/>
      <c r="H1761" s="5"/>
    </row>
    <row r="1762" spans="1:8" x14ac:dyDescent="0.2">
      <c r="A1762" s="5"/>
      <c r="B1762" s="5" t="s">
        <v>2252</v>
      </c>
      <c r="C1762" s="5"/>
      <c r="D1762" s="5" t="s">
        <v>366</v>
      </c>
      <c r="E1762" s="5"/>
      <c r="G1762" s="5"/>
      <c r="H1762" s="5"/>
    </row>
    <row r="1763" spans="1:8" x14ac:dyDescent="0.2">
      <c r="A1763" s="5" t="s">
        <v>2260</v>
      </c>
      <c r="B1763" s="5" t="s">
        <v>2225</v>
      </c>
      <c r="C1763" s="8">
        <v>0.17</v>
      </c>
      <c r="D1763" s="5" t="s">
        <v>382</v>
      </c>
      <c r="E1763" s="5"/>
      <c r="G1763" s="5"/>
      <c r="H1763" s="5"/>
    </row>
    <row r="1764" spans="1:8" x14ac:dyDescent="0.2">
      <c r="A1764" s="5"/>
      <c r="B1764" s="5" t="s">
        <v>2261</v>
      </c>
      <c r="C1764" s="5"/>
      <c r="D1764" s="5" t="s">
        <v>15</v>
      </c>
      <c r="E1764" s="5"/>
      <c r="G1764" s="5"/>
      <c r="H1764" s="5"/>
    </row>
    <row r="1765" spans="1:8" x14ac:dyDescent="0.2">
      <c r="A1765" s="5"/>
      <c r="B1765" s="5" t="s">
        <v>2262</v>
      </c>
      <c r="C1765" s="5"/>
      <c r="D1765" s="5" t="s">
        <v>322</v>
      </c>
      <c r="E1765" s="5"/>
      <c r="G1765" s="5"/>
      <c r="H1765" s="5"/>
    </row>
    <row r="1766" spans="1:8" x14ac:dyDescent="0.2">
      <c r="A1766" s="5" t="s">
        <v>2263</v>
      </c>
      <c r="B1766" s="5" t="s">
        <v>622</v>
      </c>
      <c r="C1766" s="8">
        <v>23</v>
      </c>
      <c r="D1766" s="5" t="s">
        <v>42</v>
      </c>
      <c r="E1766" s="5"/>
      <c r="G1766" s="5"/>
      <c r="H1766" s="5"/>
    </row>
    <row r="1767" spans="1:8" x14ac:dyDescent="0.2">
      <c r="A1767" s="5"/>
      <c r="B1767" s="5" t="s">
        <v>2264</v>
      </c>
      <c r="C1767" s="5"/>
      <c r="D1767" s="5" t="s">
        <v>15</v>
      </c>
      <c r="E1767" s="5"/>
      <c r="G1767" s="5"/>
      <c r="H1767" s="5"/>
    </row>
    <row r="1768" spans="1:8" x14ac:dyDescent="0.2">
      <c r="A1768" s="5"/>
      <c r="B1768" s="5" t="s">
        <v>2265</v>
      </c>
      <c r="C1768" s="5"/>
      <c r="D1768" s="5" t="s">
        <v>322</v>
      </c>
      <c r="E1768" s="5"/>
      <c r="G1768" s="5"/>
      <c r="H1768" s="5"/>
    </row>
    <row r="1769" spans="1:8" x14ac:dyDescent="0.2">
      <c r="A1769" s="5" t="s">
        <v>2266</v>
      </c>
      <c r="B1769" s="5" t="s">
        <v>622</v>
      </c>
      <c r="C1769" s="8">
        <v>3</v>
      </c>
      <c r="D1769" s="5" t="s">
        <v>368</v>
      </c>
      <c r="E1769" s="5"/>
      <c r="G1769" s="5"/>
      <c r="H1769" s="5"/>
    </row>
    <row r="1770" spans="1:8" x14ac:dyDescent="0.2">
      <c r="A1770" s="5"/>
      <c r="B1770" s="5" t="s">
        <v>2267</v>
      </c>
      <c r="C1770" s="5"/>
      <c r="D1770" s="5" t="s">
        <v>15</v>
      </c>
      <c r="E1770" s="5"/>
      <c r="G1770" s="5"/>
      <c r="H1770" s="5"/>
    </row>
    <row r="1771" spans="1:8" x14ac:dyDescent="0.2">
      <c r="A1771" s="5"/>
      <c r="B1771" s="5" t="s">
        <v>2268</v>
      </c>
      <c r="C1771" s="5"/>
      <c r="D1771" s="5" t="s">
        <v>322</v>
      </c>
      <c r="E1771" s="5"/>
      <c r="G1771" s="5"/>
      <c r="H1771" s="5"/>
    </row>
    <row r="1772" spans="1:8" x14ac:dyDescent="0.2">
      <c r="A1772" s="5" t="s">
        <v>2269</v>
      </c>
      <c r="B1772" s="5" t="s">
        <v>622</v>
      </c>
      <c r="C1772" s="8">
        <v>0.28999999999999998</v>
      </c>
      <c r="D1772" s="5" t="s">
        <v>382</v>
      </c>
      <c r="E1772" s="5"/>
      <c r="G1772" s="5"/>
      <c r="H1772" s="5"/>
    </row>
    <row r="1773" spans="1:8" x14ac:dyDescent="0.2">
      <c r="A1773" s="5"/>
      <c r="B1773" s="5" t="s">
        <v>53</v>
      </c>
      <c r="C1773" s="5"/>
      <c r="D1773" s="5" t="s">
        <v>13</v>
      </c>
      <c r="E1773" s="5"/>
      <c r="G1773" s="5"/>
      <c r="H1773" s="5"/>
    </row>
    <row r="1774" spans="1:8" x14ac:dyDescent="0.2">
      <c r="A1774" s="5"/>
      <c r="B1774" s="5" t="s">
        <v>2261</v>
      </c>
      <c r="C1774" s="5"/>
      <c r="D1774" s="5" t="s">
        <v>15</v>
      </c>
      <c r="E1774" s="5"/>
      <c r="G1774" s="5"/>
      <c r="H1774" s="5"/>
    </row>
    <row r="1775" spans="1:8" x14ac:dyDescent="0.2">
      <c r="A1775" s="5"/>
      <c r="B1775" s="5" t="s">
        <v>2262</v>
      </c>
      <c r="C1775" s="5"/>
      <c r="D1775" s="5" t="s">
        <v>322</v>
      </c>
      <c r="E1775" s="5"/>
      <c r="G1775" s="5"/>
      <c r="H1775" s="5"/>
    </row>
    <row r="1776" spans="1:8" x14ac:dyDescent="0.2">
      <c r="A1776" s="5" t="s">
        <v>2270</v>
      </c>
      <c r="B1776" s="5" t="s">
        <v>622</v>
      </c>
      <c r="C1776" s="8">
        <v>18</v>
      </c>
      <c r="D1776" s="5" t="s">
        <v>42</v>
      </c>
      <c r="E1776" s="5"/>
      <c r="G1776" s="5"/>
      <c r="H1776" s="5"/>
    </row>
    <row r="1777" spans="1:9" x14ac:dyDescent="0.2">
      <c r="A1777" s="5"/>
      <c r="B1777" s="5" t="s">
        <v>2264</v>
      </c>
      <c r="C1777" s="5"/>
      <c r="D1777" s="5" t="s">
        <v>15</v>
      </c>
      <c r="E1777" s="5"/>
      <c r="G1777" s="5"/>
      <c r="H1777" s="5"/>
    </row>
    <row r="1778" spans="1:9" x14ac:dyDescent="0.2">
      <c r="A1778" s="5"/>
      <c r="B1778" s="5" t="s">
        <v>2265</v>
      </c>
      <c r="C1778" s="5"/>
      <c r="D1778" s="5" t="s">
        <v>322</v>
      </c>
      <c r="E1778" s="5"/>
      <c r="G1778" s="5"/>
      <c r="H1778" s="5"/>
    </row>
    <row r="1779" spans="1:9" x14ac:dyDescent="0.2">
      <c r="A1779" s="5" t="s">
        <v>2271</v>
      </c>
      <c r="B1779" s="5" t="s">
        <v>622</v>
      </c>
      <c r="C1779" s="8">
        <v>3</v>
      </c>
      <c r="D1779" s="5" t="s">
        <v>368</v>
      </c>
      <c r="E1779" s="5"/>
      <c r="G1779" s="5"/>
      <c r="H1779" s="5"/>
    </row>
    <row r="1780" spans="1:9" x14ac:dyDescent="0.2">
      <c r="A1780" s="5"/>
      <c r="B1780" s="5" t="s">
        <v>2267</v>
      </c>
      <c r="C1780" s="5"/>
      <c r="D1780" s="5" t="s">
        <v>15</v>
      </c>
      <c r="E1780" s="5"/>
      <c r="G1780" s="5"/>
      <c r="H1780" s="5"/>
    </row>
    <row r="1781" spans="1:9" x14ac:dyDescent="0.2">
      <c r="A1781" s="5"/>
      <c r="B1781" s="5" t="s">
        <v>2268</v>
      </c>
      <c r="C1781" s="5"/>
      <c r="D1781" s="5" t="s">
        <v>322</v>
      </c>
      <c r="E1781" s="5"/>
      <c r="G1781" s="5"/>
      <c r="H1781" s="5"/>
    </row>
    <row r="1782" spans="1:9" x14ac:dyDescent="0.2">
      <c r="A1782" s="5" t="s">
        <v>2272</v>
      </c>
      <c r="B1782" s="5" t="s">
        <v>622</v>
      </c>
      <c r="C1782" s="8">
        <v>0.23</v>
      </c>
      <c r="D1782" s="5" t="s">
        <v>382</v>
      </c>
      <c r="E1782" s="5"/>
      <c r="G1782" s="5"/>
      <c r="H1782" s="5"/>
    </row>
    <row r="1783" spans="1:9" x14ac:dyDescent="0.2">
      <c r="B1783" s="6" t="s">
        <v>2273</v>
      </c>
      <c r="C1783" s="6"/>
      <c r="D1783" s="6"/>
      <c r="E1783" s="6"/>
      <c r="F1783" s="9">
        <f>ROUNDUP(SUM(H1678:H1783),2)</f>
        <v>0</v>
      </c>
      <c r="G1783" s="6"/>
      <c r="I1783" s="9">
        <f>PRODUCT(F1783,G1783)</f>
        <v>0</v>
      </c>
    </row>
    <row r="1785" spans="1:9" x14ac:dyDescent="0.2">
      <c r="A1785" s="6" t="s">
        <v>2274</v>
      </c>
      <c r="B1785" s="6" t="s">
        <v>2275</v>
      </c>
    </row>
    <row r="1786" spans="1:9" x14ac:dyDescent="0.2">
      <c r="A1786" s="5"/>
      <c r="B1786" s="5" t="s">
        <v>64</v>
      </c>
      <c r="C1786" s="5"/>
      <c r="D1786" s="5" t="s">
        <v>13</v>
      </c>
      <c r="E1786" s="5"/>
      <c r="G1786" s="5"/>
      <c r="H1786" s="5"/>
    </row>
    <row r="1787" spans="1:9" x14ac:dyDescent="0.2">
      <c r="A1787" s="5" t="s">
        <v>2276</v>
      </c>
      <c r="B1787" s="5" t="s">
        <v>66</v>
      </c>
      <c r="C1787" s="5"/>
      <c r="D1787" s="5" t="s">
        <v>18</v>
      </c>
      <c r="E1787" s="5"/>
      <c r="G1787" s="5"/>
      <c r="H1787" s="5"/>
    </row>
    <row r="1788" spans="1:9" x14ac:dyDescent="0.2">
      <c r="A1788" s="5" t="s">
        <v>2277</v>
      </c>
      <c r="B1788" s="5" t="s">
        <v>68</v>
      </c>
      <c r="C1788" s="5"/>
      <c r="D1788" s="5" t="s">
        <v>18</v>
      </c>
      <c r="E1788" s="5"/>
      <c r="G1788" s="5"/>
      <c r="H1788" s="5"/>
    </row>
    <row r="1789" spans="1:9" x14ac:dyDescent="0.2">
      <c r="A1789" s="5"/>
      <c r="B1789" s="5" t="s">
        <v>71</v>
      </c>
      <c r="C1789" s="5"/>
      <c r="D1789" s="5" t="s">
        <v>13</v>
      </c>
      <c r="E1789" s="5"/>
      <c r="G1789" s="5"/>
      <c r="H1789" s="5"/>
    </row>
    <row r="1790" spans="1:9" x14ac:dyDescent="0.2">
      <c r="A1790" s="5" t="s">
        <v>2278</v>
      </c>
      <c r="B1790" s="5" t="s">
        <v>2279</v>
      </c>
      <c r="C1790" s="5"/>
      <c r="D1790" s="5" t="s">
        <v>18</v>
      </c>
      <c r="E1790" s="5"/>
      <c r="G1790" s="5"/>
      <c r="H1790" s="5"/>
    </row>
    <row r="1791" spans="1:9" x14ac:dyDescent="0.2">
      <c r="A1791" s="5" t="s">
        <v>2280</v>
      </c>
      <c r="B1791" s="5" t="s">
        <v>2281</v>
      </c>
      <c r="C1791" s="5"/>
      <c r="D1791" s="5" t="s">
        <v>18</v>
      </c>
      <c r="E1791" s="5"/>
      <c r="G1791" s="5"/>
      <c r="H1791" s="5"/>
    </row>
    <row r="1792" spans="1:9" x14ac:dyDescent="0.2">
      <c r="A1792" s="5" t="s">
        <v>2282</v>
      </c>
      <c r="B1792" s="5" t="s">
        <v>269</v>
      </c>
      <c r="C1792" s="5"/>
      <c r="D1792" s="5" t="s">
        <v>18</v>
      </c>
      <c r="E1792" s="5"/>
      <c r="G1792" s="5"/>
      <c r="H1792" s="5"/>
    </row>
    <row r="1793" spans="1:8" x14ac:dyDescent="0.2">
      <c r="A1793" s="5"/>
      <c r="B1793" s="5" t="s">
        <v>76</v>
      </c>
      <c r="C1793" s="5"/>
      <c r="D1793" s="5" t="s">
        <v>13</v>
      </c>
      <c r="E1793" s="5"/>
      <c r="G1793" s="5"/>
      <c r="H1793" s="5"/>
    </row>
    <row r="1794" spans="1:8" x14ac:dyDescent="0.2">
      <c r="A1794" s="5"/>
      <c r="B1794" s="5" t="s">
        <v>77</v>
      </c>
      <c r="C1794" s="5"/>
      <c r="D1794" s="5" t="s">
        <v>15</v>
      </c>
      <c r="E1794" s="5"/>
      <c r="G1794" s="5"/>
      <c r="H1794" s="5"/>
    </row>
    <row r="1795" spans="1:8" x14ac:dyDescent="0.2">
      <c r="A1795" s="5" t="s">
        <v>2283</v>
      </c>
      <c r="B1795" s="5" t="s">
        <v>2284</v>
      </c>
      <c r="C1795" s="5"/>
      <c r="D1795" s="5" t="s">
        <v>18</v>
      </c>
      <c r="E1795" s="5"/>
      <c r="G1795" s="5"/>
      <c r="H1795" s="5"/>
    </row>
    <row r="1796" spans="1:8" x14ac:dyDescent="0.2">
      <c r="A1796" s="5" t="s">
        <v>2285</v>
      </c>
      <c r="B1796" s="5" t="s">
        <v>2286</v>
      </c>
      <c r="C1796" s="5"/>
      <c r="D1796" s="5" t="s">
        <v>18</v>
      </c>
      <c r="E1796" s="5"/>
      <c r="G1796" s="5"/>
      <c r="H1796" s="5"/>
    </row>
    <row r="1797" spans="1:8" x14ac:dyDescent="0.2">
      <c r="A1797" s="5" t="s">
        <v>2287</v>
      </c>
      <c r="B1797" s="5" t="s">
        <v>2288</v>
      </c>
      <c r="C1797" s="5"/>
      <c r="D1797" s="5" t="s">
        <v>18</v>
      </c>
      <c r="E1797" s="5"/>
      <c r="G1797" s="5"/>
      <c r="H1797" s="5"/>
    </row>
    <row r="1798" spans="1:8" x14ac:dyDescent="0.2">
      <c r="A1798" s="5" t="s">
        <v>2289</v>
      </c>
      <c r="B1798" s="5" t="s">
        <v>2290</v>
      </c>
      <c r="C1798" s="5"/>
      <c r="D1798" s="5" t="s">
        <v>18</v>
      </c>
      <c r="E1798" s="5"/>
      <c r="G1798" s="5"/>
      <c r="H1798" s="5"/>
    </row>
    <row r="1799" spans="1:8" x14ac:dyDescent="0.2">
      <c r="A1799" s="5" t="s">
        <v>2291</v>
      </c>
      <c r="B1799" s="5" t="s">
        <v>2292</v>
      </c>
      <c r="C1799" s="5"/>
      <c r="D1799" s="5" t="s">
        <v>18</v>
      </c>
      <c r="E1799" s="5"/>
      <c r="G1799" s="5"/>
      <c r="H1799" s="5"/>
    </row>
    <row r="1800" spans="1:8" x14ac:dyDescent="0.2">
      <c r="A1800" s="5" t="s">
        <v>2293</v>
      </c>
      <c r="B1800" s="5" t="s">
        <v>2294</v>
      </c>
      <c r="C1800" s="5"/>
      <c r="D1800" s="5" t="s">
        <v>18</v>
      </c>
      <c r="E1800" s="5"/>
      <c r="G1800" s="5"/>
      <c r="H1800" s="5"/>
    </row>
    <row r="1801" spans="1:8" x14ac:dyDescent="0.2">
      <c r="A1801" s="5" t="s">
        <v>2295</v>
      </c>
      <c r="B1801" s="5" t="s">
        <v>299</v>
      </c>
      <c r="C1801" s="5"/>
      <c r="D1801" s="5" t="s">
        <v>18</v>
      </c>
      <c r="E1801" s="5"/>
      <c r="G1801" s="5"/>
      <c r="H1801" s="5"/>
    </row>
    <row r="1802" spans="1:8" x14ac:dyDescent="0.2">
      <c r="A1802" s="5"/>
      <c r="B1802" s="5" t="s">
        <v>94</v>
      </c>
      <c r="C1802" s="5"/>
      <c r="D1802" s="5" t="s">
        <v>13</v>
      </c>
      <c r="E1802" s="5"/>
      <c r="G1802" s="5"/>
      <c r="H1802" s="5"/>
    </row>
    <row r="1803" spans="1:8" x14ac:dyDescent="0.2">
      <c r="A1803" s="5" t="s">
        <v>2296</v>
      </c>
      <c r="B1803" s="5" t="s">
        <v>111</v>
      </c>
      <c r="C1803" s="8">
        <v>1</v>
      </c>
      <c r="D1803" s="5" t="s">
        <v>97</v>
      </c>
      <c r="E1803" s="5"/>
      <c r="G1803" s="5"/>
      <c r="H1803" s="5"/>
    </row>
    <row r="1804" spans="1:8" x14ac:dyDescent="0.2">
      <c r="A1804" s="5" t="s">
        <v>2297</v>
      </c>
      <c r="B1804" s="5" t="s">
        <v>113</v>
      </c>
      <c r="C1804" s="8">
        <v>1</v>
      </c>
      <c r="D1804" s="5" t="s">
        <v>97</v>
      </c>
      <c r="E1804" s="5"/>
      <c r="G1804" s="5"/>
      <c r="H1804" s="5"/>
    </row>
    <row r="1805" spans="1:8" x14ac:dyDescent="0.2">
      <c r="A1805" s="5" t="s">
        <v>2298</v>
      </c>
      <c r="B1805" s="5" t="s">
        <v>2299</v>
      </c>
      <c r="C1805" s="8">
        <v>1</v>
      </c>
      <c r="D1805" s="5" t="s">
        <v>97</v>
      </c>
      <c r="E1805" s="5"/>
      <c r="G1805" s="5"/>
      <c r="H1805" s="5"/>
    </row>
    <row r="1806" spans="1:8" x14ac:dyDescent="0.2">
      <c r="A1806" s="5" t="s">
        <v>2300</v>
      </c>
      <c r="B1806" s="5" t="s">
        <v>2301</v>
      </c>
      <c r="C1806" s="8">
        <v>1</v>
      </c>
      <c r="D1806" s="5" t="s">
        <v>97</v>
      </c>
      <c r="E1806" s="5"/>
      <c r="G1806" s="5"/>
      <c r="H1806" s="5"/>
    </row>
    <row r="1807" spans="1:8" x14ac:dyDescent="0.2">
      <c r="A1807" s="5" t="s">
        <v>2302</v>
      </c>
      <c r="B1807" s="5" t="s">
        <v>2303</v>
      </c>
      <c r="C1807" s="8">
        <v>1</v>
      </c>
      <c r="D1807" s="5" t="s">
        <v>97</v>
      </c>
      <c r="E1807" s="5"/>
      <c r="G1807" s="5"/>
      <c r="H1807" s="5"/>
    </row>
    <row r="1808" spans="1:8" x14ac:dyDescent="0.2">
      <c r="A1808" s="5" t="s">
        <v>2304</v>
      </c>
      <c r="B1808" s="5" t="s">
        <v>2305</v>
      </c>
      <c r="C1808" s="8">
        <v>1</v>
      </c>
      <c r="D1808" s="5" t="s">
        <v>97</v>
      </c>
      <c r="E1808" s="5"/>
      <c r="G1808" s="5"/>
      <c r="H1808" s="5"/>
    </row>
    <row r="1809" spans="1:8" x14ac:dyDescent="0.2">
      <c r="A1809" s="5" t="s">
        <v>2306</v>
      </c>
      <c r="B1809" s="5" t="s">
        <v>2307</v>
      </c>
      <c r="C1809" s="8">
        <v>1</v>
      </c>
      <c r="D1809" s="5" t="s">
        <v>97</v>
      </c>
      <c r="E1809" s="5"/>
      <c r="G1809" s="5"/>
      <c r="H1809" s="5"/>
    </row>
    <row r="1810" spans="1:8" x14ac:dyDescent="0.2">
      <c r="A1810" s="5" t="s">
        <v>2308</v>
      </c>
      <c r="B1810" s="5" t="s">
        <v>2309</v>
      </c>
      <c r="C1810" s="8">
        <v>1</v>
      </c>
      <c r="D1810" s="5" t="s">
        <v>97</v>
      </c>
      <c r="E1810" s="5"/>
      <c r="G1810" s="5"/>
      <c r="H1810" s="5"/>
    </row>
    <row r="1811" spans="1:8" x14ac:dyDescent="0.2">
      <c r="A1811" s="5" t="s">
        <v>2310</v>
      </c>
      <c r="B1811" s="5" t="s">
        <v>2311</v>
      </c>
      <c r="C1811" s="8">
        <v>1</v>
      </c>
      <c r="D1811" s="5" t="s">
        <v>97</v>
      </c>
      <c r="E1811" s="5"/>
      <c r="G1811" s="5"/>
      <c r="H1811" s="5"/>
    </row>
    <row r="1812" spans="1:8" x14ac:dyDescent="0.2">
      <c r="A1812" s="5" t="s">
        <v>2312</v>
      </c>
      <c r="B1812" s="5" t="s">
        <v>2000</v>
      </c>
      <c r="C1812" s="8">
        <v>1</v>
      </c>
      <c r="D1812" s="5" t="s">
        <v>97</v>
      </c>
      <c r="E1812" s="5"/>
      <c r="G1812" s="5"/>
      <c r="H1812" s="5"/>
    </row>
    <row r="1813" spans="1:8" x14ac:dyDescent="0.2">
      <c r="A1813" s="5" t="s">
        <v>2313</v>
      </c>
      <c r="B1813" s="5" t="s">
        <v>2314</v>
      </c>
      <c r="C1813" s="8">
        <v>1</v>
      </c>
      <c r="D1813" s="5" t="s">
        <v>97</v>
      </c>
      <c r="E1813" s="5"/>
      <c r="G1813" s="5"/>
      <c r="H1813" s="5"/>
    </row>
    <row r="1814" spans="1:8" x14ac:dyDescent="0.2">
      <c r="A1814" s="5"/>
      <c r="B1814" s="5" t="s">
        <v>135</v>
      </c>
      <c r="C1814" s="5"/>
      <c r="D1814" s="5" t="s">
        <v>13</v>
      </c>
      <c r="E1814" s="5"/>
      <c r="G1814" s="5"/>
      <c r="H1814" s="5"/>
    </row>
    <row r="1815" spans="1:8" x14ac:dyDescent="0.2">
      <c r="A1815" s="5" t="s">
        <v>2315</v>
      </c>
      <c r="B1815" s="5" t="s">
        <v>2316</v>
      </c>
      <c r="C1815" s="5"/>
      <c r="D1815" s="5" t="s">
        <v>18</v>
      </c>
      <c r="E1815" s="5"/>
      <c r="G1815" s="5"/>
      <c r="H1815" s="5"/>
    </row>
    <row r="1816" spans="1:8" x14ac:dyDescent="0.2">
      <c r="A1816" s="5" t="s">
        <v>2317</v>
      </c>
      <c r="B1816" s="5" t="s">
        <v>2318</v>
      </c>
      <c r="C1816" s="5"/>
      <c r="D1816" s="5" t="s">
        <v>18</v>
      </c>
      <c r="E1816" s="5"/>
      <c r="G1816" s="5"/>
      <c r="H1816" s="5"/>
    </row>
    <row r="1817" spans="1:8" x14ac:dyDescent="0.2">
      <c r="A1817" s="5" t="s">
        <v>2319</v>
      </c>
      <c r="B1817" s="5" t="s">
        <v>2320</v>
      </c>
      <c r="C1817" s="5"/>
      <c r="D1817" s="5" t="s">
        <v>18</v>
      </c>
      <c r="E1817" s="5"/>
      <c r="G1817" s="5"/>
      <c r="H1817" s="5"/>
    </row>
    <row r="1818" spans="1:8" x14ac:dyDescent="0.2">
      <c r="A1818" s="5"/>
      <c r="B1818" s="5" t="s">
        <v>38</v>
      </c>
      <c r="C1818" s="5"/>
      <c r="D1818" s="5" t="s">
        <v>13</v>
      </c>
      <c r="E1818" s="5"/>
      <c r="G1818" s="5"/>
      <c r="H1818" s="5"/>
    </row>
    <row r="1819" spans="1:8" x14ac:dyDescent="0.2">
      <c r="A1819" s="5"/>
      <c r="B1819" s="5" t="s">
        <v>2321</v>
      </c>
      <c r="C1819" s="5"/>
      <c r="D1819" s="5" t="s">
        <v>15</v>
      </c>
      <c r="E1819" s="5"/>
      <c r="G1819" s="5"/>
      <c r="H1819" s="5"/>
    </row>
    <row r="1820" spans="1:8" x14ac:dyDescent="0.2">
      <c r="A1820" s="5"/>
      <c r="B1820" s="5" t="s">
        <v>2322</v>
      </c>
      <c r="C1820" s="5"/>
      <c r="D1820" s="5" t="s">
        <v>322</v>
      </c>
      <c r="E1820" s="5"/>
      <c r="G1820" s="5"/>
      <c r="H1820" s="5"/>
    </row>
    <row r="1821" spans="1:8" x14ac:dyDescent="0.2">
      <c r="A1821" s="5" t="s">
        <v>2323</v>
      </c>
      <c r="B1821" s="5" t="s">
        <v>2324</v>
      </c>
      <c r="C1821" s="8">
        <v>1.38</v>
      </c>
      <c r="D1821" s="5" t="s">
        <v>382</v>
      </c>
      <c r="E1821" s="5"/>
      <c r="G1821" s="5"/>
      <c r="H1821" s="5"/>
    </row>
    <row r="1822" spans="1:8" x14ac:dyDescent="0.2">
      <c r="A1822" s="5" t="s">
        <v>2325</v>
      </c>
      <c r="B1822" s="5" t="s">
        <v>2326</v>
      </c>
      <c r="C1822" s="8">
        <v>0.20699999999999999</v>
      </c>
      <c r="D1822" s="5" t="s">
        <v>382</v>
      </c>
      <c r="E1822" s="5"/>
      <c r="G1822" s="5"/>
      <c r="H1822" s="5"/>
    </row>
    <row r="1823" spans="1:8" x14ac:dyDescent="0.2">
      <c r="A1823" s="5"/>
      <c r="B1823" s="5" t="s">
        <v>2327</v>
      </c>
      <c r="C1823" s="5"/>
      <c r="D1823" s="5" t="s">
        <v>15</v>
      </c>
      <c r="E1823" s="5"/>
      <c r="G1823" s="5"/>
      <c r="H1823" s="5"/>
    </row>
    <row r="1824" spans="1:8" x14ac:dyDescent="0.2">
      <c r="A1824" s="5"/>
      <c r="B1824" s="5" t="s">
        <v>2322</v>
      </c>
      <c r="C1824" s="5"/>
      <c r="D1824" s="5" t="s">
        <v>322</v>
      </c>
      <c r="E1824" s="5"/>
      <c r="G1824" s="5"/>
      <c r="H1824" s="5"/>
    </row>
    <row r="1825" spans="1:8" x14ac:dyDescent="0.2">
      <c r="A1825" s="5" t="s">
        <v>2328</v>
      </c>
      <c r="B1825" s="5" t="s">
        <v>2324</v>
      </c>
      <c r="C1825" s="8">
        <v>1.38</v>
      </c>
      <c r="D1825" s="5" t="s">
        <v>382</v>
      </c>
      <c r="E1825" s="5"/>
      <c r="G1825" s="5"/>
      <c r="H1825" s="5"/>
    </row>
    <row r="1826" spans="1:8" x14ac:dyDescent="0.2">
      <c r="A1826" s="5" t="s">
        <v>2329</v>
      </c>
      <c r="B1826" s="5" t="s">
        <v>2326</v>
      </c>
      <c r="C1826" s="8">
        <v>0.20699999999999999</v>
      </c>
      <c r="D1826" s="5" t="s">
        <v>382</v>
      </c>
      <c r="E1826" s="5"/>
      <c r="G1826" s="5"/>
      <c r="H1826" s="5"/>
    </row>
    <row r="1827" spans="1:8" x14ac:dyDescent="0.2">
      <c r="A1827" s="5"/>
      <c r="B1827" s="5" t="s">
        <v>2330</v>
      </c>
      <c r="C1827" s="5"/>
      <c r="D1827" s="5" t="s">
        <v>15</v>
      </c>
      <c r="E1827" s="5"/>
      <c r="G1827" s="5"/>
      <c r="H1827" s="5"/>
    </row>
    <row r="1828" spans="1:8" x14ac:dyDescent="0.2">
      <c r="A1828" s="5"/>
      <c r="B1828" s="5" t="s">
        <v>2322</v>
      </c>
      <c r="C1828" s="5"/>
      <c r="D1828" s="5" t="s">
        <v>322</v>
      </c>
      <c r="E1828" s="5"/>
      <c r="G1828" s="5"/>
      <c r="H1828" s="5"/>
    </row>
    <row r="1829" spans="1:8" x14ac:dyDescent="0.2">
      <c r="A1829" s="5" t="s">
        <v>2331</v>
      </c>
      <c r="B1829" s="5" t="s">
        <v>2324</v>
      </c>
      <c r="C1829" s="8">
        <v>1.38</v>
      </c>
      <c r="D1829" s="5" t="s">
        <v>382</v>
      </c>
      <c r="E1829" s="5"/>
      <c r="G1829" s="5"/>
      <c r="H1829" s="5"/>
    </row>
    <row r="1830" spans="1:8" x14ac:dyDescent="0.2">
      <c r="A1830" s="5" t="s">
        <v>2332</v>
      </c>
      <c r="B1830" s="5" t="s">
        <v>2326</v>
      </c>
      <c r="C1830" s="8">
        <v>0.20699999999999999</v>
      </c>
      <c r="D1830" s="5" t="s">
        <v>382</v>
      </c>
      <c r="E1830" s="5"/>
      <c r="G1830" s="5"/>
      <c r="H1830" s="5"/>
    </row>
    <row r="1831" spans="1:8" x14ac:dyDescent="0.2">
      <c r="A1831" s="5"/>
      <c r="B1831" s="5" t="s">
        <v>2333</v>
      </c>
      <c r="C1831" s="5"/>
      <c r="D1831" s="5" t="s">
        <v>15</v>
      </c>
      <c r="E1831" s="5"/>
      <c r="G1831" s="5"/>
      <c r="H1831" s="5"/>
    </row>
    <row r="1832" spans="1:8" x14ac:dyDescent="0.2">
      <c r="A1832" s="5"/>
      <c r="B1832" s="5" t="s">
        <v>2109</v>
      </c>
      <c r="C1832" s="5"/>
      <c r="D1832" s="5" t="s">
        <v>322</v>
      </c>
      <c r="E1832" s="5"/>
      <c r="G1832" s="5"/>
      <c r="H1832" s="5"/>
    </row>
    <row r="1833" spans="1:8" x14ac:dyDescent="0.2">
      <c r="A1833" s="5" t="s">
        <v>2334</v>
      </c>
      <c r="B1833" s="5" t="s">
        <v>2335</v>
      </c>
      <c r="C1833" s="8">
        <v>0.23</v>
      </c>
      <c r="D1833" s="5" t="s">
        <v>382</v>
      </c>
      <c r="E1833" s="5"/>
      <c r="G1833" s="5"/>
      <c r="H1833" s="5"/>
    </row>
    <row r="1834" spans="1:8" x14ac:dyDescent="0.2">
      <c r="A1834" s="5" t="s">
        <v>2336</v>
      </c>
      <c r="B1834" s="5" t="s">
        <v>2326</v>
      </c>
      <c r="C1834" s="8">
        <v>3.4500000000000003E-2</v>
      </c>
      <c r="D1834" s="5" t="s">
        <v>382</v>
      </c>
      <c r="E1834" s="5"/>
      <c r="G1834" s="5"/>
      <c r="H1834" s="5"/>
    </row>
    <row r="1835" spans="1:8" x14ac:dyDescent="0.2">
      <c r="A1835" s="5" t="s">
        <v>2337</v>
      </c>
      <c r="B1835" s="5" t="s">
        <v>2338</v>
      </c>
      <c r="C1835" s="8">
        <v>2</v>
      </c>
      <c r="D1835" s="5" t="s">
        <v>162</v>
      </c>
      <c r="E1835" s="5"/>
      <c r="G1835" s="5"/>
      <c r="H1835" s="5"/>
    </row>
    <row r="1836" spans="1:8" x14ac:dyDescent="0.2">
      <c r="A1836" s="5" t="s">
        <v>2339</v>
      </c>
      <c r="B1836" s="5" t="s">
        <v>2340</v>
      </c>
      <c r="C1836" s="8">
        <v>2</v>
      </c>
      <c r="D1836" s="5" t="s">
        <v>162</v>
      </c>
      <c r="E1836" s="5"/>
      <c r="G1836" s="5"/>
      <c r="H1836" s="5"/>
    </row>
    <row r="1837" spans="1:8" x14ac:dyDescent="0.2">
      <c r="A1837" s="5"/>
      <c r="B1837" s="5" t="s">
        <v>2322</v>
      </c>
      <c r="C1837" s="5"/>
      <c r="D1837" s="5" t="s">
        <v>322</v>
      </c>
      <c r="E1837" s="5"/>
      <c r="G1837" s="5"/>
      <c r="H1837" s="5"/>
    </row>
    <row r="1838" spans="1:8" x14ac:dyDescent="0.2">
      <c r="A1838" s="5" t="s">
        <v>2341</v>
      </c>
      <c r="B1838" s="5" t="s">
        <v>2342</v>
      </c>
      <c r="C1838" s="8">
        <v>2.63</v>
      </c>
      <c r="D1838" s="5" t="s">
        <v>382</v>
      </c>
      <c r="E1838" s="5"/>
      <c r="G1838" s="5"/>
      <c r="H1838" s="5"/>
    </row>
    <row r="1839" spans="1:8" x14ac:dyDescent="0.2">
      <c r="A1839" s="5" t="s">
        <v>2343</v>
      </c>
      <c r="B1839" s="5" t="s">
        <v>2344</v>
      </c>
      <c r="C1839" s="8">
        <v>6.13</v>
      </c>
      <c r="D1839" s="5" t="s">
        <v>382</v>
      </c>
      <c r="E1839" s="5"/>
      <c r="G1839" s="5"/>
      <c r="H1839" s="5"/>
    </row>
    <row r="1840" spans="1:8" x14ac:dyDescent="0.2">
      <c r="A1840" s="5" t="s">
        <v>2345</v>
      </c>
      <c r="B1840" s="5" t="s">
        <v>2346</v>
      </c>
      <c r="C1840" s="8">
        <v>3.74</v>
      </c>
      <c r="D1840" s="5" t="s">
        <v>382</v>
      </c>
      <c r="E1840" s="5"/>
      <c r="G1840" s="5"/>
      <c r="H1840" s="5"/>
    </row>
    <row r="1841" spans="1:8" x14ac:dyDescent="0.2">
      <c r="A1841" s="5" t="s">
        <v>2347</v>
      </c>
      <c r="B1841" s="5" t="s">
        <v>2348</v>
      </c>
      <c r="C1841" s="8">
        <v>7.73</v>
      </c>
      <c r="D1841" s="5" t="s">
        <v>382</v>
      </c>
      <c r="E1841" s="5"/>
      <c r="G1841" s="5"/>
      <c r="H1841" s="5"/>
    </row>
    <row r="1842" spans="1:8" x14ac:dyDescent="0.2">
      <c r="A1842" s="5" t="s">
        <v>2349</v>
      </c>
      <c r="B1842" s="5" t="s">
        <v>2350</v>
      </c>
      <c r="C1842" s="8">
        <v>3.22</v>
      </c>
      <c r="D1842" s="5" t="s">
        <v>382</v>
      </c>
      <c r="E1842" s="5"/>
      <c r="G1842" s="5"/>
      <c r="H1842" s="5"/>
    </row>
    <row r="1843" spans="1:8" x14ac:dyDescent="0.2">
      <c r="A1843" s="5" t="s">
        <v>2351</v>
      </c>
      <c r="B1843" s="5" t="s">
        <v>2352</v>
      </c>
      <c r="C1843" s="8">
        <v>0.32</v>
      </c>
      <c r="D1843" s="5" t="s">
        <v>382</v>
      </c>
      <c r="E1843" s="5"/>
      <c r="G1843" s="5"/>
      <c r="H1843" s="5"/>
    </row>
    <row r="1844" spans="1:8" x14ac:dyDescent="0.2">
      <c r="A1844" s="5" t="s">
        <v>2353</v>
      </c>
      <c r="B1844" s="5" t="s">
        <v>2354</v>
      </c>
      <c r="C1844" s="8">
        <v>1.08</v>
      </c>
      <c r="D1844" s="5" t="s">
        <v>382</v>
      </c>
      <c r="E1844" s="5"/>
      <c r="G1844" s="5"/>
      <c r="H1844" s="5"/>
    </row>
    <row r="1845" spans="1:8" x14ac:dyDescent="0.2">
      <c r="A1845" s="5" t="s">
        <v>2355</v>
      </c>
      <c r="B1845" s="5" t="s">
        <v>2356</v>
      </c>
      <c r="C1845" s="8">
        <v>1.84</v>
      </c>
      <c r="D1845" s="5" t="s">
        <v>382</v>
      </c>
      <c r="E1845" s="5"/>
      <c r="G1845" s="5"/>
      <c r="H1845" s="5"/>
    </row>
    <row r="1846" spans="1:8" x14ac:dyDescent="0.2">
      <c r="A1846" s="5" t="s">
        <v>2357</v>
      </c>
      <c r="B1846" s="5" t="s">
        <v>2358</v>
      </c>
      <c r="C1846" s="8">
        <v>1.52</v>
      </c>
      <c r="D1846" s="5" t="s">
        <v>382</v>
      </c>
      <c r="E1846" s="5"/>
      <c r="G1846" s="5"/>
      <c r="H1846" s="5"/>
    </row>
    <row r="1847" spans="1:8" x14ac:dyDescent="0.2">
      <c r="A1847" s="5" t="s">
        <v>2359</v>
      </c>
      <c r="B1847" s="5" t="s">
        <v>2360</v>
      </c>
      <c r="C1847" s="8">
        <v>1.05</v>
      </c>
      <c r="D1847" s="5" t="s">
        <v>382</v>
      </c>
      <c r="E1847" s="5"/>
      <c r="G1847" s="5"/>
      <c r="H1847" s="5"/>
    </row>
    <row r="1848" spans="1:8" x14ac:dyDescent="0.2">
      <c r="A1848" s="5" t="s">
        <v>2361</v>
      </c>
      <c r="B1848" s="5" t="s">
        <v>2362</v>
      </c>
      <c r="C1848" s="8">
        <v>2.1800000000000002</v>
      </c>
      <c r="D1848" s="5" t="s">
        <v>382</v>
      </c>
      <c r="E1848" s="5"/>
      <c r="G1848" s="5"/>
      <c r="H1848" s="5"/>
    </row>
    <row r="1849" spans="1:8" x14ac:dyDescent="0.2">
      <c r="A1849" s="5" t="s">
        <v>2363</v>
      </c>
      <c r="B1849" s="5" t="s">
        <v>2364</v>
      </c>
      <c r="C1849" s="8">
        <v>0.31</v>
      </c>
      <c r="D1849" s="5" t="s">
        <v>382</v>
      </c>
      <c r="E1849" s="5"/>
      <c r="G1849" s="5"/>
      <c r="H1849" s="5"/>
    </row>
    <row r="1850" spans="1:8" x14ac:dyDescent="0.2">
      <c r="A1850" s="5" t="s">
        <v>2365</v>
      </c>
      <c r="B1850" s="5" t="s">
        <v>2366</v>
      </c>
      <c r="C1850" s="8">
        <v>1.1200000000000001</v>
      </c>
      <c r="D1850" s="5" t="s">
        <v>382</v>
      </c>
      <c r="E1850" s="5"/>
      <c r="G1850" s="5"/>
      <c r="H1850" s="5"/>
    </row>
    <row r="1851" spans="1:8" x14ac:dyDescent="0.2">
      <c r="A1851" s="5" t="s">
        <v>2367</v>
      </c>
      <c r="B1851" s="5" t="s">
        <v>2368</v>
      </c>
      <c r="C1851" s="8">
        <v>1.43</v>
      </c>
      <c r="D1851" s="5" t="s">
        <v>382</v>
      </c>
      <c r="E1851" s="5"/>
      <c r="G1851" s="5"/>
      <c r="H1851" s="5"/>
    </row>
    <row r="1852" spans="1:8" x14ac:dyDescent="0.2">
      <c r="A1852" s="5" t="s">
        <v>2369</v>
      </c>
      <c r="B1852" s="5" t="s">
        <v>2370</v>
      </c>
      <c r="C1852" s="8">
        <v>1.34</v>
      </c>
      <c r="D1852" s="5" t="s">
        <v>382</v>
      </c>
      <c r="E1852" s="5"/>
      <c r="G1852" s="5"/>
      <c r="H1852" s="5"/>
    </row>
    <row r="1853" spans="1:8" x14ac:dyDescent="0.2">
      <c r="A1853" s="5" t="s">
        <v>2371</v>
      </c>
      <c r="B1853" s="5" t="s">
        <v>2372</v>
      </c>
      <c r="C1853" s="8">
        <v>0.53</v>
      </c>
      <c r="D1853" s="5" t="s">
        <v>382</v>
      </c>
      <c r="E1853" s="5"/>
      <c r="G1853" s="5"/>
      <c r="H1853" s="5"/>
    </row>
    <row r="1854" spans="1:8" x14ac:dyDescent="0.2">
      <c r="A1854" s="5" t="s">
        <v>2373</v>
      </c>
      <c r="B1854" s="5" t="s">
        <v>2326</v>
      </c>
      <c r="C1854" s="8">
        <v>5.4255000000000004</v>
      </c>
      <c r="D1854" s="5" t="s">
        <v>382</v>
      </c>
      <c r="E1854" s="5"/>
      <c r="G1854" s="5"/>
      <c r="H1854" s="5"/>
    </row>
    <row r="1855" spans="1:8" x14ac:dyDescent="0.2">
      <c r="A1855" s="5" t="s">
        <v>2374</v>
      </c>
      <c r="B1855" s="5" t="s">
        <v>2375</v>
      </c>
      <c r="C1855" s="8">
        <v>2</v>
      </c>
      <c r="D1855" s="5" t="s">
        <v>162</v>
      </c>
      <c r="E1855" s="5"/>
      <c r="G1855" s="5"/>
      <c r="H1855" s="5"/>
    </row>
    <row r="1856" spans="1:8" x14ac:dyDescent="0.2">
      <c r="A1856" s="5"/>
      <c r="B1856" s="5" t="s">
        <v>2376</v>
      </c>
      <c r="C1856" s="5"/>
      <c r="D1856" s="5" t="s">
        <v>322</v>
      </c>
      <c r="E1856" s="5"/>
      <c r="G1856" s="5"/>
      <c r="H1856" s="5"/>
    </row>
    <row r="1857" spans="1:8" x14ac:dyDescent="0.2">
      <c r="A1857" s="5" t="s">
        <v>2377</v>
      </c>
      <c r="B1857" s="5" t="s">
        <v>2378</v>
      </c>
      <c r="C1857" s="8">
        <v>0.33</v>
      </c>
      <c r="D1857" s="5" t="s">
        <v>382</v>
      </c>
      <c r="E1857" s="5"/>
      <c r="G1857" s="5"/>
      <c r="H1857" s="5"/>
    </row>
    <row r="1858" spans="1:8" x14ac:dyDescent="0.2">
      <c r="A1858" s="5" t="s">
        <v>2379</v>
      </c>
      <c r="B1858" s="5" t="s">
        <v>2326</v>
      </c>
      <c r="C1858" s="8">
        <v>4.9500000000000002E-2</v>
      </c>
      <c r="D1858" s="5" t="s">
        <v>382</v>
      </c>
      <c r="E1858" s="5"/>
      <c r="G1858" s="5"/>
      <c r="H1858" s="5"/>
    </row>
    <row r="1859" spans="1:8" x14ac:dyDescent="0.2">
      <c r="A1859" s="5"/>
      <c r="B1859" s="5" t="s">
        <v>2380</v>
      </c>
      <c r="C1859" s="5"/>
      <c r="D1859" s="5" t="s">
        <v>322</v>
      </c>
      <c r="E1859" s="5"/>
      <c r="G1859" s="5"/>
      <c r="H1859" s="5"/>
    </row>
    <row r="1860" spans="1:8" x14ac:dyDescent="0.2">
      <c r="A1860" s="5" t="s">
        <v>2381</v>
      </c>
      <c r="B1860" s="5" t="s">
        <v>2382</v>
      </c>
      <c r="C1860" s="8">
        <v>29</v>
      </c>
      <c r="D1860" s="5" t="s">
        <v>155</v>
      </c>
      <c r="E1860" s="5"/>
      <c r="G1860" s="5"/>
      <c r="H1860" s="5"/>
    </row>
    <row r="1861" spans="1:8" x14ac:dyDescent="0.2">
      <c r="A1861" s="5" t="s">
        <v>2383</v>
      </c>
      <c r="B1861" s="5" t="s">
        <v>2384</v>
      </c>
      <c r="C1861" s="8">
        <v>14</v>
      </c>
      <c r="D1861" s="5" t="s">
        <v>155</v>
      </c>
      <c r="E1861" s="5"/>
      <c r="G1861" s="5"/>
      <c r="H1861" s="5"/>
    </row>
    <row r="1862" spans="1:8" x14ac:dyDescent="0.2">
      <c r="A1862" s="5" t="s">
        <v>2385</v>
      </c>
      <c r="B1862" s="5" t="s">
        <v>2386</v>
      </c>
      <c r="C1862" s="8">
        <v>281</v>
      </c>
      <c r="D1862" s="5" t="s">
        <v>155</v>
      </c>
      <c r="E1862" s="5"/>
      <c r="G1862" s="5"/>
      <c r="H1862" s="5"/>
    </row>
    <row r="1863" spans="1:8" x14ac:dyDescent="0.2">
      <c r="A1863" s="5" t="s">
        <v>2387</v>
      </c>
      <c r="B1863" s="5" t="s">
        <v>2388</v>
      </c>
      <c r="C1863" s="8">
        <v>280</v>
      </c>
      <c r="D1863" s="5" t="s">
        <v>155</v>
      </c>
      <c r="E1863" s="5"/>
      <c r="G1863" s="5"/>
      <c r="H1863" s="5"/>
    </row>
    <row r="1864" spans="1:8" x14ac:dyDescent="0.2">
      <c r="A1864" s="5" t="s">
        <v>2389</v>
      </c>
      <c r="B1864" s="5" t="s">
        <v>2390</v>
      </c>
      <c r="C1864" s="8">
        <v>121</v>
      </c>
      <c r="D1864" s="5" t="s">
        <v>155</v>
      </c>
      <c r="E1864" s="5"/>
      <c r="G1864" s="5"/>
      <c r="H1864" s="5"/>
    </row>
    <row r="1865" spans="1:8" x14ac:dyDescent="0.2">
      <c r="A1865" s="5" t="s">
        <v>2391</v>
      </c>
      <c r="B1865" s="5" t="s">
        <v>2392</v>
      </c>
      <c r="C1865" s="8">
        <v>1151</v>
      </c>
      <c r="D1865" s="5" t="s">
        <v>155</v>
      </c>
      <c r="E1865" s="5"/>
      <c r="G1865" s="5"/>
      <c r="H1865" s="5"/>
    </row>
    <row r="1866" spans="1:8" x14ac:dyDescent="0.2">
      <c r="A1866" s="5"/>
      <c r="B1866" s="5" t="s">
        <v>2393</v>
      </c>
      <c r="C1866" s="5"/>
      <c r="D1866" s="5" t="s">
        <v>15</v>
      </c>
      <c r="E1866" s="5"/>
      <c r="G1866" s="5"/>
      <c r="H1866" s="5"/>
    </row>
    <row r="1867" spans="1:8" x14ac:dyDescent="0.2">
      <c r="A1867" s="5"/>
      <c r="B1867" s="5" t="s">
        <v>2394</v>
      </c>
      <c r="C1867" s="5"/>
      <c r="D1867" s="5" t="s">
        <v>322</v>
      </c>
      <c r="E1867" s="5"/>
      <c r="G1867" s="5"/>
      <c r="H1867" s="5"/>
    </row>
    <row r="1868" spans="1:8" x14ac:dyDescent="0.2">
      <c r="A1868" s="5" t="s">
        <v>2395</v>
      </c>
      <c r="B1868" s="5" t="s">
        <v>2396</v>
      </c>
      <c r="C1868" s="8">
        <v>0.27</v>
      </c>
      <c r="D1868" s="5" t="s">
        <v>382</v>
      </c>
      <c r="E1868" s="5"/>
      <c r="G1868" s="5"/>
      <c r="H1868" s="5"/>
    </row>
    <row r="1869" spans="1:8" x14ac:dyDescent="0.2">
      <c r="A1869" s="5" t="s">
        <v>2397</v>
      </c>
      <c r="B1869" s="5" t="s">
        <v>2398</v>
      </c>
      <c r="C1869" s="8">
        <v>46.36</v>
      </c>
      <c r="D1869" s="5" t="s">
        <v>382</v>
      </c>
      <c r="E1869" s="5"/>
      <c r="G1869" s="5"/>
      <c r="H1869" s="5"/>
    </row>
    <row r="1870" spans="1:8" x14ac:dyDescent="0.2">
      <c r="A1870" s="5" t="s">
        <v>2399</v>
      </c>
      <c r="B1870" s="5" t="s">
        <v>2400</v>
      </c>
      <c r="C1870" s="8">
        <v>0.38</v>
      </c>
      <c r="D1870" s="5" t="s">
        <v>382</v>
      </c>
      <c r="E1870" s="5"/>
      <c r="G1870" s="5"/>
      <c r="H1870" s="5"/>
    </row>
    <row r="1871" spans="1:8" x14ac:dyDescent="0.2">
      <c r="A1871" s="5"/>
      <c r="B1871" s="5" t="s">
        <v>2401</v>
      </c>
      <c r="C1871" s="5"/>
      <c r="D1871" s="5" t="s">
        <v>322</v>
      </c>
      <c r="E1871" s="5"/>
      <c r="G1871" s="5"/>
      <c r="H1871" s="5"/>
    </row>
    <row r="1872" spans="1:8" x14ac:dyDescent="0.2">
      <c r="A1872" s="5" t="s">
        <v>2402</v>
      </c>
      <c r="B1872" s="5" t="s">
        <v>2403</v>
      </c>
      <c r="C1872" s="8">
        <v>0.27</v>
      </c>
      <c r="D1872" s="5" t="s">
        <v>382</v>
      </c>
      <c r="E1872" s="5"/>
      <c r="G1872" s="5"/>
      <c r="H1872" s="5"/>
    </row>
    <row r="1873" spans="1:8" x14ac:dyDescent="0.2">
      <c r="A1873" s="5" t="s">
        <v>2404</v>
      </c>
      <c r="B1873" s="5" t="s">
        <v>2405</v>
      </c>
      <c r="C1873" s="8">
        <v>4.7699999999999996</v>
      </c>
      <c r="D1873" s="5" t="s">
        <v>382</v>
      </c>
      <c r="E1873" s="5"/>
      <c r="G1873" s="5"/>
      <c r="H1873" s="5"/>
    </row>
    <row r="1874" spans="1:8" x14ac:dyDescent="0.2">
      <c r="A1874" s="5" t="s">
        <v>2406</v>
      </c>
      <c r="B1874" s="5" t="s">
        <v>2407</v>
      </c>
      <c r="C1874" s="8">
        <v>41.6</v>
      </c>
      <c r="D1874" s="5" t="s">
        <v>382</v>
      </c>
      <c r="E1874" s="5"/>
      <c r="G1874" s="5"/>
      <c r="H1874" s="5"/>
    </row>
    <row r="1875" spans="1:8" x14ac:dyDescent="0.2">
      <c r="A1875" s="5" t="s">
        <v>2408</v>
      </c>
      <c r="B1875" s="5" t="s">
        <v>2409</v>
      </c>
      <c r="C1875" s="8">
        <v>0.38</v>
      </c>
      <c r="D1875" s="5" t="s">
        <v>382</v>
      </c>
      <c r="E1875" s="5"/>
      <c r="G1875" s="5"/>
      <c r="H1875" s="5"/>
    </row>
    <row r="1876" spans="1:8" x14ac:dyDescent="0.2">
      <c r="A1876" s="5"/>
      <c r="B1876" s="5" t="s">
        <v>2410</v>
      </c>
      <c r="C1876" s="5"/>
      <c r="D1876" s="5" t="s">
        <v>13</v>
      </c>
      <c r="E1876" s="5"/>
      <c r="G1876" s="5"/>
      <c r="H1876" s="5"/>
    </row>
    <row r="1877" spans="1:8" x14ac:dyDescent="0.2">
      <c r="A1877" s="5"/>
      <c r="B1877" s="5" t="s">
        <v>2411</v>
      </c>
      <c r="C1877" s="5"/>
      <c r="D1877" s="5" t="s">
        <v>15</v>
      </c>
      <c r="E1877" s="5"/>
      <c r="G1877" s="5"/>
      <c r="H1877" s="5"/>
    </row>
    <row r="1878" spans="1:8" x14ac:dyDescent="0.2">
      <c r="A1878" s="5"/>
      <c r="B1878" s="5" t="s">
        <v>2322</v>
      </c>
      <c r="C1878" s="5"/>
      <c r="D1878" s="5" t="s">
        <v>322</v>
      </c>
      <c r="E1878" s="5"/>
      <c r="G1878" s="5"/>
      <c r="H1878" s="5"/>
    </row>
    <row r="1879" spans="1:8" x14ac:dyDescent="0.2">
      <c r="A1879" s="5" t="s">
        <v>2412</v>
      </c>
      <c r="B1879" s="5" t="s">
        <v>2324</v>
      </c>
      <c r="C1879" s="8">
        <v>1</v>
      </c>
      <c r="D1879" s="5" t="s">
        <v>382</v>
      </c>
      <c r="E1879" s="5"/>
      <c r="G1879" s="5"/>
      <c r="H1879" s="5"/>
    </row>
    <row r="1880" spans="1:8" x14ac:dyDescent="0.2">
      <c r="A1880" s="5" t="s">
        <v>2413</v>
      </c>
      <c r="B1880" s="5" t="s">
        <v>2326</v>
      </c>
      <c r="C1880" s="8">
        <v>0.15</v>
      </c>
      <c r="D1880" s="5" t="s">
        <v>382</v>
      </c>
      <c r="E1880" s="5"/>
      <c r="G1880" s="5"/>
      <c r="H1880" s="5"/>
    </row>
    <row r="1881" spans="1:8" x14ac:dyDescent="0.2">
      <c r="A1881" s="5"/>
      <c r="B1881" s="5" t="s">
        <v>2414</v>
      </c>
      <c r="C1881" s="5"/>
      <c r="D1881" s="5" t="s">
        <v>15</v>
      </c>
      <c r="E1881" s="5"/>
      <c r="G1881" s="5"/>
      <c r="H1881" s="5"/>
    </row>
    <row r="1882" spans="1:8" x14ac:dyDescent="0.2">
      <c r="A1882" s="5"/>
      <c r="B1882" s="5" t="s">
        <v>2109</v>
      </c>
      <c r="C1882" s="5"/>
      <c r="D1882" s="5" t="s">
        <v>322</v>
      </c>
      <c r="E1882" s="5"/>
      <c r="G1882" s="5"/>
      <c r="H1882" s="5"/>
    </row>
    <row r="1883" spans="1:8" x14ac:dyDescent="0.2">
      <c r="A1883" s="5" t="s">
        <v>2415</v>
      </c>
      <c r="B1883" s="5" t="s">
        <v>2416</v>
      </c>
      <c r="C1883" s="8">
        <v>0.62</v>
      </c>
      <c r="D1883" s="5" t="s">
        <v>382</v>
      </c>
      <c r="E1883" s="5"/>
      <c r="G1883" s="5"/>
      <c r="H1883" s="5"/>
    </row>
    <row r="1884" spans="1:8" x14ac:dyDescent="0.2">
      <c r="A1884" s="5" t="s">
        <v>2417</v>
      </c>
      <c r="B1884" s="5" t="s">
        <v>2326</v>
      </c>
      <c r="C1884" s="8">
        <v>9.2999999999999999E-2</v>
      </c>
      <c r="D1884" s="5" t="s">
        <v>382</v>
      </c>
      <c r="E1884" s="5"/>
      <c r="G1884" s="5"/>
      <c r="H1884" s="5"/>
    </row>
    <row r="1885" spans="1:8" x14ac:dyDescent="0.2">
      <c r="A1885" s="5" t="s">
        <v>2418</v>
      </c>
      <c r="B1885" s="5" t="s">
        <v>2419</v>
      </c>
      <c r="C1885" s="8">
        <v>3</v>
      </c>
      <c r="D1885" s="5" t="s">
        <v>162</v>
      </c>
      <c r="E1885" s="5"/>
      <c r="G1885" s="5"/>
      <c r="H1885" s="5"/>
    </row>
    <row r="1886" spans="1:8" x14ac:dyDescent="0.2">
      <c r="A1886" s="5"/>
      <c r="B1886" s="5" t="s">
        <v>2322</v>
      </c>
      <c r="C1886" s="5"/>
      <c r="D1886" s="5" t="s">
        <v>322</v>
      </c>
      <c r="E1886" s="5"/>
      <c r="G1886" s="5"/>
      <c r="H1886" s="5"/>
    </row>
    <row r="1887" spans="1:8" x14ac:dyDescent="0.2">
      <c r="A1887" s="5" t="s">
        <v>2420</v>
      </c>
      <c r="B1887" s="5" t="s">
        <v>2324</v>
      </c>
      <c r="C1887" s="8">
        <v>0.92</v>
      </c>
      <c r="D1887" s="5" t="s">
        <v>382</v>
      </c>
      <c r="E1887" s="5"/>
      <c r="G1887" s="5"/>
      <c r="H1887" s="5"/>
    </row>
    <row r="1888" spans="1:8" x14ac:dyDescent="0.2">
      <c r="A1888" s="5" t="s">
        <v>2421</v>
      </c>
      <c r="B1888" s="5" t="s">
        <v>2326</v>
      </c>
      <c r="C1888" s="8">
        <v>0.13800000000000001</v>
      </c>
      <c r="D1888" s="5" t="s">
        <v>382</v>
      </c>
      <c r="E1888" s="5"/>
      <c r="G1888" s="5"/>
      <c r="H1888" s="5"/>
    </row>
    <row r="1889" spans="1:8" x14ac:dyDescent="0.2">
      <c r="A1889" s="5"/>
      <c r="B1889" s="5" t="s">
        <v>2422</v>
      </c>
      <c r="C1889" s="5"/>
      <c r="D1889" s="5" t="s">
        <v>322</v>
      </c>
      <c r="E1889" s="5"/>
      <c r="G1889" s="5"/>
      <c r="H1889" s="5"/>
    </row>
    <row r="1890" spans="1:8" x14ac:dyDescent="0.2">
      <c r="A1890" s="5" t="s">
        <v>2423</v>
      </c>
      <c r="B1890" s="5" t="s">
        <v>2424</v>
      </c>
      <c r="C1890" s="8">
        <v>0.97</v>
      </c>
      <c r="D1890" s="5" t="s">
        <v>382</v>
      </c>
      <c r="E1890" s="5"/>
      <c r="G1890" s="5"/>
      <c r="H1890" s="5"/>
    </row>
    <row r="1891" spans="1:8" x14ac:dyDescent="0.2">
      <c r="A1891" s="5" t="s">
        <v>2425</v>
      </c>
      <c r="B1891" s="5" t="s">
        <v>2426</v>
      </c>
      <c r="C1891" s="8">
        <v>0.54</v>
      </c>
      <c r="D1891" s="5" t="s">
        <v>382</v>
      </c>
      <c r="E1891" s="5"/>
      <c r="G1891" s="5"/>
      <c r="H1891" s="5"/>
    </row>
    <row r="1892" spans="1:8" x14ac:dyDescent="0.2">
      <c r="A1892" s="5" t="s">
        <v>2427</v>
      </c>
      <c r="B1892" s="5" t="s">
        <v>2428</v>
      </c>
      <c r="C1892" s="8">
        <v>0.09</v>
      </c>
      <c r="D1892" s="5" t="s">
        <v>382</v>
      </c>
      <c r="E1892" s="5"/>
      <c r="G1892" s="5"/>
      <c r="H1892" s="5"/>
    </row>
    <row r="1893" spans="1:8" x14ac:dyDescent="0.2">
      <c r="A1893" s="5" t="s">
        <v>2429</v>
      </c>
      <c r="B1893" s="5" t="s">
        <v>2430</v>
      </c>
      <c r="C1893" s="8">
        <v>0.11</v>
      </c>
      <c r="D1893" s="5" t="s">
        <v>382</v>
      </c>
      <c r="E1893" s="5"/>
      <c r="G1893" s="5"/>
      <c r="H1893" s="5"/>
    </row>
    <row r="1894" spans="1:8" x14ac:dyDescent="0.2">
      <c r="A1894" s="5" t="s">
        <v>2431</v>
      </c>
      <c r="B1894" s="5" t="s">
        <v>2432</v>
      </c>
      <c r="C1894" s="8">
        <v>0.23</v>
      </c>
      <c r="D1894" s="5" t="s">
        <v>382</v>
      </c>
      <c r="E1894" s="5"/>
      <c r="G1894" s="5"/>
      <c r="H1894" s="5"/>
    </row>
    <row r="1895" spans="1:8" x14ac:dyDescent="0.2">
      <c r="A1895" s="5" t="s">
        <v>2433</v>
      </c>
      <c r="B1895" s="5" t="s">
        <v>2326</v>
      </c>
      <c r="C1895" s="8">
        <v>0.29099999999999998</v>
      </c>
      <c r="D1895" s="5" t="s">
        <v>382</v>
      </c>
      <c r="E1895" s="5"/>
      <c r="G1895" s="5"/>
      <c r="H1895" s="5"/>
    </row>
    <row r="1896" spans="1:8" x14ac:dyDescent="0.2">
      <c r="A1896" s="5"/>
      <c r="B1896" s="5" t="s">
        <v>2376</v>
      </c>
      <c r="C1896" s="5"/>
      <c r="D1896" s="5" t="s">
        <v>322</v>
      </c>
      <c r="E1896" s="5"/>
      <c r="G1896" s="5"/>
      <c r="H1896" s="5"/>
    </row>
    <row r="1897" spans="1:8" x14ac:dyDescent="0.2">
      <c r="A1897" s="5" t="s">
        <v>2434</v>
      </c>
      <c r="B1897" s="5" t="s">
        <v>2435</v>
      </c>
      <c r="C1897" s="8">
        <v>0.08</v>
      </c>
      <c r="D1897" s="5" t="s">
        <v>382</v>
      </c>
      <c r="E1897" s="5"/>
      <c r="G1897" s="5"/>
      <c r="H1897" s="5"/>
    </row>
    <row r="1898" spans="1:8" x14ac:dyDescent="0.2">
      <c r="A1898" s="5" t="s">
        <v>2436</v>
      </c>
      <c r="B1898" s="5" t="s">
        <v>2326</v>
      </c>
      <c r="C1898" s="8">
        <v>1.2E-2</v>
      </c>
      <c r="D1898" s="5" t="s">
        <v>382</v>
      </c>
      <c r="E1898" s="5"/>
      <c r="G1898" s="5"/>
      <c r="H1898" s="5"/>
    </row>
    <row r="1899" spans="1:8" x14ac:dyDescent="0.2">
      <c r="A1899" s="5"/>
      <c r="B1899" s="5" t="s">
        <v>2380</v>
      </c>
      <c r="C1899" s="5"/>
      <c r="D1899" s="5" t="s">
        <v>322</v>
      </c>
      <c r="E1899" s="5"/>
      <c r="G1899" s="5"/>
      <c r="H1899" s="5"/>
    </row>
    <row r="1900" spans="1:8" x14ac:dyDescent="0.2">
      <c r="A1900" s="5" t="s">
        <v>2437</v>
      </c>
      <c r="B1900" s="5" t="s">
        <v>2438</v>
      </c>
      <c r="C1900" s="8">
        <v>3</v>
      </c>
      <c r="D1900" s="5" t="s">
        <v>155</v>
      </c>
      <c r="E1900" s="5"/>
      <c r="G1900" s="5"/>
      <c r="H1900" s="5"/>
    </row>
    <row r="1901" spans="1:8" x14ac:dyDescent="0.2">
      <c r="A1901" s="5" t="s">
        <v>2439</v>
      </c>
      <c r="B1901" s="5" t="s">
        <v>2440</v>
      </c>
      <c r="C1901" s="8">
        <v>32</v>
      </c>
      <c r="D1901" s="5" t="s">
        <v>155</v>
      </c>
      <c r="E1901" s="5"/>
      <c r="G1901" s="5"/>
      <c r="H1901" s="5"/>
    </row>
    <row r="1902" spans="1:8" x14ac:dyDescent="0.2">
      <c r="A1902" s="5" t="s">
        <v>2441</v>
      </c>
      <c r="B1902" s="5" t="s">
        <v>2442</v>
      </c>
      <c r="C1902" s="8">
        <v>11</v>
      </c>
      <c r="D1902" s="5" t="s">
        <v>155</v>
      </c>
      <c r="E1902" s="5"/>
      <c r="G1902" s="5"/>
      <c r="H1902" s="5"/>
    </row>
    <row r="1903" spans="1:8" x14ac:dyDescent="0.2">
      <c r="A1903" s="5" t="s">
        <v>2443</v>
      </c>
      <c r="B1903" s="5" t="s">
        <v>2444</v>
      </c>
      <c r="C1903" s="8">
        <v>115</v>
      </c>
      <c r="D1903" s="5" t="s">
        <v>155</v>
      </c>
      <c r="E1903" s="5"/>
      <c r="G1903" s="5"/>
      <c r="H1903" s="5"/>
    </row>
    <row r="1904" spans="1:8" x14ac:dyDescent="0.2">
      <c r="A1904" s="5"/>
      <c r="B1904" s="5" t="s">
        <v>2445</v>
      </c>
      <c r="C1904" s="5"/>
      <c r="D1904" s="5" t="s">
        <v>15</v>
      </c>
      <c r="E1904" s="5"/>
      <c r="G1904" s="5"/>
      <c r="H1904" s="5"/>
    </row>
    <row r="1905" spans="1:8" x14ac:dyDescent="0.2">
      <c r="A1905" s="5"/>
      <c r="B1905" s="5" t="s">
        <v>2322</v>
      </c>
      <c r="C1905" s="5"/>
      <c r="D1905" s="5" t="s">
        <v>322</v>
      </c>
      <c r="E1905" s="5"/>
      <c r="G1905" s="5"/>
      <c r="H1905" s="5"/>
    </row>
    <row r="1906" spans="1:8" x14ac:dyDescent="0.2">
      <c r="A1906" s="5" t="s">
        <v>2446</v>
      </c>
      <c r="B1906" s="5" t="s">
        <v>2324</v>
      </c>
      <c r="C1906" s="8">
        <v>1</v>
      </c>
      <c r="D1906" s="5" t="s">
        <v>382</v>
      </c>
      <c r="E1906" s="5"/>
      <c r="G1906" s="5"/>
      <c r="H1906" s="5"/>
    </row>
    <row r="1907" spans="1:8" x14ac:dyDescent="0.2">
      <c r="A1907" s="5" t="s">
        <v>2447</v>
      </c>
      <c r="B1907" s="5" t="s">
        <v>2326</v>
      </c>
      <c r="C1907" s="8">
        <v>0.15</v>
      </c>
      <c r="D1907" s="5" t="s">
        <v>382</v>
      </c>
      <c r="E1907" s="5"/>
      <c r="G1907" s="5"/>
      <c r="H1907" s="5"/>
    </row>
    <row r="1908" spans="1:8" x14ac:dyDescent="0.2">
      <c r="A1908" s="5"/>
      <c r="B1908" s="5" t="s">
        <v>2448</v>
      </c>
      <c r="C1908" s="5"/>
      <c r="D1908" s="5" t="s">
        <v>15</v>
      </c>
      <c r="E1908" s="5"/>
      <c r="G1908" s="5"/>
      <c r="H1908" s="5"/>
    </row>
    <row r="1909" spans="1:8" x14ac:dyDescent="0.2">
      <c r="A1909" s="5"/>
      <c r="B1909" s="5" t="s">
        <v>2322</v>
      </c>
      <c r="C1909" s="5"/>
      <c r="D1909" s="5" t="s">
        <v>322</v>
      </c>
      <c r="E1909" s="5"/>
      <c r="G1909" s="5"/>
      <c r="H1909" s="5"/>
    </row>
    <row r="1910" spans="1:8" x14ac:dyDescent="0.2">
      <c r="A1910" s="5" t="s">
        <v>2449</v>
      </c>
      <c r="B1910" s="5" t="s">
        <v>2342</v>
      </c>
      <c r="C1910" s="8">
        <v>0.2</v>
      </c>
      <c r="D1910" s="5" t="s">
        <v>382</v>
      </c>
      <c r="E1910" s="5"/>
      <c r="G1910" s="5"/>
      <c r="H1910" s="5"/>
    </row>
    <row r="1911" spans="1:8" x14ac:dyDescent="0.2">
      <c r="A1911" s="5" t="s">
        <v>2450</v>
      </c>
      <c r="B1911" s="5" t="s">
        <v>2451</v>
      </c>
      <c r="C1911" s="8">
        <v>0.51</v>
      </c>
      <c r="D1911" s="5" t="s">
        <v>382</v>
      </c>
      <c r="E1911" s="5"/>
      <c r="G1911" s="5"/>
      <c r="H1911" s="5"/>
    </row>
    <row r="1912" spans="1:8" x14ac:dyDescent="0.2">
      <c r="A1912" s="5" t="s">
        <v>2452</v>
      </c>
      <c r="B1912" s="5" t="s">
        <v>2344</v>
      </c>
      <c r="C1912" s="8">
        <v>1.85</v>
      </c>
      <c r="D1912" s="5" t="s">
        <v>382</v>
      </c>
      <c r="E1912" s="5"/>
      <c r="G1912" s="5"/>
      <c r="H1912" s="5"/>
    </row>
    <row r="1913" spans="1:8" x14ac:dyDescent="0.2">
      <c r="A1913" s="5" t="s">
        <v>2453</v>
      </c>
      <c r="B1913" s="5" t="s">
        <v>2346</v>
      </c>
      <c r="C1913" s="8">
        <v>1.56</v>
      </c>
      <c r="D1913" s="5" t="s">
        <v>382</v>
      </c>
      <c r="E1913" s="5"/>
      <c r="G1913" s="5"/>
      <c r="H1913" s="5"/>
    </row>
    <row r="1914" spans="1:8" x14ac:dyDescent="0.2">
      <c r="A1914" s="5" t="s">
        <v>2454</v>
      </c>
      <c r="B1914" s="5" t="s">
        <v>2356</v>
      </c>
      <c r="C1914" s="8">
        <v>0.62</v>
      </c>
      <c r="D1914" s="5" t="s">
        <v>382</v>
      </c>
      <c r="E1914" s="5"/>
      <c r="G1914" s="5"/>
      <c r="H1914" s="5"/>
    </row>
    <row r="1915" spans="1:8" x14ac:dyDescent="0.2">
      <c r="A1915" s="5" t="s">
        <v>2455</v>
      </c>
      <c r="B1915" s="5" t="s">
        <v>2360</v>
      </c>
      <c r="C1915" s="8">
        <v>0.11</v>
      </c>
      <c r="D1915" s="5" t="s">
        <v>382</v>
      </c>
      <c r="E1915" s="5"/>
      <c r="G1915" s="5"/>
      <c r="H1915" s="5"/>
    </row>
    <row r="1916" spans="1:8" x14ac:dyDescent="0.2">
      <c r="A1916" s="5" t="s">
        <v>2456</v>
      </c>
      <c r="B1916" s="5" t="s">
        <v>2368</v>
      </c>
      <c r="C1916" s="8">
        <v>0.54</v>
      </c>
      <c r="D1916" s="5" t="s">
        <v>382</v>
      </c>
      <c r="E1916" s="5"/>
      <c r="G1916" s="5"/>
      <c r="H1916" s="5"/>
    </row>
    <row r="1917" spans="1:8" x14ac:dyDescent="0.2">
      <c r="A1917" s="5" t="s">
        <v>2457</v>
      </c>
      <c r="B1917" s="5" t="s">
        <v>2372</v>
      </c>
      <c r="C1917" s="8">
        <v>0.3</v>
      </c>
      <c r="D1917" s="5" t="s">
        <v>382</v>
      </c>
      <c r="E1917" s="5"/>
      <c r="G1917" s="5"/>
      <c r="H1917" s="5"/>
    </row>
    <row r="1918" spans="1:8" x14ac:dyDescent="0.2">
      <c r="A1918" s="5" t="s">
        <v>2458</v>
      </c>
      <c r="B1918" s="5" t="s">
        <v>2326</v>
      </c>
      <c r="C1918" s="8">
        <v>0.85350000000000004</v>
      </c>
      <c r="D1918" s="5" t="s">
        <v>382</v>
      </c>
      <c r="E1918" s="5"/>
      <c r="G1918" s="5"/>
      <c r="H1918" s="5"/>
    </row>
    <row r="1919" spans="1:8" x14ac:dyDescent="0.2">
      <c r="A1919" s="5"/>
      <c r="B1919" s="5" t="s">
        <v>2380</v>
      </c>
      <c r="C1919" s="5"/>
      <c r="D1919" s="5" t="s">
        <v>322</v>
      </c>
      <c r="E1919" s="5"/>
      <c r="G1919" s="5"/>
      <c r="H1919" s="5"/>
    </row>
    <row r="1920" spans="1:8" x14ac:dyDescent="0.2">
      <c r="A1920" s="5" t="s">
        <v>2459</v>
      </c>
      <c r="B1920" s="5" t="s">
        <v>2382</v>
      </c>
      <c r="C1920" s="8">
        <v>15</v>
      </c>
      <c r="D1920" s="5" t="s">
        <v>155</v>
      </c>
      <c r="E1920" s="5"/>
      <c r="G1920" s="5"/>
      <c r="H1920" s="5"/>
    </row>
    <row r="1921" spans="1:9" x14ac:dyDescent="0.2">
      <c r="A1921" s="5" t="s">
        <v>2460</v>
      </c>
      <c r="B1921" s="5" t="s">
        <v>2384</v>
      </c>
      <c r="C1921" s="8">
        <v>6</v>
      </c>
      <c r="D1921" s="5" t="s">
        <v>155</v>
      </c>
      <c r="E1921" s="5"/>
      <c r="G1921" s="5"/>
      <c r="H1921" s="5"/>
    </row>
    <row r="1922" spans="1:9" x14ac:dyDescent="0.2">
      <c r="A1922" s="5" t="s">
        <v>2461</v>
      </c>
      <c r="B1922" s="5" t="s">
        <v>2386</v>
      </c>
      <c r="C1922" s="8">
        <v>12</v>
      </c>
      <c r="D1922" s="5" t="s">
        <v>155</v>
      </c>
      <c r="E1922" s="5"/>
      <c r="G1922" s="5"/>
      <c r="H1922" s="5"/>
    </row>
    <row r="1923" spans="1:9" x14ac:dyDescent="0.2">
      <c r="A1923" s="5" t="s">
        <v>2462</v>
      </c>
      <c r="B1923" s="5" t="s">
        <v>2388</v>
      </c>
      <c r="C1923" s="8">
        <v>87</v>
      </c>
      <c r="D1923" s="5" t="s">
        <v>155</v>
      </c>
      <c r="E1923" s="5"/>
      <c r="G1923" s="5"/>
      <c r="H1923" s="5"/>
    </row>
    <row r="1924" spans="1:9" x14ac:dyDescent="0.2">
      <c r="A1924" s="5" t="s">
        <v>2463</v>
      </c>
      <c r="B1924" s="5" t="s">
        <v>2390</v>
      </c>
      <c r="C1924" s="8">
        <v>41</v>
      </c>
      <c r="D1924" s="5" t="s">
        <v>155</v>
      </c>
      <c r="E1924" s="5"/>
      <c r="G1924" s="5"/>
      <c r="H1924" s="5"/>
    </row>
    <row r="1925" spans="1:9" x14ac:dyDescent="0.2">
      <c r="A1925" s="5" t="s">
        <v>2464</v>
      </c>
      <c r="B1925" s="5" t="s">
        <v>2392</v>
      </c>
      <c r="C1925" s="8">
        <v>72</v>
      </c>
      <c r="D1925" s="5" t="s">
        <v>155</v>
      </c>
      <c r="E1925" s="5"/>
      <c r="G1925" s="5"/>
      <c r="H1925" s="5"/>
    </row>
    <row r="1926" spans="1:9" x14ac:dyDescent="0.2">
      <c r="A1926" s="5"/>
      <c r="B1926" s="5" t="s">
        <v>2393</v>
      </c>
      <c r="C1926" s="5"/>
      <c r="D1926" s="5" t="s">
        <v>15</v>
      </c>
      <c r="E1926" s="5"/>
      <c r="G1926" s="5"/>
      <c r="H1926" s="5"/>
    </row>
    <row r="1927" spans="1:9" x14ac:dyDescent="0.2">
      <c r="A1927" s="5"/>
      <c r="B1927" s="5" t="s">
        <v>2394</v>
      </c>
      <c r="C1927" s="5"/>
      <c r="D1927" s="5" t="s">
        <v>322</v>
      </c>
      <c r="E1927" s="5"/>
      <c r="G1927" s="5"/>
      <c r="H1927" s="5"/>
    </row>
    <row r="1928" spans="1:9" x14ac:dyDescent="0.2">
      <c r="A1928" s="5" t="s">
        <v>2465</v>
      </c>
      <c r="B1928" s="5" t="s">
        <v>2396</v>
      </c>
      <c r="C1928" s="8">
        <v>0.72</v>
      </c>
      <c r="D1928" s="5" t="s">
        <v>382</v>
      </c>
      <c r="E1928" s="5"/>
      <c r="G1928" s="5"/>
      <c r="H1928" s="5"/>
    </row>
    <row r="1929" spans="1:9" x14ac:dyDescent="0.2">
      <c r="A1929" s="5" t="s">
        <v>2466</v>
      </c>
      <c r="B1929" s="5" t="s">
        <v>2398</v>
      </c>
      <c r="C1929" s="8">
        <v>12.14</v>
      </c>
      <c r="D1929" s="5" t="s">
        <v>382</v>
      </c>
      <c r="E1929" s="5"/>
      <c r="G1929" s="5"/>
      <c r="H1929" s="5"/>
    </row>
    <row r="1930" spans="1:9" x14ac:dyDescent="0.2">
      <c r="A1930" s="5" t="s">
        <v>2467</v>
      </c>
      <c r="B1930" s="5" t="s">
        <v>2400</v>
      </c>
      <c r="C1930" s="8">
        <v>0.1</v>
      </c>
      <c r="D1930" s="5" t="s">
        <v>382</v>
      </c>
      <c r="E1930" s="5"/>
      <c r="G1930" s="5"/>
      <c r="H1930" s="5"/>
    </row>
    <row r="1931" spans="1:9" x14ac:dyDescent="0.2">
      <c r="A1931" s="5"/>
      <c r="B1931" s="5" t="s">
        <v>2401</v>
      </c>
      <c r="C1931" s="5"/>
      <c r="D1931" s="5" t="s">
        <v>322</v>
      </c>
      <c r="E1931" s="5"/>
      <c r="G1931" s="5"/>
      <c r="H1931" s="5"/>
    </row>
    <row r="1932" spans="1:9" x14ac:dyDescent="0.2">
      <c r="A1932" s="5" t="s">
        <v>2468</v>
      </c>
      <c r="B1932" s="5" t="s">
        <v>2403</v>
      </c>
      <c r="C1932" s="8">
        <v>0.72</v>
      </c>
      <c r="D1932" s="5" t="s">
        <v>382</v>
      </c>
      <c r="E1932" s="5"/>
      <c r="G1932" s="5"/>
      <c r="H1932" s="5"/>
    </row>
    <row r="1933" spans="1:9" x14ac:dyDescent="0.2">
      <c r="A1933" s="5" t="s">
        <v>2469</v>
      </c>
      <c r="B1933" s="5" t="s">
        <v>2470</v>
      </c>
      <c r="C1933" s="8">
        <v>3.36</v>
      </c>
      <c r="D1933" s="5" t="s">
        <v>382</v>
      </c>
      <c r="E1933" s="5"/>
      <c r="G1933" s="5"/>
      <c r="H1933" s="5"/>
    </row>
    <row r="1934" spans="1:9" x14ac:dyDescent="0.2">
      <c r="A1934" s="5" t="s">
        <v>2471</v>
      </c>
      <c r="B1934" s="5" t="s">
        <v>2407</v>
      </c>
      <c r="C1934" s="8">
        <v>8.7799999999999994</v>
      </c>
      <c r="D1934" s="5" t="s">
        <v>382</v>
      </c>
      <c r="E1934" s="5"/>
      <c r="G1934" s="5"/>
      <c r="H1934" s="5"/>
    </row>
    <row r="1935" spans="1:9" x14ac:dyDescent="0.2">
      <c r="A1935" s="5" t="s">
        <v>2472</v>
      </c>
      <c r="B1935" s="5" t="s">
        <v>2409</v>
      </c>
      <c r="C1935" s="8">
        <v>0.1</v>
      </c>
      <c r="D1935" s="5" t="s">
        <v>382</v>
      </c>
      <c r="E1935" s="5"/>
      <c r="G1935" s="5"/>
      <c r="H1935" s="5"/>
    </row>
    <row r="1936" spans="1:9" x14ac:dyDescent="0.2">
      <c r="B1936" s="6" t="s">
        <v>2473</v>
      </c>
      <c r="C1936" s="6"/>
      <c r="D1936" s="6"/>
      <c r="E1936" s="6"/>
      <c r="F1936" s="9">
        <f>SUM(H1786:H1936)</f>
        <v>0</v>
      </c>
      <c r="G1936" s="6"/>
      <c r="I1936" s="9">
        <f>PRODUCT(F1936,G1936)</f>
        <v>0</v>
      </c>
    </row>
    <row r="1938" spans="1:8" x14ac:dyDescent="0.2">
      <c r="A1938" s="6" t="s">
        <v>2474</v>
      </c>
      <c r="B1938" s="6" t="s">
        <v>2475</v>
      </c>
    </row>
    <row r="1939" spans="1:8" x14ac:dyDescent="0.2">
      <c r="A1939" s="5"/>
      <c r="B1939" s="5" t="s">
        <v>64</v>
      </c>
      <c r="C1939" s="5"/>
      <c r="D1939" s="5" t="s">
        <v>13</v>
      </c>
      <c r="E1939" s="5"/>
      <c r="G1939" s="5"/>
      <c r="H1939" s="5"/>
    </row>
    <row r="1940" spans="1:8" x14ac:dyDescent="0.2">
      <c r="A1940" s="5" t="s">
        <v>2476</v>
      </c>
      <c r="B1940" s="5" t="s">
        <v>66</v>
      </c>
      <c r="C1940" s="5"/>
      <c r="D1940" s="5" t="s">
        <v>18</v>
      </c>
      <c r="E1940" s="5"/>
      <c r="G1940" s="5"/>
      <c r="H1940" s="5"/>
    </row>
    <row r="1941" spans="1:8" x14ac:dyDescent="0.2">
      <c r="A1941" s="5" t="s">
        <v>2477</v>
      </c>
      <c r="B1941" s="5" t="s">
        <v>68</v>
      </c>
      <c r="C1941" s="5"/>
      <c r="D1941" s="5" t="s">
        <v>18</v>
      </c>
      <c r="E1941" s="5"/>
      <c r="G1941" s="5"/>
      <c r="H1941" s="5"/>
    </row>
    <row r="1942" spans="1:8" x14ac:dyDescent="0.2">
      <c r="A1942" s="5"/>
      <c r="B1942" s="5" t="s">
        <v>71</v>
      </c>
      <c r="C1942" s="5"/>
      <c r="D1942" s="5" t="s">
        <v>13</v>
      </c>
      <c r="E1942" s="5"/>
      <c r="G1942" s="5"/>
      <c r="H1942" s="5"/>
    </row>
    <row r="1943" spans="1:8" x14ac:dyDescent="0.2">
      <c r="A1943" s="5" t="s">
        <v>2478</v>
      </c>
      <c r="B1943" s="5" t="s">
        <v>269</v>
      </c>
      <c r="C1943" s="5"/>
      <c r="D1943" s="5" t="s">
        <v>18</v>
      </c>
      <c r="E1943" s="5"/>
      <c r="G1943" s="5"/>
      <c r="H1943" s="5"/>
    </row>
    <row r="1944" spans="1:8" x14ac:dyDescent="0.2">
      <c r="A1944" s="5" t="s">
        <v>2479</v>
      </c>
      <c r="B1944" s="5" t="s">
        <v>2480</v>
      </c>
      <c r="C1944" s="5"/>
      <c r="D1944" s="5" t="s">
        <v>18</v>
      </c>
      <c r="E1944" s="5"/>
      <c r="G1944" s="5"/>
      <c r="H1944" s="5"/>
    </row>
    <row r="1945" spans="1:8" x14ac:dyDescent="0.2">
      <c r="A1945" s="5" t="s">
        <v>2481</v>
      </c>
      <c r="B1945" s="5" t="s">
        <v>2482</v>
      </c>
      <c r="C1945" s="5"/>
      <c r="D1945" s="5" t="s">
        <v>18</v>
      </c>
      <c r="E1945" s="5"/>
      <c r="G1945" s="5"/>
      <c r="H1945" s="5"/>
    </row>
    <row r="1946" spans="1:8" x14ac:dyDescent="0.2">
      <c r="A1946" s="5" t="s">
        <v>2483</v>
      </c>
      <c r="B1946" s="5" t="s">
        <v>2484</v>
      </c>
      <c r="C1946" s="5"/>
      <c r="D1946" s="5" t="s">
        <v>18</v>
      </c>
      <c r="E1946" s="5"/>
      <c r="G1946" s="5"/>
      <c r="H1946" s="5"/>
    </row>
    <row r="1947" spans="1:8" x14ac:dyDescent="0.2">
      <c r="A1947" s="5"/>
      <c r="B1947" s="5" t="s">
        <v>76</v>
      </c>
      <c r="C1947" s="5"/>
      <c r="D1947" s="5" t="s">
        <v>13</v>
      </c>
      <c r="E1947" s="5"/>
      <c r="G1947" s="5"/>
      <c r="H1947" s="5"/>
    </row>
    <row r="1948" spans="1:8" x14ac:dyDescent="0.2">
      <c r="A1948" s="5"/>
      <c r="B1948" s="5" t="s">
        <v>77</v>
      </c>
      <c r="C1948" s="5"/>
      <c r="D1948" s="5" t="s">
        <v>15</v>
      </c>
      <c r="E1948" s="5"/>
      <c r="G1948" s="5"/>
      <c r="H1948" s="5"/>
    </row>
    <row r="1949" spans="1:8" x14ac:dyDescent="0.2">
      <c r="A1949" s="5" t="s">
        <v>2485</v>
      </c>
      <c r="B1949" s="5" t="s">
        <v>2486</v>
      </c>
      <c r="C1949" s="5"/>
      <c r="D1949" s="5" t="s">
        <v>18</v>
      </c>
      <c r="E1949" s="5"/>
      <c r="G1949" s="5"/>
      <c r="H1949" s="5"/>
    </row>
    <row r="1950" spans="1:8" x14ac:dyDescent="0.2">
      <c r="A1950" s="5" t="s">
        <v>2487</v>
      </c>
      <c r="B1950" s="5" t="s">
        <v>2488</v>
      </c>
      <c r="C1950" s="5"/>
      <c r="D1950" s="5" t="s">
        <v>18</v>
      </c>
      <c r="E1950" s="5"/>
      <c r="G1950" s="5"/>
      <c r="H1950" s="5"/>
    </row>
    <row r="1951" spans="1:8" x14ac:dyDescent="0.2">
      <c r="A1951" s="5" t="s">
        <v>2489</v>
      </c>
      <c r="B1951" s="5" t="s">
        <v>2490</v>
      </c>
      <c r="C1951" s="5"/>
      <c r="D1951" s="5" t="s">
        <v>18</v>
      </c>
      <c r="E1951" s="5"/>
      <c r="G1951" s="5"/>
      <c r="H1951" s="5"/>
    </row>
    <row r="1952" spans="1:8" x14ac:dyDescent="0.2">
      <c r="A1952" s="5" t="s">
        <v>2491</v>
      </c>
      <c r="B1952" s="5" t="s">
        <v>2492</v>
      </c>
      <c r="C1952" s="5"/>
      <c r="D1952" s="5" t="s">
        <v>18</v>
      </c>
      <c r="E1952" s="5"/>
      <c r="G1952" s="5"/>
      <c r="H1952" s="5"/>
    </row>
    <row r="1953" spans="1:8" x14ac:dyDescent="0.2">
      <c r="A1953" s="5" t="s">
        <v>2493</v>
      </c>
      <c r="B1953" s="5" t="s">
        <v>2494</v>
      </c>
      <c r="C1953" s="5"/>
      <c r="D1953" s="5" t="s">
        <v>18</v>
      </c>
      <c r="E1953" s="5"/>
      <c r="G1953" s="5"/>
      <c r="H1953" s="5"/>
    </row>
    <row r="1954" spans="1:8" x14ac:dyDescent="0.2">
      <c r="A1954" s="5" t="s">
        <v>2495</v>
      </c>
      <c r="B1954" s="5" t="s">
        <v>2496</v>
      </c>
      <c r="C1954" s="5"/>
      <c r="D1954" s="5" t="s">
        <v>18</v>
      </c>
      <c r="E1954" s="5"/>
      <c r="G1954" s="5"/>
      <c r="H1954" s="5"/>
    </row>
    <row r="1955" spans="1:8" x14ac:dyDescent="0.2">
      <c r="A1955" s="5" t="s">
        <v>2497</v>
      </c>
      <c r="B1955" s="5" t="s">
        <v>299</v>
      </c>
      <c r="C1955" s="5"/>
      <c r="D1955" s="5" t="s">
        <v>18</v>
      </c>
      <c r="E1955" s="5"/>
      <c r="G1955" s="5"/>
      <c r="H1955" s="5"/>
    </row>
    <row r="1956" spans="1:8" x14ac:dyDescent="0.2">
      <c r="A1956" s="5"/>
      <c r="B1956" s="5" t="s">
        <v>94</v>
      </c>
      <c r="C1956" s="5"/>
      <c r="D1956" s="5" t="s">
        <v>13</v>
      </c>
      <c r="E1956" s="5"/>
      <c r="G1956" s="5"/>
      <c r="H1956" s="5"/>
    </row>
    <row r="1957" spans="1:8" x14ac:dyDescent="0.2">
      <c r="A1957" s="5" t="s">
        <v>2498</v>
      </c>
      <c r="B1957" s="5" t="s">
        <v>2499</v>
      </c>
      <c r="C1957" s="8">
        <v>1</v>
      </c>
      <c r="D1957" s="5" t="s">
        <v>97</v>
      </c>
      <c r="E1957" s="5"/>
      <c r="G1957" s="5"/>
      <c r="H1957" s="5"/>
    </row>
    <row r="1958" spans="1:8" x14ac:dyDescent="0.2">
      <c r="A1958" s="5" t="s">
        <v>2500</v>
      </c>
      <c r="B1958" s="5" t="s">
        <v>2501</v>
      </c>
      <c r="C1958" s="8">
        <v>1</v>
      </c>
      <c r="D1958" s="5" t="s">
        <v>97</v>
      </c>
      <c r="E1958" s="5"/>
      <c r="G1958" s="5"/>
      <c r="H1958" s="5"/>
    </row>
    <row r="1959" spans="1:8" x14ac:dyDescent="0.2">
      <c r="A1959" s="5" t="s">
        <v>2502</v>
      </c>
      <c r="B1959" s="5" t="s">
        <v>2503</v>
      </c>
      <c r="C1959" s="8">
        <v>1</v>
      </c>
      <c r="D1959" s="5" t="s">
        <v>97</v>
      </c>
      <c r="E1959" s="5"/>
      <c r="G1959" s="5"/>
      <c r="H1959" s="5"/>
    </row>
    <row r="1960" spans="1:8" x14ac:dyDescent="0.2">
      <c r="A1960" s="5" t="s">
        <v>2504</v>
      </c>
      <c r="B1960" s="5" t="s">
        <v>216</v>
      </c>
      <c r="C1960" s="8">
        <v>1</v>
      </c>
      <c r="D1960" s="5" t="s">
        <v>97</v>
      </c>
      <c r="E1960" s="5"/>
      <c r="G1960" s="5"/>
      <c r="H1960" s="5"/>
    </row>
    <row r="1961" spans="1:8" x14ac:dyDescent="0.2">
      <c r="A1961" s="5" t="s">
        <v>2505</v>
      </c>
      <c r="B1961" s="5" t="s">
        <v>2506</v>
      </c>
      <c r="C1961" s="8">
        <v>1</v>
      </c>
      <c r="D1961" s="5" t="s">
        <v>97</v>
      </c>
      <c r="E1961" s="5"/>
      <c r="G1961" s="5"/>
      <c r="H1961" s="5"/>
    </row>
    <row r="1962" spans="1:8" x14ac:dyDescent="0.2">
      <c r="A1962" s="5" t="s">
        <v>2507</v>
      </c>
      <c r="B1962" s="5" t="s">
        <v>2508</v>
      </c>
      <c r="C1962" s="8">
        <v>1</v>
      </c>
      <c r="D1962" s="5" t="s">
        <v>97</v>
      </c>
      <c r="E1962" s="5"/>
      <c r="G1962" s="5"/>
      <c r="H1962" s="5"/>
    </row>
    <row r="1963" spans="1:8" x14ac:dyDescent="0.2">
      <c r="A1963" s="5" t="s">
        <v>2509</v>
      </c>
      <c r="B1963" s="5" t="s">
        <v>2510</v>
      </c>
      <c r="C1963" s="8">
        <v>1</v>
      </c>
      <c r="D1963" s="5" t="s">
        <v>97</v>
      </c>
      <c r="E1963" s="5"/>
      <c r="G1963" s="5"/>
      <c r="H1963" s="5"/>
    </row>
    <row r="1964" spans="1:8" x14ac:dyDescent="0.2">
      <c r="A1964" s="5" t="s">
        <v>2511</v>
      </c>
      <c r="B1964" s="5" t="s">
        <v>2512</v>
      </c>
      <c r="C1964" s="8">
        <v>1</v>
      </c>
      <c r="D1964" s="5" t="s">
        <v>97</v>
      </c>
      <c r="E1964" s="5"/>
      <c r="G1964" s="5"/>
      <c r="H1964" s="5"/>
    </row>
    <row r="1965" spans="1:8" x14ac:dyDescent="0.2">
      <c r="A1965" s="5"/>
      <c r="B1965" s="5" t="s">
        <v>135</v>
      </c>
      <c r="C1965" s="5"/>
      <c r="D1965" s="5" t="s">
        <v>13</v>
      </c>
      <c r="E1965" s="5"/>
      <c r="G1965" s="5"/>
      <c r="H1965" s="5"/>
    </row>
    <row r="1966" spans="1:8" x14ac:dyDescent="0.2">
      <c r="A1966" s="5" t="s">
        <v>2513</v>
      </c>
      <c r="B1966" s="5" t="s">
        <v>2514</v>
      </c>
      <c r="C1966" s="5"/>
      <c r="D1966" s="5" t="s">
        <v>18</v>
      </c>
      <c r="E1966" s="5"/>
      <c r="G1966" s="5"/>
      <c r="H1966" s="5"/>
    </row>
    <row r="1967" spans="1:8" x14ac:dyDescent="0.2">
      <c r="A1967" s="5" t="s">
        <v>2515</v>
      </c>
      <c r="B1967" s="5" t="s">
        <v>2516</v>
      </c>
      <c r="C1967" s="5"/>
      <c r="D1967" s="5" t="s">
        <v>18</v>
      </c>
      <c r="E1967" s="5"/>
      <c r="G1967" s="5"/>
      <c r="H1967" s="5"/>
    </row>
    <row r="1968" spans="1:8" x14ac:dyDescent="0.2">
      <c r="A1968" s="5"/>
      <c r="B1968" s="5" t="s">
        <v>38</v>
      </c>
      <c r="C1968" s="5"/>
      <c r="D1968" s="5" t="s">
        <v>13</v>
      </c>
      <c r="E1968" s="5"/>
      <c r="G1968" s="5"/>
      <c r="H1968" s="5"/>
    </row>
    <row r="1969" spans="1:8" x14ac:dyDescent="0.2">
      <c r="A1969" s="5"/>
      <c r="B1969" s="5" t="s">
        <v>2517</v>
      </c>
      <c r="C1969" s="5"/>
      <c r="D1969" s="5" t="s">
        <v>15</v>
      </c>
      <c r="E1969" s="5"/>
      <c r="G1969" s="5"/>
      <c r="H1969" s="5"/>
    </row>
    <row r="1970" spans="1:8" x14ac:dyDescent="0.2">
      <c r="A1970" s="5"/>
      <c r="B1970" s="5" t="s">
        <v>2518</v>
      </c>
      <c r="C1970" s="5"/>
      <c r="D1970" s="5" t="s">
        <v>322</v>
      </c>
      <c r="E1970" s="5"/>
      <c r="G1970" s="5"/>
      <c r="H1970" s="5"/>
    </row>
    <row r="1971" spans="1:8" x14ac:dyDescent="0.2">
      <c r="A1971" s="5" t="s">
        <v>2519</v>
      </c>
      <c r="B1971" s="5" t="s">
        <v>2520</v>
      </c>
      <c r="C1971" s="8">
        <v>1143</v>
      </c>
      <c r="D1971" s="5" t="s">
        <v>42</v>
      </c>
      <c r="E1971" s="5"/>
      <c r="G1971" s="5"/>
      <c r="H1971" s="5"/>
    </row>
    <row r="1972" spans="1:8" x14ac:dyDescent="0.2">
      <c r="A1972" s="5" t="s">
        <v>2521</v>
      </c>
      <c r="B1972" s="5" t="s">
        <v>2522</v>
      </c>
      <c r="C1972" s="8">
        <v>123</v>
      </c>
      <c r="D1972" s="5" t="s">
        <v>155</v>
      </c>
      <c r="E1972" s="5"/>
      <c r="G1972" s="5"/>
      <c r="H1972" s="5"/>
    </row>
    <row r="1973" spans="1:8" x14ac:dyDescent="0.2">
      <c r="A1973" s="5"/>
      <c r="B1973" s="5" t="s">
        <v>2523</v>
      </c>
      <c r="C1973" s="5"/>
      <c r="D1973" s="5" t="s">
        <v>15</v>
      </c>
      <c r="E1973" s="5"/>
      <c r="G1973" s="5"/>
      <c r="H1973" s="5"/>
    </row>
    <row r="1974" spans="1:8" x14ac:dyDescent="0.2">
      <c r="A1974" s="5"/>
      <c r="B1974" s="5" t="s">
        <v>2524</v>
      </c>
      <c r="C1974" s="5"/>
      <c r="D1974" s="5" t="s">
        <v>322</v>
      </c>
      <c r="E1974" s="5"/>
      <c r="G1974" s="5"/>
      <c r="H1974" s="5"/>
    </row>
    <row r="1975" spans="1:8" x14ac:dyDescent="0.2">
      <c r="A1975" s="5" t="s">
        <v>2525</v>
      </c>
      <c r="B1975" s="5" t="s">
        <v>2526</v>
      </c>
      <c r="C1975" s="8">
        <v>21</v>
      </c>
      <c r="D1975" s="5" t="s">
        <v>42</v>
      </c>
      <c r="E1975" s="5"/>
      <c r="G1975" s="5"/>
      <c r="H1975" s="5"/>
    </row>
    <row r="1976" spans="1:8" x14ac:dyDescent="0.2">
      <c r="A1976" s="5"/>
      <c r="B1976" s="5" t="s">
        <v>2527</v>
      </c>
      <c r="C1976" s="5"/>
      <c r="D1976" s="5" t="s">
        <v>15</v>
      </c>
      <c r="E1976" s="5"/>
      <c r="G1976" s="5"/>
      <c r="H1976" s="5"/>
    </row>
    <row r="1977" spans="1:8" x14ac:dyDescent="0.2">
      <c r="A1977" s="5"/>
      <c r="B1977" s="5" t="s">
        <v>2528</v>
      </c>
      <c r="C1977" s="5"/>
      <c r="D1977" s="5" t="s">
        <v>322</v>
      </c>
      <c r="E1977" s="5"/>
      <c r="G1977" s="5"/>
      <c r="H1977" s="5"/>
    </row>
    <row r="1978" spans="1:8" x14ac:dyDescent="0.2">
      <c r="A1978" s="5" t="s">
        <v>2529</v>
      </c>
      <c r="B1978" s="5" t="s">
        <v>2520</v>
      </c>
      <c r="C1978" s="8">
        <v>1143</v>
      </c>
      <c r="D1978" s="5" t="s">
        <v>42</v>
      </c>
      <c r="E1978" s="5"/>
      <c r="G1978" s="5"/>
      <c r="H1978" s="5"/>
    </row>
    <row r="1979" spans="1:8" x14ac:dyDescent="0.2">
      <c r="A1979" s="5"/>
      <c r="B1979" s="5" t="s">
        <v>2530</v>
      </c>
      <c r="C1979" s="5"/>
      <c r="D1979" s="5" t="s">
        <v>15</v>
      </c>
      <c r="E1979" s="5"/>
      <c r="G1979" s="5"/>
      <c r="H1979" s="5"/>
    </row>
    <row r="1980" spans="1:8" x14ac:dyDescent="0.2">
      <c r="A1980" s="5"/>
      <c r="B1980" s="5" t="s">
        <v>2528</v>
      </c>
      <c r="C1980" s="5"/>
      <c r="D1980" s="5" t="s">
        <v>322</v>
      </c>
      <c r="E1980" s="5"/>
      <c r="G1980" s="5"/>
      <c r="H1980" s="5"/>
    </row>
    <row r="1981" spans="1:8" x14ac:dyDescent="0.2">
      <c r="A1981" s="5" t="s">
        <v>2531</v>
      </c>
      <c r="B1981" s="5" t="s">
        <v>2520</v>
      </c>
      <c r="C1981" s="8">
        <v>1143</v>
      </c>
      <c r="D1981" s="5" t="s">
        <v>42</v>
      </c>
      <c r="E1981" s="5"/>
      <c r="G1981" s="5"/>
      <c r="H1981" s="5"/>
    </row>
    <row r="1982" spans="1:8" x14ac:dyDescent="0.2">
      <c r="A1982" s="5"/>
      <c r="B1982" s="5" t="s">
        <v>2532</v>
      </c>
      <c r="C1982" s="5"/>
      <c r="D1982" s="5" t="s">
        <v>15</v>
      </c>
      <c r="E1982" s="5"/>
      <c r="G1982" s="5"/>
      <c r="H1982" s="5"/>
    </row>
    <row r="1983" spans="1:8" x14ac:dyDescent="0.2">
      <c r="A1983" s="5"/>
      <c r="B1983" s="5" t="s">
        <v>2533</v>
      </c>
      <c r="C1983" s="5"/>
      <c r="D1983" s="5" t="s">
        <v>322</v>
      </c>
      <c r="E1983" s="5"/>
      <c r="G1983" s="5"/>
      <c r="H1983" s="5"/>
    </row>
    <row r="1984" spans="1:8" x14ac:dyDescent="0.2">
      <c r="A1984" s="5"/>
      <c r="B1984" s="5" t="s">
        <v>2534</v>
      </c>
      <c r="C1984" s="5"/>
      <c r="D1984" s="5" t="s">
        <v>366</v>
      </c>
      <c r="E1984" s="5"/>
      <c r="G1984" s="5"/>
      <c r="H1984" s="5"/>
    </row>
    <row r="1985" spans="1:8" x14ac:dyDescent="0.2">
      <c r="A1985" s="5" t="s">
        <v>2535</v>
      </c>
      <c r="B1985" s="5" t="s">
        <v>2520</v>
      </c>
      <c r="C1985" s="8">
        <v>123</v>
      </c>
      <c r="D1985" s="5" t="s">
        <v>155</v>
      </c>
      <c r="E1985" s="5"/>
      <c r="G1985" s="5"/>
      <c r="H1985" s="5"/>
    </row>
    <row r="1986" spans="1:8" x14ac:dyDescent="0.2">
      <c r="A1986" s="5"/>
      <c r="B1986" s="5" t="s">
        <v>2536</v>
      </c>
      <c r="C1986" s="5"/>
      <c r="D1986" s="5" t="s">
        <v>366</v>
      </c>
      <c r="E1986" s="5"/>
      <c r="G1986" s="5"/>
      <c r="H1986" s="5"/>
    </row>
    <row r="1987" spans="1:8" x14ac:dyDescent="0.2">
      <c r="A1987" s="5" t="s">
        <v>2537</v>
      </c>
      <c r="B1987" s="5" t="s">
        <v>2520</v>
      </c>
      <c r="C1987" s="8">
        <v>62</v>
      </c>
      <c r="D1987" s="5" t="s">
        <v>155</v>
      </c>
      <c r="E1987" s="5"/>
      <c r="G1987" s="5"/>
      <c r="H1987" s="5"/>
    </row>
    <row r="1988" spans="1:8" x14ac:dyDescent="0.2">
      <c r="A1988" s="5"/>
      <c r="B1988" s="5" t="s">
        <v>2538</v>
      </c>
      <c r="C1988" s="5"/>
      <c r="D1988" s="5" t="s">
        <v>15</v>
      </c>
      <c r="E1988" s="5"/>
      <c r="G1988" s="5"/>
      <c r="H1988" s="5"/>
    </row>
    <row r="1989" spans="1:8" x14ac:dyDescent="0.2">
      <c r="A1989" s="5"/>
      <c r="B1989" s="5" t="s">
        <v>2539</v>
      </c>
      <c r="C1989" s="5"/>
      <c r="D1989" s="5" t="s">
        <v>322</v>
      </c>
      <c r="E1989" s="5"/>
      <c r="G1989" s="5"/>
      <c r="H1989" s="5"/>
    </row>
    <row r="1990" spans="1:8" x14ac:dyDescent="0.2">
      <c r="A1990" s="5" t="s">
        <v>2540</v>
      </c>
      <c r="B1990" s="5" t="s">
        <v>2520</v>
      </c>
      <c r="C1990" s="8">
        <v>51</v>
      </c>
      <c r="D1990" s="5" t="s">
        <v>155</v>
      </c>
      <c r="E1990" s="5"/>
      <c r="G1990" s="5"/>
      <c r="H1990" s="5"/>
    </row>
    <row r="1991" spans="1:8" x14ac:dyDescent="0.2">
      <c r="A1991" s="5"/>
      <c r="B1991" s="5" t="s">
        <v>2541</v>
      </c>
      <c r="C1991" s="5"/>
      <c r="D1991" s="5" t="s">
        <v>322</v>
      </c>
      <c r="E1991" s="5"/>
      <c r="G1991" s="5"/>
      <c r="H1991" s="5"/>
    </row>
    <row r="1992" spans="1:8" x14ac:dyDescent="0.2">
      <c r="A1992" s="5" t="s">
        <v>2542</v>
      </c>
      <c r="B1992" s="5" t="s">
        <v>2520</v>
      </c>
      <c r="C1992" s="8">
        <v>488</v>
      </c>
      <c r="D1992" s="5" t="s">
        <v>155</v>
      </c>
      <c r="E1992" s="5"/>
      <c r="G1992" s="5"/>
      <c r="H1992" s="5"/>
    </row>
    <row r="1993" spans="1:8" x14ac:dyDescent="0.2">
      <c r="A1993" s="5"/>
      <c r="B1993" s="5" t="s">
        <v>2543</v>
      </c>
      <c r="C1993" s="5"/>
      <c r="D1993" s="5" t="s">
        <v>322</v>
      </c>
      <c r="E1993" s="5"/>
      <c r="G1993" s="5"/>
      <c r="H1993" s="5"/>
    </row>
    <row r="1994" spans="1:8" x14ac:dyDescent="0.2">
      <c r="A1994" s="5" t="s">
        <v>2544</v>
      </c>
      <c r="B1994" s="5" t="s">
        <v>2520</v>
      </c>
      <c r="C1994" s="8">
        <v>4</v>
      </c>
      <c r="D1994" s="5" t="s">
        <v>155</v>
      </c>
      <c r="E1994" s="5"/>
      <c r="G1994" s="5"/>
      <c r="H1994" s="5"/>
    </row>
    <row r="1995" spans="1:8" x14ac:dyDescent="0.2">
      <c r="A1995" s="5"/>
      <c r="B1995" s="5" t="s">
        <v>2545</v>
      </c>
      <c r="C1995" s="5"/>
      <c r="D1995" s="5" t="s">
        <v>322</v>
      </c>
      <c r="E1995" s="5"/>
      <c r="G1995" s="5"/>
      <c r="H1995" s="5"/>
    </row>
    <row r="1996" spans="1:8" x14ac:dyDescent="0.2">
      <c r="A1996" s="5" t="s">
        <v>2546</v>
      </c>
      <c r="B1996" s="5" t="s">
        <v>2520</v>
      </c>
      <c r="C1996" s="8">
        <v>129</v>
      </c>
      <c r="D1996" s="5" t="s">
        <v>155</v>
      </c>
      <c r="E1996" s="5"/>
      <c r="G1996" s="5"/>
      <c r="H1996" s="5"/>
    </row>
    <row r="1997" spans="1:8" x14ac:dyDescent="0.2">
      <c r="A1997" s="5"/>
      <c r="B1997" s="5" t="s">
        <v>2547</v>
      </c>
      <c r="C1997" s="5"/>
      <c r="D1997" s="5" t="s">
        <v>322</v>
      </c>
      <c r="E1997" s="5"/>
      <c r="G1997" s="5"/>
      <c r="H1997" s="5"/>
    </row>
    <row r="1998" spans="1:8" x14ac:dyDescent="0.2">
      <c r="A1998" s="5" t="s">
        <v>2548</v>
      </c>
      <c r="B1998" s="5" t="s">
        <v>2520</v>
      </c>
      <c r="C1998" s="8">
        <v>19</v>
      </c>
      <c r="D1998" s="5" t="s">
        <v>155</v>
      </c>
      <c r="E1998" s="5"/>
      <c r="G1998" s="5"/>
      <c r="H1998" s="5"/>
    </row>
    <row r="1999" spans="1:8" x14ac:dyDescent="0.2">
      <c r="A1999" s="5"/>
      <c r="B1999" s="5" t="s">
        <v>2549</v>
      </c>
      <c r="C1999" s="5"/>
      <c r="D1999" s="5" t="s">
        <v>322</v>
      </c>
      <c r="E1999" s="5"/>
      <c r="G1999" s="5"/>
      <c r="H1999" s="5"/>
    </row>
    <row r="2000" spans="1:8" x14ac:dyDescent="0.2">
      <c r="A2000" s="5" t="s">
        <v>2550</v>
      </c>
      <c r="B2000" s="5" t="s">
        <v>2520</v>
      </c>
      <c r="C2000" s="8">
        <v>7</v>
      </c>
      <c r="D2000" s="5" t="s">
        <v>42</v>
      </c>
      <c r="E2000" s="5"/>
      <c r="G2000" s="5"/>
      <c r="H2000" s="5"/>
    </row>
    <row r="2001" spans="1:8" x14ac:dyDescent="0.2">
      <c r="A2001" s="5"/>
      <c r="B2001" s="5" t="s">
        <v>2551</v>
      </c>
      <c r="C2001" s="5"/>
      <c r="D2001" s="5" t="s">
        <v>322</v>
      </c>
      <c r="E2001" s="5"/>
      <c r="G2001" s="5"/>
      <c r="H2001" s="5"/>
    </row>
    <row r="2002" spans="1:8" x14ac:dyDescent="0.2">
      <c r="A2002" s="5" t="s">
        <v>2552</v>
      </c>
      <c r="B2002" s="5" t="s">
        <v>2520</v>
      </c>
      <c r="C2002" s="8">
        <v>1</v>
      </c>
      <c r="D2002" s="5" t="s">
        <v>162</v>
      </c>
      <c r="E2002" s="5"/>
      <c r="G2002" s="5"/>
      <c r="H2002" s="5"/>
    </row>
    <row r="2003" spans="1:8" x14ac:dyDescent="0.2">
      <c r="A2003" s="5"/>
      <c r="B2003" s="5" t="s">
        <v>2553</v>
      </c>
      <c r="C2003" s="5"/>
      <c r="D2003" s="5" t="s">
        <v>322</v>
      </c>
      <c r="E2003" s="5"/>
      <c r="G2003" s="5"/>
      <c r="H2003" s="5"/>
    </row>
    <row r="2004" spans="1:8" x14ac:dyDescent="0.2">
      <c r="A2004" s="5" t="s">
        <v>2554</v>
      </c>
      <c r="B2004" s="5" t="s">
        <v>2520</v>
      </c>
      <c r="C2004" s="8">
        <v>151</v>
      </c>
      <c r="D2004" s="5" t="s">
        <v>155</v>
      </c>
      <c r="E2004" s="5"/>
      <c r="G2004" s="5"/>
      <c r="H2004" s="5"/>
    </row>
    <row r="2005" spans="1:8" x14ac:dyDescent="0.2">
      <c r="A2005" s="5"/>
      <c r="B2005" s="5" t="s">
        <v>2555</v>
      </c>
      <c r="C2005" s="5"/>
      <c r="D2005" s="5" t="s">
        <v>322</v>
      </c>
      <c r="E2005" s="5"/>
      <c r="G2005" s="5"/>
      <c r="H2005" s="5"/>
    </row>
    <row r="2006" spans="1:8" x14ac:dyDescent="0.2">
      <c r="A2006" s="5" t="s">
        <v>2556</v>
      </c>
      <c r="B2006" s="5" t="s">
        <v>2520</v>
      </c>
      <c r="C2006" s="8">
        <v>7</v>
      </c>
      <c r="D2006" s="5" t="s">
        <v>42</v>
      </c>
      <c r="E2006" s="5"/>
      <c r="G2006" s="5"/>
      <c r="H2006" s="5"/>
    </row>
    <row r="2007" spans="1:8" x14ac:dyDescent="0.2">
      <c r="A2007" s="5"/>
      <c r="B2007" s="5" t="s">
        <v>2557</v>
      </c>
      <c r="C2007" s="5"/>
      <c r="D2007" s="5" t="s">
        <v>322</v>
      </c>
      <c r="E2007" s="5"/>
      <c r="G2007" s="5"/>
      <c r="H2007" s="5"/>
    </row>
    <row r="2008" spans="1:8" x14ac:dyDescent="0.2">
      <c r="A2008" s="5" t="s">
        <v>2558</v>
      </c>
      <c r="B2008" s="5" t="s">
        <v>2559</v>
      </c>
      <c r="C2008" s="8">
        <v>2</v>
      </c>
      <c r="D2008" s="5" t="s">
        <v>162</v>
      </c>
      <c r="E2008" s="5"/>
      <c r="G2008" s="5"/>
      <c r="H2008" s="5"/>
    </row>
    <row r="2009" spans="1:8" x14ac:dyDescent="0.2">
      <c r="A2009" s="5" t="s">
        <v>2560</v>
      </c>
      <c r="B2009" s="5" t="s">
        <v>2520</v>
      </c>
      <c r="C2009" s="8">
        <v>32</v>
      </c>
      <c r="D2009" s="5" t="s">
        <v>162</v>
      </c>
      <c r="E2009" s="5"/>
      <c r="G2009" s="5"/>
      <c r="H2009" s="5"/>
    </row>
    <row r="2010" spans="1:8" x14ac:dyDescent="0.2">
      <c r="A2010" s="5"/>
      <c r="B2010" s="5" t="s">
        <v>2561</v>
      </c>
      <c r="C2010" s="5"/>
      <c r="D2010" s="5" t="s">
        <v>15</v>
      </c>
      <c r="E2010" s="5"/>
      <c r="G2010" s="5"/>
      <c r="H2010" s="5"/>
    </row>
    <row r="2011" spans="1:8" x14ac:dyDescent="0.2">
      <c r="A2011" s="5"/>
      <c r="B2011" s="5" t="s">
        <v>2562</v>
      </c>
      <c r="C2011" s="5"/>
      <c r="D2011" s="5" t="s">
        <v>322</v>
      </c>
      <c r="E2011" s="5"/>
      <c r="G2011" s="5"/>
      <c r="H2011" s="5"/>
    </row>
    <row r="2012" spans="1:8" x14ac:dyDescent="0.2">
      <c r="A2012" s="5" t="s">
        <v>2563</v>
      </c>
      <c r="B2012" s="5" t="s">
        <v>2520</v>
      </c>
      <c r="C2012" s="8">
        <v>1</v>
      </c>
      <c r="D2012" s="5" t="s">
        <v>162</v>
      </c>
      <c r="E2012" s="5"/>
      <c r="G2012" s="5"/>
      <c r="H2012" s="5"/>
    </row>
    <row r="2013" spans="1:8" x14ac:dyDescent="0.2">
      <c r="A2013" s="5"/>
      <c r="B2013" s="5" t="s">
        <v>2564</v>
      </c>
      <c r="C2013" s="5"/>
      <c r="D2013" s="5" t="s">
        <v>322</v>
      </c>
      <c r="E2013" s="5"/>
      <c r="G2013" s="5"/>
      <c r="H2013" s="5"/>
    </row>
    <row r="2014" spans="1:8" x14ac:dyDescent="0.2">
      <c r="A2014" s="5" t="s">
        <v>2565</v>
      </c>
      <c r="B2014" s="5" t="s">
        <v>2520</v>
      </c>
      <c r="C2014" s="8">
        <v>1</v>
      </c>
      <c r="D2014" s="5" t="s">
        <v>162</v>
      </c>
      <c r="E2014" s="5"/>
      <c r="G2014" s="5"/>
      <c r="H2014" s="5"/>
    </row>
    <row r="2015" spans="1:8" x14ac:dyDescent="0.2">
      <c r="A2015" s="5"/>
      <c r="B2015" s="5" t="s">
        <v>2566</v>
      </c>
      <c r="C2015" s="5"/>
      <c r="D2015" s="5" t="s">
        <v>322</v>
      </c>
      <c r="E2015" s="5"/>
      <c r="G2015" s="5"/>
      <c r="H2015" s="5"/>
    </row>
    <row r="2016" spans="1:8" x14ac:dyDescent="0.2">
      <c r="A2016" s="5" t="s">
        <v>2567</v>
      </c>
      <c r="B2016" s="5" t="s">
        <v>2520</v>
      </c>
      <c r="C2016" s="8">
        <v>10</v>
      </c>
      <c r="D2016" s="5" t="s">
        <v>42</v>
      </c>
      <c r="E2016" s="5"/>
      <c r="G2016" s="5"/>
      <c r="H2016" s="5"/>
    </row>
    <row r="2017" spans="1:8" x14ac:dyDescent="0.2">
      <c r="A2017" s="5"/>
      <c r="B2017" s="5" t="s">
        <v>2568</v>
      </c>
      <c r="C2017" s="5"/>
      <c r="D2017" s="5" t="s">
        <v>15</v>
      </c>
      <c r="E2017" s="5"/>
      <c r="G2017" s="5"/>
      <c r="H2017" s="5"/>
    </row>
    <row r="2018" spans="1:8" x14ac:dyDescent="0.2">
      <c r="A2018" s="5" t="s">
        <v>2569</v>
      </c>
      <c r="B2018" s="5" t="s">
        <v>2570</v>
      </c>
      <c r="C2018" s="8">
        <v>1</v>
      </c>
      <c r="D2018" s="5" t="s">
        <v>97</v>
      </c>
      <c r="E2018" s="5"/>
      <c r="G2018" s="5"/>
      <c r="H2018" s="5"/>
    </row>
    <row r="2019" spans="1:8" x14ac:dyDescent="0.2">
      <c r="A2019" s="5"/>
      <c r="B2019" s="5" t="s">
        <v>53</v>
      </c>
      <c r="C2019" s="5"/>
      <c r="D2019" s="5" t="s">
        <v>13</v>
      </c>
      <c r="E2019" s="5"/>
      <c r="G2019" s="5"/>
      <c r="H2019" s="5"/>
    </row>
    <row r="2020" spans="1:8" x14ac:dyDescent="0.2">
      <c r="A2020" s="5"/>
      <c r="B2020" s="5" t="s">
        <v>2517</v>
      </c>
      <c r="C2020" s="5"/>
      <c r="D2020" s="5" t="s">
        <v>15</v>
      </c>
      <c r="E2020" s="5"/>
      <c r="G2020" s="5"/>
      <c r="H2020" s="5"/>
    </row>
    <row r="2021" spans="1:8" x14ac:dyDescent="0.2">
      <c r="A2021" s="5"/>
      <c r="B2021" s="5" t="s">
        <v>2518</v>
      </c>
      <c r="C2021" s="5"/>
      <c r="D2021" s="5" t="s">
        <v>322</v>
      </c>
      <c r="E2021" s="5"/>
      <c r="G2021" s="5"/>
      <c r="H2021" s="5"/>
    </row>
    <row r="2022" spans="1:8" x14ac:dyDescent="0.2">
      <c r="A2022" s="5" t="s">
        <v>2571</v>
      </c>
      <c r="B2022" s="5" t="s">
        <v>2572</v>
      </c>
      <c r="C2022" s="8">
        <v>107</v>
      </c>
      <c r="D2022" s="5" t="s">
        <v>42</v>
      </c>
      <c r="E2022" s="5"/>
      <c r="G2022" s="5"/>
      <c r="H2022" s="5"/>
    </row>
    <row r="2023" spans="1:8" x14ac:dyDescent="0.2">
      <c r="A2023" s="5" t="s">
        <v>2573</v>
      </c>
      <c r="B2023" s="5" t="s">
        <v>2574</v>
      </c>
      <c r="C2023" s="8">
        <v>152</v>
      </c>
      <c r="D2023" s="5" t="s">
        <v>42</v>
      </c>
      <c r="E2023" s="5"/>
      <c r="G2023" s="5"/>
      <c r="H2023" s="5"/>
    </row>
    <row r="2024" spans="1:8" x14ac:dyDescent="0.2">
      <c r="A2024" s="5" t="s">
        <v>2575</v>
      </c>
      <c r="B2024" s="5" t="s">
        <v>2522</v>
      </c>
      <c r="C2024" s="8">
        <v>36</v>
      </c>
      <c r="D2024" s="5" t="s">
        <v>155</v>
      </c>
      <c r="E2024" s="5"/>
      <c r="G2024" s="5"/>
      <c r="H2024" s="5"/>
    </row>
    <row r="2025" spans="1:8" x14ac:dyDescent="0.2">
      <c r="A2025" s="5" t="s">
        <v>2576</v>
      </c>
      <c r="B2025" s="5" t="s">
        <v>2577</v>
      </c>
      <c r="C2025" s="8">
        <v>6</v>
      </c>
      <c r="D2025" s="5" t="s">
        <v>155</v>
      </c>
      <c r="E2025" s="5"/>
      <c r="G2025" s="5"/>
      <c r="H2025" s="5"/>
    </row>
    <row r="2026" spans="1:8" x14ac:dyDescent="0.2">
      <c r="A2026" s="5"/>
      <c r="B2026" s="5" t="s">
        <v>2527</v>
      </c>
      <c r="C2026" s="5"/>
      <c r="D2026" s="5" t="s">
        <v>15</v>
      </c>
      <c r="E2026" s="5"/>
      <c r="G2026" s="5"/>
      <c r="H2026" s="5"/>
    </row>
    <row r="2027" spans="1:8" x14ac:dyDescent="0.2">
      <c r="A2027" s="5"/>
      <c r="B2027" s="5" t="s">
        <v>2528</v>
      </c>
      <c r="C2027" s="5"/>
      <c r="D2027" s="5" t="s">
        <v>322</v>
      </c>
      <c r="E2027" s="5"/>
      <c r="G2027" s="5"/>
      <c r="H2027" s="5"/>
    </row>
    <row r="2028" spans="1:8" x14ac:dyDescent="0.2">
      <c r="A2028" s="5" t="s">
        <v>2578</v>
      </c>
      <c r="B2028" s="5" t="s">
        <v>2572</v>
      </c>
      <c r="C2028" s="8">
        <v>107</v>
      </c>
      <c r="D2028" s="5" t="s">
        <v>42</v>
      </c>
      <c r="E2028" s="5"/>
      <c r="G2028" s="5"/>
      <c r="H2028" s="5"/>
    </row>
    <row r="2029" spans="1:8" x14ac:dyDescent="0.2">
      <c r="A2029" s="5" t="s">
        <v>2579</v>
      </c>
      <c r="B2029" s="5" t="s">
        <v>2574</v>
      </c>
      <c r="C2029" s="8">
        <v>152</v>
      </c>
      <c r="D2029" s="5" t="s">
        <v>42</v>
      </c>
      <c r="E2029" s="5"/>
      <c r="G2029" s="5"/>
      <c r="H2029" s="5"/>
    </row>
    <row r="2030" spans="1:8" x14ac:dyDescent="0.2">
      <c r="A2030" s="5"/>
      <c r="B2030" s="5" t="s">
        <v>2530</v>
      </c>
      <c r="C2030" s="5"/>
      <c r="D2030" s="5" t="s">
        <v>15</v>
      </c>
      <c r="E2030" s="5"/>
      <c r="G2030" s="5"/>
      <c r="H2030" s="5"/>
    </row>
    <row r="2031" spans="1:8" x14ac:dyDescent="0.2">
      <c r="A2031" s="5"/>
      <c r="B2031" s="5" t="s">
        <v>2528</v>
      </c>
      <c r="C2031" s="5"/>
      <c r="D2031" s="5" t="s">
        <v>322</v>
      </c>
      <c r="E2031" s="5"/>
      <c r="G2031" s="5"/>
      <c r="H2031" s="5"/>
    </row>
    <row r="2032" spans="1:8" x14ac:dyDescent="0.2">
      <c r="A2032" s="5" t="s">
        <v>2580</v>
      </c>
      <c r="B2032" s="5" t="s">
        <v>2572</v>
      </c>
      <c r="C2032" s="8">
        <v>107</v>
      </c>
      <c r="D2032" s="5" t="s">
        <v>42</v>
      </c>
      <c r="E2032" s="5"/>
      <c r="G2032" s="5"/>
      <c r="H2032" s="5"/>
    </row>
    <row r="2033" spans="1:8" x14ac:dyDescent="0.2">
      <c r="A2033" s="5" t="s">
        <v>2581</v>
      </c>
      <c r="B2033" s="5" t="s">
        <v>2574</v>
      </c>
      <c r="C2033" s="8">
        <v>152</v>
      </c>
      <c r="D2033" s="5" t="s">
        <v>42</v>
      </c>
      <c r="E2033" s="5"/>
      <c r="G2033" s="5"/>
      <c r="H2033" s="5"/>
    </row>
    <row r="2034" spans="1:8" x14ac:dyDescent="0.2">
      <c r="A2034" s="5"/>
      <c r="B2034" s="5" t="s">
        <v>2532</v>
      </c>
      <c r="C2034" s="5"/>
      <c r="D2034" s="5" t="s">
        <v>15</v>
      </c>
      <c r="E2034" s="5"/>
      <c r="G2034" s="5"/>
      <c r="H2034" s="5"/>
    </row>
    <row r="2035" spans="1:8" x14ac:dyDescent="0.2">
      <c r="A2035" s="5"/>
      <c r="B2035" s="5" t="s">
        <v>2582</v>
      </c>
      <c r="C2035" s="5"/>
      <c r="D2035" s="5" t="s">
        <v>322</v>
      </c>
      <c r="E2035" s="5"/>
      <c r="G2035" s="5"/>
      <c r="H2035" s="5"/>
    </row>
    <row r="2036" spans="1:8" x14ac:dyDescent="0.2">
      <c r="A2036" s="5"/>
      <c r="B2036" s="5" t="s">
        <v>2583</v>
      </c>
      <c r="C2036" s="5"/>
      <c r="D2036" s="5" t="s">
        <v>366</v>
      </c>
      <c r="E2036" s="5"/>
      <c r="G2036" s="5"/>
      <c r="H2036" s="5"/>
    </row>
    <row r="2037" spans="1:8" x14ac:dyDescent="0.2">
      <c r="A2037" s="5" t="s">
        <v>2584</v>
      </c>
      <c r="B2037" s="5" t="s">
        <v>2572</v>
      </c>
      <c r="C2037" s="8">
        <v>15</v>
      </c>
      <c r="D2037" s="5" t="s">
        <v>155</v>
      </c>
      <c r="E2037" s="5"/>
      <c r="G2037" s="5"/>
      <c r="H2037" s="5"/>
    </row>
    <row r="2038" spans="1:8" x14ac:dyDescent="0.2">
      <c r="A2038" s="5"/>
      <c r="B2038" s="5" t="s">
        <v>2533</v>
      </c>
      <c r="C2038" s="5"/>
      <c r="D2038" s="5" t="s">
        <v>322</v>
      </c>
      <c r="E2038" s="5"/>
      <c r="G2038" s="5"/>
      <c r="H2038" s="5"/>
    </row>
    <row r="2039" spans="1:8" x14ac:dyDescent="0.2">
      <c r="A2039" s="5"/>
      <c r="B2039" s="5" t="s">
        <v>2585</v>
      </c>
      <c r="C2039" s="5"/>
      <c r="D2039" s="5" t="s">
        <v>366</v>
      </c>
      <c r="E2039" s="5"/>
      <c r="G2039" s="5"/>
      <c r="H2039" s="5"/>
    </row>
    <row r="2040" spans="1:8" x14ac:dyDescent="0.2">
      <c r="A2040" s="5" t="s">
        <v>2586</v>
      </c>
      <c r="B2040" s="5" t="s">
        <v>2572</v>
      </c>
      <c r="C2040" s="8">
        <v>15</v>
      </c>
      <c r="D2040" s="5" t="s">
        <v>155</v>
      </c>
      <c r="E2040" s="5"/>
      <c r="G2040" s="5"/>
      <c r="H2040" s="5"/>
    </row>
    <row r="2041" spans="1:8" x14ac:dyDescent="0.2">
      <c r="A2041" s="5"/>
      <c r="B2041" s="5" t="s">
        <v>2536</v>
      </c>
      <c r="C2041" s="5"/>
      <c r="D2041" s="5" t="s">
        <v>366</v>
      </c>
      <c r="E2041" s="5"/>
      <c r="G2041" s="5"/>
      <c r="H2041" s="5"/>
    </row>
    <row r="2042" spans="1:8" x14ac:dyDescent="0.2">
      <c r="A2042" s="5" t="s">
        <v>2587</v>
      </c>
      <c r="B2042" s="5" t="s">
        <v>2572</v>
      </c>
      <c r="C2042" s="8">
        <v>10</v>
      </c>
      <c r="D2042" s="5" t="s">
        <v>155</v>
      </c>
      <c r="E2042" s="5"/>
      <c r="G2042" s="5"/>
      <c r="H2042" s="5"/>
    </row>
    <row r="2043" spans="1:8" x14ac:dyDescent="0.2">
      <c r="A2043" s="5"/>
      <c r="B2043" s="5" t="s">
        <v>2534</v>
      </c>
      <c r="C2043" s="5"/>
      <c r="D2043" s="5" t="s">
        <v>366</v>
      </c>
      <c r="E2043" s="5"/>
      <c r="G2043" s="5"/>
      <c r="H2043" s="5"/>
    </row>
    <row r="2044" spans="1:8" x14ac:dyDescent="0.2">
      <c r="A2044" s="5" t="s">
        <v>2588</v>
      </c>
      <c r="B2044" s="5" t="s">
        <v>2574</v>
      </c>
      <c r="C2044" s="8">
        <v>24</v>
      </c>
      <c r="D2044" s="5" t="s">
        <v>155</v>
      </c>
      <c r="E2044" s="5"/>
      <c r="G2044" s="5"/>
      <c r="H2044" s="5"/>
    </row>
    <row r="2045" spans="1:8" x14ac:dyDescent="0.2">
      <c r="A2045" s="5"/>
      <c r="B2045" s="5" t="s">
        <v>2538</v>
      </c>
      <c r="C2045" s="5"/>
      <c r="D2045" s="5" t="s">
        <v>15</v>
      </c>
      <c r="E2045" s="5"/>
      <c r="G2045" s="5"/>
      <c r="H2045" s="5"/>
    </row>
    <row r="2046" spans="1:8" x14ac:dyDescent="0.2">
      <c r="A2046" s="5"/>
      <c r="B2046" s="5" t="s">
        <v>2539</v>
      </c>
      <c r="C2046" s="5"/>
      <c r="D2046" s="5" t="s">
        <v>322</v>
      </c>
      <c r="E2046" s="5"/>
      <c r="G2046" s="5"/>
      <c r="H2046" s="5"/>
    </row>
    <row r="2047" spans="1:8" x14ac:dyDescent="0.2">
      <c r="A2047" s="5" t="s">
        <v>2589</v>
      </c>
      <c r="B2047" s="5" t="s">
        <v>2572</v>
      </c>
      <c r="C2047" s="8">
        <v>28</v>
      </c>
      <c r="D2047" s="5" t="s">
        <v>155</v>
      </c>
      <c r="E2047" s="5"/>
      <c r="G2047" s="5"/>
      <c r="H2047" s="5"/>
    </row>
    <row r="2048" spans="1:8" x14ac:dyDescent="0.2">
      <c r="A2048" s="5" t="s">
        <v>2590</v>
      </c>
      <c r="B2048" s="5" t="s">
        <v>2574</v>
      </c>
      <c r="C2048" s="8">
        <v>34</v>
      </c>
      <c r="D2048" s="5" t="s">
        <v>155</v>
      </c>
      <c r="E2048" s="5"/>
      <c r="G2048" s="5"/>
      <c r="H2048" s="5"/>
    </row>
    <row r="2049" spans="1:8" x14ac:dyDescent="0.2">
      <c r="A2049" s="5"/>
      <c r="B2049" s="5" t="s">
        <v>2541</v>
      </c>
      <c r="C2049" s="5"/>
      <c r="D2049" s="5" t="s">
        <v>322</v>
      </c>
      <c r="E2049" s="5"/>
      <c r="G2049" s="5"/>
      <c r="H2049" s="5"/>
    </row>
    <row r="2050" spans="1:8" x14ac:dyDescent="0.2">
      <c r="A2050" s="5" t="s">
        <v>2591</v>
      </c>
      <c r="B2050" s="5" t="s">
        <v>2574</v>
      </c>
      <c r="C2050" s="8">
        <v>84</v>
      </c>
      <c r="D2050" s="5" t="s">
        <v>155</v>
      </c>
      <c r="E2050" s="5"/>
      <c r="G2050" s="5"/>
      <c r="H2050" s="5"/>
    </row>
    <row r="2051" spans="1:8" x14ac:dyDescent="0.2">
      <c r="A2051" s="5"/>
      <c r="B2051" s="5" t="s">
        <v>2592</v>
      </c>
      <c r="C2051" s="5"/>
      <c r="D2051" s="5" t="s">
        <v>322</v>
      </c>
      <c r="E2051" s="5"/>
      <c r="G2051" s="5"/>
      <c r="H2051" s="5"/>
    </row>
    <row r="2052" spans="1:8" x14ac:dyDescent="0.2">
      <c r="A2052" s="5" t="s">
        <v>2593</v>
      </c>
      <c r="B2052" s="5" t="s">
        <v>2572</v>
      </c>
      <c r="C2052" s="8">
        <v>17</v>
      </c>
      <c r="D2052" s="5" t="s">
        <v>155</v>
      </c>
      <c r="E2052" s="5"/>
      <c r="G2052" s="5"/>
      <c r="H2052" s="5"/>
    </row>
    <row r="2053" spans="1:8" x14ac:dyDescent="0.2">
      <c r="A2053" s="5"/>
      <c r="B2053" s="5" t="s">
        <v>2545</v>
      </c>
      <c r="C2053" s="5"/>
      <c r="D2053" s="5" t="s">
        <v>322</v>
      </c>
      <c r="E2053" s="5"/>
      <c r="G2053" s="5"/>
      <c r="H2053" s="5"/>
    </row>
    <row r="2054" spans="1:8" x14ac:dyDescent="0.2">
      <c r="A2054" s="5" t="s">
        <v>2594</v>
      </c>
      <c r="B2054" s="5" t="s">
        <v>2574</v>
      </c>
      <c r="C2054" s="8">
        <v>48</v>
      </c>
      <c r="D2054" s="5" t="s">
        <v>155</v>
      </c>
      <c r="E2054" s="5"/>
      <c r="G2054" s="5"/>
      <c r="H2054" s="5"/>
    </row>
    <row r="2055" spans="1:8" x14ac:dyDescent="0.2">
      <c r="A2055" s="5"/>
      <c r="B2055" s="5" t="s">
        <v>2549</v>
      </c>
      <c r="C2055" s="5"/>
      <c r="D2055" s="5" t="s">
        <v>322</v>
      </c>
      <c r="E2055" s="5"/>
      <c r="G2055" s="5"/>
      <c r="H2055" s="5"/>
    </row>
    <row r="2056" spans="1:8" x14ac:dyDescent="0.2">
      <c r="A2056" s="5" t="s">
        <v>2595</v>
      </c>
      <c r="B2056" s="5" t="s">
        <v>2574</v>
      </c>
      <c r="C2056" s="8">
        <v>4</v>
      </c>
      <c r="D2056" s="5" t="s">
        <v>42</v>
      </c>
      <c r="E2056" s="5"/>
      <c r="G2056" s="5"/>
      <c r="H2056" s="5"/>
    </row>
    <row r="2057" spans="1:8" x14ac:dyDescent="0.2">
      <c r="A2057" s="5"/>
      <c r="B2057" s="5" t="s">
        <v>2553</v>
      </c>
      <c r="C2057" s="5"/>
      <c r="D2057" s="5" t="s">
        <v>322</v>
      </c>
      <c r="E2057" s="5"/>
      <c r="G2057" s="5"/>
      <c r="H2057" s="5"/>
    </row>
    <row r="2058" spans="1:8" x14ac:dyDescent="0.2">
      <c r="A2058" s="5" t="s">
        <v>2596</v>
      </c>
      <c r="B2058" s="5" t="s">
        <v>2572</v>
      </c>
      <c r="C2058" s="8">
        <v>17</v>
      </c>
      <c r="D2058" s="5" t="s">
        <v>155</v>
      </c>
      <c r="E2058" s="5"/>
      <c r="G2058" s="5"/>
      <c r="H2058" s="5"/>
    </row>
    <row r="2059" spans="1:8" x14ac:dyDescent="0.2">
      <c r="A2059" s="5" t="s">
        <v>2597</v>
      </c>
      <c r="B2059" s="5" t="s">
        <v>2574</v>
      </c>
      <c r="C2059" s="8">
        <v>48</v>
      </c>
      <c r="D2059" s="5" t="s">
        <v>155</v>
      </c>
      <c r="E2059" s="5"/>
      <c r="G2059" s="5"/>
      <c r="H2059" s="5"/>
    </row>
    <row r="2060" spans="1:8" x14ac:dyDescent="0.2">
      <c r="A2060" s="5"/>
      <c r="B2060" s="5" t="s">
        <v>2555</v>
      </c>
      <c r="C2060" s="5"/>
      <c r="D2060" s="5" t="s">
        <v>322</v>
      </c>
      <c r="E2060" s="5"/>
      <c r="G2060" s="5"/>
      <c r="H2060" s="5"/>
    </row>
    <row r="2061" spans="1:8" x14ac:dyDescent="0.2">
      <c r="A2061" s="5" t="s">
        <v>2598</v>
      </c>
      <c r="B2061" s="5" t="s">
        <v>2574</v>
      </c>
      <c r="C2061" s="8">
        <v>4</v>
      </c>
      <c r="D2061" s="5" t="s">
        <v>42</v>
      </c>
      <c r="E2061" s="5"/>
      <c r="G2061" s="5"/>
      <c r="H2061" s="5"/>
    </row>
    <row r="2062" spans="1:8" x14ac:dyDescent="0.2">
      <c r="A2062" s="5"/>
      <c r="B2062" s="5" t="s">
        <v>2557</v>
      </c>
      <c r="C2062" s="5"/>
      <c r="D2062" s="5" t="s">
        <v>322</v>
      </c>
      <c r="E2062" s="5"/>
      <c r="G2062" s="5"/>
      <c r="H2062" s="5"/>
    </row>
    <row r="2063" spans="1:8" x14ac:dyDescent="0.2">
      <c r="A2063" s="5" t="s">
        <v>2599</v>
      </c>
      <c r="B2063" s="5" t="s">
        <v>2572</v>
      </c>
      <c r="C2063" s="8">
        <v>3</v>
      </c>
      <c r="D2063" s="5" t="s">
        <v>162</v>
      </c>
      <c r="E2063" s="5"/>
      <c r="G2063" s="5"/>
      <c r="H2063" s="5"/>
    </row>
    <row r="2064" spans="1:8" x14ac:dyDescent="0.2">
      <c r="A2064" s="5" t="s">
        <v>2600</v>
      </c>
      <c r="B2064" s="5" t="s">
        <v>2574</v>
      </c>
      <c r="C2064" s="8">
        <v>7</v>
      </c>
      <c r="D2064" s="5" t="s">
        <v>162</v>
      </c>
      <c r="E2064" s="5"/>
      <c r="G2064" s="5"/>
      <c r="H2064" s="5"/>
    </row>
    <row r="2065" spans="1:9" x14ac:dyDescent="0.2">
      <c r="A2065" s="5"/>
      <c r="B2065" s="5" t="s">
        <v>2568</v>
      </c>
      <c r="C2065" s="5"/>
      <c r="D2065" s="5" t="s">
        <v>15</v>
      </c>
      <c r="E2065" s="5"/>
      <c r="G2065" s="5"/>
      <c r="H2065" s="5"/>
    </row>
    <row r="2066" spans="1:9" x14ac:dyDescent="0.2">
      <c r="A2066" s="5" t="s">
        <v>2601</v>
      </c>
      <c r="B2066" s="5" t="s">
        <v>2570</v>
      </c>
      <c r="C2066" s="8">
        <v>1</v>
      </c>
      <c r="D2066" s="5" t="s">
        <v>97</v>
      </c>
      <c r="E2066" s="5"/>
      <c r="G2066" s="5"/>
      <c r="H2066" s="5"/>
    </row>
    <row r="2067" spans="1:9" x14ac:dyDescent="0.2">
      <c r="B2067" s="6" t="s">
        <v>2602</v>
      </c>
      <c r="C2067" s="6"/>
      <c r="D2067" s="6"/>
      <c r="E2067" s="6"/>
      <c r="F2067" s="9">
        <f>SUM(H1939:H2067)</f>
        <v>0</v>
      </c>
      <c r="G2067" s="6"/>
      <c r="I2067" s="9">
        <f>PRODUCT(F2067,G2067)</f>
        <v>0</v>
      </c>
    </row>
    <row r="2069" spans="1:9" x14ac:dyDescent="0.2">
      <c r="A2069" s="6" t="s">
        <v>2603</v>
      </c>
      <c r="B2069" s="6" t="s">
        <v>2604</v>
      </c>
    </row>
    <row r="2070" spans="1:9" x14ac:dyDescent="0.2">
      <c r="A2070" s="5"/>
      <c r="B2070" s="5" t="s">
        <v>64</v>
      </c>
      <c r="C2070" s="5"/>
      <c r="D2070" s="5" t="s">
        <v>13</v>
      </c>
      <c r="E2070" s="5"/>
      <c r="G2070" s="5"/>
      <c r="H2070" s="5"/>
    </row>
    <row r="2071" spans="1:9" x14ac:dyDescent="0.2">
      <c r="A2071" s="5" t="s">
        <v>2605</v>
      </c>
      <c r="B2071" s="5" t="s">
        <v>66</v>
      </c>
      <c r="C2071" s="5"/>
      <c r="D2071" s="5" t="s">
        <v>18</v>
      </c>
      <c r="E2071" s="5"/>
      <c r="G2071" s="5"/>
      <c r="H2071" s="5"/>
    </row>
    <row r="2072" spans="1:9" x14ac:dyDescent="0.2">
      <c r="A2072" s="5" t="s">
        <v>2606</v>
      </c>
      <c r="B2072" s="5" t="s">
        <v>68</v>
      </c>
      <c r="C2072" s="5"/>
      <c r="D2072" s="5" t="s">
        <v>18</v>
      </c>
      <c r="E2072" s="5"/>
      <c r="G2072" s="5"/>
      <c r="H2072" s="5"/>
    </row>
    <row r="2073" spans="1:9" x14ac:dyDescent="0.2">
      <c r="A2073" s="5"/>
      <c r="B2073" s="5" t="s">
        <v>71</v>
      </c>
      <c r="C2073" s="5"/>
      <c r="D2073" s="5" t="s">
        <v>13</v>
      </c>
      <c r="E2073" s="5"/>
      <c r="G2073" s="5"/>
      <c r="H2073" s="5"/>
    </row>
    <row r="2074" spans="1:9" x14ac:dyDescent="0.2">
      <c r="A2074" s="5" t="s">
        <v>2607</v>
      </c>
      <c r="B2074" s="5" t="s">
        <v>269</v>
      </c>
      <c r="C2074" s="5"/>
      <c r="D2074" s="5" t="s">
        <v>18</v>
      </c>
      <c r="E2074" s="5"/>
      <c r="G2074" s="5"/>
      <c r="H2074" s="5"/>
    </row>
    <row r="2075" spans="1:9" x14ac:dyDescent="0.2">
      <c r="A2075" s="5" t="s">
        <v>2608</v>
      </c>
      <c r="B2075" s="5" t="s">
        <v>2189</v>
      </c>
      <c r="C2075" s="5"/>
      <c r="D2075" s="5" t="s">
        <v>18</v>
      </c>
      <c r="E2075" s="5"/>
      <c r="G2075" s="5"/>
      <c r="H2075" s="5"/>
    </row>
    <row r="2076" spans="1:9" x14ac:dyDescent="0.2">
      <c r="A2076" s="5" t="s">
        <v>2609</v>
      </c>
      <c r="B2076" s="5" t="s">
        <v>2191</v>
      </c>
      <c r="C2076" s="5"/>
      <c r="D2076" s="5" t="s">
        <v>18</v>
      </c>
      <c r="E2076" s="5"/>
      <c r="G2076" s="5"/>
      <c r="H2076" s="5"/>
    </row>
    <row r="2077" spans="1:9" x14ac:dyDescent="0.2">
      <c r="A2077" s="5" t="s">
        <v>2610</v>
      </c>
      <c r="B2077" s="5" t="s">
        <v>2193</v>
      </c>
      <c r="C2077" s="5"/>
      <c r="D2077" s="5" t="s">
        <v>18</v>
      </c>
      <c r="E2077" s="5"/>
      <c r="G2077" s="5"/>
      <c r="H2077" s="5"/>
    </row>
    <row r="2078" spans="1:9" x14ac:dyDescent="0.2">
      <c r="A2078" s="5"/>
      <c r="B2078" s="5" t="s">
        <v>76</v>
      </c>
      <c r="C2078" s="5"/>
      <c r="D2078" s="5" t="s">
        <v>13</v>
      </c>
      <c r="E2078" s="5"/>
      <c r="G2078" s="5"/>
      <c r="H2078" s="5"/>
    </row>
    <row r="2079" spans="1:9" x14ac:dyDescent="0.2">
      <c r="A2079" s="5"/>
      <c r="B2079" s="5" t="s">
        <v>77</v>
      </c>
      <c r="C2079" s="5"/>
      <c r="D2079" s="5" t="s">
        <v>15</v>
      </c>
      <c r="E2079" s="5"/>
      <c r="G2079" s="5"/>
      <c r="H2079" s="5"/>
    </row>
    <row r="2080" spans="1:9" x14ac:dyDescent="0.2">
      <c r="A2080" s="5" t="s">
        <v>2611</v>
      </c>
      <c r="B2080" s="5" t="s">
        <v>273</v>
      </c>
      <c r="C2080" s="5"/>
      <c r="D2080" s="5" t="s">
        <v>18</v>
      </c>
      <c r="E2080" s="5"/>
      <c r="G2080" s="5"/>
      <c r="H2080" s="5"/>
    </row>
    <row r="2081" spans="1:8" x14ac:dyDescent="0.2">
      <c r="A2081" s="5" t="s">
        <v>2612</v>
      </c>
      <c r="B2081" s="5" t="s">
        <v>275</v>
      </c>
      <c r="C2081" s="5"/>
      <c r="D2081" s="5" t="s">
        <v>18</v>
      </c>
      <c r="E2081" s="5"/>
      <c r="G2081" s="5"/>
      <c r="H2081" s="5"/>
    </row>
    <row r="2082" spans="1:8" x14ac:dyDescent="0.2">
      <c r="A2082" s="5" t="s">
        <v>2613</v>
      </c>
      <c r="B2082" s="5" t="s">
        <v>277</v>
      </c>
      <c r="C2082" s="5"/>
      <c r="D2082" s="5" t="s">
        <v>18</v>
      </c>
      <c r="E2082" s="5"/>
      <c r="G2082" s="5"/>
      <c r="H2082" s="5"/>
    </row>
    <row r="2083" spans="1:8" x14ac:dyDescent="0.2">
      <c r="A2083" s="5" t="s">
        <v>2614</v>
      </c>
      <c r="B2083" s="5" t="s">
        <v>279</v>
      </c>
      <c r="C2083" s="5"/>
      <c r="D2083" s="5" t="s">
        <v>18</v>
      </c>
      <c r="E2083" s="5"/>
      <c r="G2083" s="5"/>
      <c r="H2083" s="5"/>
    </row>
    <row r="2084" spans="1:8" x14ac:dyDescent="0.2">
      <c r="A2084" s="5" t="s">
        <v>2615</v>
      </c>
      <c r="B2084" s="5" t="s">
        <v>281</v>
      </c>
      <c r="C2084" s="5"/>
      <c r="D2084" s="5" t="s">
        <v>18</v>
      </c>
      <c r="E2084" s="5"/>
      <c r="G2084" s="5"/>
      <c r="H2084" s="5"/>
    </row>
    <row r="2085" spans="1:8" x14ac:dyDescent="0.2">
      <c r="A2085" s="5" t="s">
        <v>2616</v>
      </c>
      <c r="B2085" s="5" t="s">
        <v>283</v>
      </c>
      <c r="C2085" s="5"/>
      <c r="D2085" s="5" t="s">
        <v>18</v>
      </c>
      <c r="E2085" s="5"/>
      <c r="G2085" s="5"/>
      <c r="H2085" s="5"/>
    </row>
    <row r="2086" spans="1:8" x14ac:dyDescent="0.2">
      <c r="A2086" s="5" t="s">
        <v>2617</v>
      </c>
      <c r="B2086" s="5" t="s">
        <v>285</v>
      </c>
      <c r="C2086" s="5"/>
      <c r="D2086" s="5" t="s">
        <v>18</v>
      </c>
      <c r="E2086" s="5"/>
      <c r="G2086" s="5"/>
      <c r="H2086" s="5"/>
    </row>
    <row r="2087" spans="1:8" x14ac:dyDescent="0.2">
      <c r="A2087" s="5" t="s">
        <v>2618</v>
      </c>
      <c r="B2087" s="5" t="s">
        <v>287</v>
      </c>
      <c r="C2087" s="5"/>
      <c r="D2087" s="5" t="s">
        <v>18</v>
      </c>
      <c r="E2087" s="5"/>
      <c r="G2087" s="5"/>
      <c r="H2087" s="5"/>
    </row>
    <row r="2088" spans="1:8" x14ac:dyDescent="0.2">
      <c r="A2088" s="5" t="s">
        <v>2619</v>
      </c>
      <c r="B2088" s="5" t="s">
        <v>289</v>
      </c>
      <c r="C2088" s="5"/>
      <c r="D2088" s="5" t="s">
        <v>18</v>
      </c>
      <c r="E2088" s="5"/>
      <c r="G2088" s="5"/>
      <c r="H2088" s="5"/>
    </row>
    <row r="2089" spans="1:8" x14ac:dyDescent="0.2">
      <c r="A2089" s="5" t="s">
        <v>2620</v>
      </c>
      <c r="B2089" s="5" t="s">
        <v>291</v>
      </c>
      <c r="C2089" s="5"/>
      <c r="D2089" s="5" t="s">
        <v>18</v>
      </c>
      <c r="E2089" s="5"/>
      <c r="G2089" s="5"/>
      <c r="H2089" s="5"/>
    </row>
    <row r="2090" spans="1:8" x14ac:dyDescent="0.2">
      <c r="A2090" s="5" t="s">
        <v>2621</v>
      </c>
      <c r="B2090" s="5" t="s">
        <v>293</v>
      </c>
      <c r="C2090" s="5"/>
      <c r="D2090" s="5" t="s">
        <v>18</v>
      </c>
      <c r="E2090" s="5"/>
      <c r="G2090" s="5"/>
      <c r="H2090" s="5"/>
    </row>
    <row r="2091" spans="1:8" x14ac:dyDescent="0.2">
      <c r="A2091" s="5" t="s">
        <v>2622</v>
      </c>
      <c r="B2091" s="5" t="s">
        <v>295</v>
      </c>
      <c r="C2091" s="5"/>
      <c r="D2091" s="5" t="s">
        <v>18</v>
      </c>
      <c r="E2091" s="5"/>
      <c r="G2091" s="5"/>
      <c r="H2091" s="5"/>
    </row>
    <row r="2092" spans="1:8" x14ac:dyDescent="0.2">
      <c r="A2092" s="5" t="s">
        <v>2623</v>
      </c>
      <c r="B2092" s="5" t="s">
        <v>297</v>
      </c>
      <c r="C2092" s="5"/>
      <c r="D2092" s="5" t="s">
        <v>18</v>
      </c>
      <c r="E2092" s="5"/>
      <c r="G2092" s="5"/>
      <c r="H2092" s="5"/>
    </row>
    <row r="2093" spans="1:8" x14ac:dyDescent="0.2">
      <c r="A2093" s="5" t="s">
        <v>2624</v>
      </c>
      <c r="B2093" s="5" t="s">
        <v>299</v>
      </c>
      <c r="C2093" s="5"/>
      <c r="D2093" s="5" t="s">
        <v>18</v>
      </c>
      <c r="E2093" s="5"/>
      <c r="G2093" s="5"/>
      <c r="H2093" s="5"/>
    </row>
    <row r="2094" spans="1:8" x14ac:dyDescent="0.2">
      <c r="A2094" s="5"/>
      <c r="B2094" s="5" t="s">
        <v>94</v>
      </c>
      <c r="C2094" s="5"/>
      <c r="D2094" s="5" t="s">
        <v>13</v>
      </c>
      <c r="E2094" s="5"/>
      <c r="G2094" s="5"/>
      <c r="H2094" s="5"/>
    </row>
    <row r="2095" spans="1:8" x14ac:dyDescent="0.2">
      <c r="A2095" s="5" t="s">
        <v>2625</v>
      </c>
      <c r="B2095" s="5" t="s">
        <v>301</v>
      </c>
      <c r="C2095" s="8">
        <v>1</v>
      </c>
      <c r="D2095" s="5" t="s">
        <v>97</v>
      </c>
      <c r="E2095" s="5"/>
      <c r="G2095" s="5"/>
      <c r="H2095" s="5"/>
    </row>
    <row r="2096" spans="1:8" x14ac:dyDescent="0.2">
      <c r="A2096" s="5" t="s">
        <v>2626</v>
      </c>
      <c r="B2096" s="5" t="s">
        <v>303</v>
      </c>
      <c r="C2096" s="8">
        <v>1</v>
      </c>
      <c r="D2096" s="5" t="s">
        <v>97</v>
      </c>
      <c r="E2096" s="5"/>
      <c r="G2096" s="5"/>
      <c r="H2096" s="5"/>
    </row>
    <row r="2097" spans="1:8" x14ac:dyDescent="0.2">
      <c r="A2097" s="5" t="s">
        <v>2627</v>
      </c>
      <c r="B2097" s="5" t="s">
        <v>305</v>
      </c>
      <c r="C2097" s="8">
        <v>1</v>
      </c>
      <c r="D2097" s="5" t="s">
        <v>97</v>
      </c>
      <c r="E2097" s="5"/>
      <c r="G2097" s="5"/>
      <c r="H2097" s="5"/>
    </row>
    <row r="2098" spans="1:8" x14ac:dyDescent="0.2">
      <c r="A2098" s="5" t="s">
        <v>2628</v>
      </c>
      <c r="B2098" s="5" t="s">
        <v>111</v>
      </c>
      <c r="C2098" s="8">
        <v>1</v>
      </c>
      <c r="D2098" s="5" t="s">
        <v>97</v>
      </c>
      <c r="E2098" s="5"/>
      <c r="G2098" s="5"/>
      <c r="H2098" s="5"/>
    </row>
    <row r="2099" spans="1:8" x14ac:dyDescent="0.2">
      <c r="A2099" s="5" t="s">
        <v>2629</v>
      </c>
      <c r="B2099" s="5" t="s">
        <v>113</v>
      </c>
      <c r="C2099" s="8">
        <v>1</v>
      </c>
      <c r="D2099" s="5" t="s">
        <v>97</v>
      </c>
      <c r="E2099" s="5"/>
      <c r="G2099" s="5"/>
      <c r="H2099" s="5"/>
    </row>
    <row r="2100" spans="1:8" x14ac:dyDescent="0.2">
      <c r="A2100" s="5" t="s">
        <v>2630</v>
      </c>
      <c r="B2100" s="5" t="s">
        <v>309</v>
      </c>
      <c r="C2100" s="8">
        <v>1</v>
      </c>
      <c r="D2100" s="5" t="s">
        <v>97</v>
      </c>
      <c r="E2100" s="5"/>
      <c r="G2100" s="5"/>
      <c r="H2100" s="5"/>
    </row>
    <row r="2101" spans="1:8" x14ac:dyDescent="0.2">
      <c r="A2101" s="5" t="s">
        <v>2631</v>
      </c>
      <c r="B2101" s="5" t="s">
        <v>311</v>
      </c>
      <c r="C2101" s="8">
        <v>1</v>
      </c>
      <c r="D2101" s="5" t="s">
        <v>97</v>
      </c>
      <c r="E2101" s="5"/>
      <c r="G2101" s="5"/>
      <c r="H2101" s="5"/>
    </row>
    <row r="2102" spans="1:8" x14ac:dyDescent="0.2">
      <c r="A2102" s="5" t="s">
        <v>2632</v>
      </c>
      <c r="B2102" s="5" t="s">
        <v>313</v>
      </c>
      <c r="C2102" s="8">
        <v>1</v>
      </c>
      <c r="D2102" s="5" t="s">
        <v>97</v>
      </c>
      <c r="E2102" s="5"/>
      <c r="G2102" s="5"/>
      <c r="H2102" s="5"/>
    </row>
    <row r="2103" spans="1:8" x14ac:dyDescent="0.2">
      <c r="A2103" s="5" t="s">
        <v>2633</v>
      </c>
      <c r="B2103" s="5" t="s">
        <v>317</v>
      </c>
      <c r="C2103" s="8">
        <v>1</v>
      </c>
      <c r="D2103" s="5" t="s">
        <v>97</v>
      </c>
      <c r="E2103" s="5"/>
      <c r="G2103" s="5"/>
      <c r="H2103" s="5"/>
    </row>
    <row r="2104" spans="1:8" x14ac:dyDescent="0.2">
      <c r="A2104" s="5"/>
      <c r="B2104" s="5" t="s">
        <v>135</v>
      </c>
      <c r="C2104" s="5"/>
      <c r="D2104" s="5" t="s">
        <v>13</v>
      </c>
      <c r="E2104" s="5"/>
      <c r="G2104" s="5"/>
      <c r="H2104" s="5"/>
    </row>
    <row r="2105" spans="1:8" x14ac:dyDescent="0.2">
      <c r="A2105" s="5" t="s">
        <v>2634</v>
      </c>
      <c r="B2105" s="5" t="s">
        <v>2635</v>
      </c>
      <c r="C2105" s="5"/>
      <c r="D2105" s="5" t="s">
        <v>18</v>
      </c>
      <c r="E2105" s="5"/>
      <c r="G2105" s="5"/>
      <c r="H2105" s="5"/>
    </row>
    <row r="2106" spans="1:8" x14ac:dyDescent="0.2">
      <c r="A2106" s="5"/>
      <c r="B2106" s="5" t="s">
        <v>38</v>
      </c>
      <c r="C2106" s="5"/>
      <c r="D2106" s="5" t="s">
        <v>13</v>
      </c>
      <c r="E2106" s="5"/>
      <c r="G2106" s="5"/>
      <c r="H2106" s="5"/>
    </row>
    <row r="2107" spans="1:8" x14ac:dyDescent="0.2">
      <c r="A2107" s="5"/>
      <c r="B2107" s="5" t="s">
        <v>2636</v>
      </c>
      <c r="C2107" s="5"/>
      <c r="D2107" s="5" t="s">
        <v>15</v>
      </c>
      <c r="E2107" s="5"/>
      <c r="G2107" s="5"/>
      <c r="H2107" s="5"/>
    </row>
    <row r="2108" spans="1:8" x14ac:dyDescent="0.2">
      <c r="A2108" s="5"/>
      <c r="B2108" s="5" t="s">
        <v>2637</v>
      </c>
      <c r="C2108" s="5"/>
      <c r="D2108" s="5" t="s">
        <v>322</v>
      </c>
      <c r="E2108" s="5"/>
      <c r="G2108" s="5"/>
      <c r="H2108" s="5"/>
    </row>
    <row r="2109" spans="1:8" x14ac:dyDescent="0.2">
      <c r="A2109" s="5"/>
      <c r="B2109" s="5" t="s">
        <v>2638</v>
      </c>
      <c r="C2109" s="5"/>
      <c r="D2109" s="5" t="s">
        <v>366</v>
      </c>
      <c r="E2109" s="5"/>
      <c r="G2109" s="5"/>
      <c r="H2109" s="5"/>
    </row>
    <row r="2110" spans="1:8" x14ac:dyDescent="0.2">
      <c r="A2110" s="5" t="s">
        <v>2639</v>
      </c>
      <c r="B2110" s="5" t="s">
        <v>2225</v>
      </c>
      <c r="C2110" s="8">
        <v>81</v>
      </c>
      <c r="D2110" s="5" t="s">
        <v>42</v>
      </c>
      <c r="E2110" s="5"/>
      <c r="G2110" s="5"/>
      <c r="H2110" s="5"/>
    </row>
    <row r="2111" spans="1:8" x14ac:dyDescent="0.2">
      <c r="A2111" s="5"/>
      <c r="B2111" s="5" t="s">
        <v>2640</v>
      </c>
      <c r="C2111" s="5"/>
      <c r="D2111" s="5" t="s">
        <v>366</v>
      </c>
      <c r="E2111" s="5"/>
      <c r="G2111" s="5"/>
      <c r="H2111" s="5"/>
    </row>
    <row r="2112" spans="1:8" x14ac:dyDescent="0.2">
      <c r="A2112" s="5" t="s">
        <v>2641</v>
      </c>
      <c r="B2112" s="5" t="s">
        <v>2225</v>
      </c>
      <c r="C2112" s="8">
        <v>61</v>
      </c>
      <c r="D2112" s="5" t="s">
        <v>42</v>
      </c>
      <c r="E2112" s="5"/>
      <c r="G2112" s="5"/>
      <c r="H2112" s="5"/>
    </row>
    <row r="2113" spans="1:8" x14ac:dyDescent="0.2">
      <c r="A2113" s="5"/>
      <c r="B2113" s="5" t="s">
        <v>2642</v>
      </c>
      <c r="C2113" s="5"/>
      <c r="D2113" s="5" t="s">
        <v>15</v>
      </c>
      <c r="E2113" s="5"/>
      <c r="G2113" s="5"/>
      <c r="H2113" s="5"/>
    </row>
    <row r="2114" spans="1:8" x14ac:dyDescent="0.2">
      <c r="A2114" s="5"/>
      <c r="B2114" s="5" t="s">
        <v>2643</v>
      </c>
      <c r="C2114" s="5"/>
      <c r="D2114" s="5" t="s">
        <v>322</v>
      </c>
      <c r="E2114" s="5"/>
      <c r="G2114" s="5"/>
      <c r="H2114" s="5"/>
    </row>
    <row r="2115" spans="1:8" x14ac:dyDescent="0.2">
      <c r="A2115" s="5"/>
      <c r="B2115" s="5" t="s">
        <v>2644</v>
      </c>
      <c r="C2115" s="5"/>
      <c r="D2115" s="5" t="s">
        <v>366</v>
      </c>
      <c r="E2115" s="5"/>
      <c r="G2115" s="5"/>
      <c r="H2115" s="5"/>
    </row>
    <row r="2116" spans="1:8" x14ac:dyDescent="0.2">
      <c r="A2116" s="5" t="s">
        <v>2645</v>
      </c>
      <c r="B2116" s="5" t="s">
        <v>2225</v>
      </c>
      <c r="C2116" s="8">
        <v>9</v>
      </c>
      <c r="D2116" s="5" t="s">
        <v>368</v>
      </c>
      <c r="E2116" s="5"/>
      <c r="G2116" s="5"/>
      <c r="H2116" s="5"/>
    </row>
    <row r="2117" spans="1:8" x14ac:dyDescent="0.2">
      <c r="A2117" s="5"/>
      <c r="B2117" s="5" t="s">
        <v>2646</v>
      </c>
      <c r="C2117" s="5"/>
      <c r="D2117" s="5" t="s">
        <v>366</v>
      </c>
      <c r="E2117" s="5"/>
      <c r="G2117" s="5"/>
      <c r="H2117" s="5"/>
    </row>
    <row r="2118" spans="1:8" x14ac:dyDescent="0.2">
      <c r="A2118" s="5" t="s">
        <v>2647</v>
      </c>
      <c r="B2118" s="5" t="s">
        <v>2225</v>
      </c>
      <c r="C2118" s="8">
        <v>7</v>
      </c>
      <c r="D2118" s="5" t="s">
        <v>368</v>
      </c>
      <c r="E2118" s="5"/>
      <c r="G2118" s="5"/>
      <c r="H2118" s="5"/>
    </row>
    <row r="2119" spans="1:8" x14ac:dyDescent="0.2">
      <c r="A2119" s="5"/>
      <c r="B2119" s="5" t="s">
        <v>2648</v>
      </c>
      <c r="C2119" s="5"/>
      <c r="D2119" s="5" t="s">
        <v>15</v>
      </c>
      <c r="E2119" s="5"/>
      <c r="G2119" s="5"/>
      <c r="H2119" s="5"/>
    </row>
    <row r="2120" spans="1:8" x14ac:dyDescent="0.2">
      <c r="A2120" s="5"/>
      <c r="B2120" s="5" t="s">
        <v>2649</v>
      </c>
      <c r="C2120" s="5"/>
      <c r="D2120" s="5" t="s">
        <v>322</v>
      </c>
      <c r="E2120" s="5"/>
      <c r="G2120" s="5"/>
      <c r="H2120" s="5"/>
    </row>
    <row r="2121" spans="1:8" x14ac:dyDescent="0.2">
      <c r="A2121" s="5"/>
      <c r="B2121" s="5" t="s">
        <v>2650</v>
      </c>
      <c r="C2121" s="5"/>
      <c r="D2121" s="5" t="s">
        <v>366</v>
      </c>
      <c r="E2121" s="5"/>
      <c r="G2121" s="5"/>
      <c r="H2121" s="5"/>
    </row>
    <row r="2122" spans="1:8" x14ac:dyDescent="0.2">
      <c r="A2122" s="5" t="s">
        <v>2651</v>
      </c>
      <c r="B2122" s="5" t="s">
        <v>2225</v>
      </c>
      <c r="C2122" s="8">
        <v>0.49</v>
      </c>
      <c r="D2122" s="5" t="s">
        <v>382</v>
      </c>
      <c r="E2122" s="5"/>
      <c r="G2122" s="5"/>
      <c r="H2122" s="5"/>
    </row>
    <row r="2123" spans="1:8" x14ac:dyDescent="0.2">
      <c r="A2123" s="5"/>
      <c r="B2123" s="5" t="s">
        <v>2652</v>
      </c>
      <c r="C2123" s="5"/>
      <c r="D2123" s="5" t="s">
        <v>366</v>
      </c>
      <c r="E2123" s="5"/>
      <c r="G2123" s="5"/>
      <c r="H2123" s="5"/>
    </row>
    <row r="2124" spans="1:8" x14ac:dyDescent="0.2">
      <c r="A2124" s="5" t="s">
        <v>2653</v>
      </c>
      <c r="B2124" s="5" t="s">
        <v>2225</v>
      </c>
      <c r="C2124" s="8">
        <v>0.37</v>
      </c>
      <c r="D2124" s="5" t="s">
        <v>382</v>
      </c>
      <c r="E2124" s="5"/>
      <c r="G2124" s="5"/>
      <c r="H2124" s="5"/>
    </row>
    <row r="2125" spans="1:8" x14ac:dyDescent="0.2">
      <c r="A2125" s="5"/>
      <c r="B2125" s="5" t="s">
        <v>2654</v>
      </c>
      <c r="C2125" s="5"/>
      <c r="D2125" s="5" t="s">
        <v>15</v>
      </c>
      <c r="E2125" s="5"/>
      <c r="G2125" s="5"/>
      <c r="H2125" s="5"/>
    </row>
    <row r="2126" spans="1:8" x14ac:dyDescent="0.2">
      <c r="A2126" s="5"/>
      <c r="B2126" s="5" t="s">
        <v>2655</v>
      </c>
      <c r="C2126" s="5"/>
      <c r="D2126" s="5" t="s">
        <v>322</v>
      </c>
      <c r="E2126" s="5"/>
      <c r="G2126" s="5"/>
      <c r="H2126" s="5"/>
    </row>
    <row r="2127" spans="1:8" x14ac:dyDescent="0.2">
      <c r="A2127" s="5" t="s">
        <v>2656</v>
      </c>
      <c r="B2127" s="5" t="s">
        <v>2225</v>
      </c>
      <c r="C2127" s="8">
        <v>2</v>
      </c>
      <c r="D2127" s="5" t="s">
        <v>155</v>
      </c>
      <c r="E2127" s="5"/>
      <c r="G2127" s="5"/>
      <c r="H2127" s="5"/>
    </row>
    <row r="2128" spans="1:8" x14ac:dyDescent="0.2">
      <c r="A2128" s="5"/>
      <c r="B2128" s="5" t="s">
        <v>2657</v>
      </c>
      <c r="C2128" s="5"/>
      <c r="D2128" s="5" t="s">
        <v>322</v>
      </c>
      <c r="E2128" s="5"/>
      <c r="G2128" s="5"/>
      <c r="H2128" s="5"/>
    </row>
    <row r="2129" spans="1:8" x14ac:dyDescent="0.2">
      <c r="A2129" s="5" t="s">
        <v>2658</v>
      </c>
      <c r="B2129" s="5" t="s">
        <v>2225</v>
      </c>
      <c r="C2129" s="8">
        <v>2</v>
      </c>
      <c r="D2129" s="5" t="s">
        <v>155</v>
      </c>
      <c r="E2129" s="5"/>
      <c r="G2129" s="5"/>
      <c r="H2129" s="5"/>
    </row>
    <row r="2130" spans="1:8" x14ac:dyDescent="0.2">
      <c r="A2130" s="5"/>
      <c r="B2130" s="5" t="s">
        <v>2659</v>
      </c>
      <c r="C2130" s="5"/>
      <c r="D2130" s="5" t="s">
        <v>15</v>
      </c>
      <c r="E2130" s="5"/>
      <c r="G2130" s="5"/>
      <c r="H2130" s="5"/>
    </row>
    <row r="2131" spans="1:8" x14ac:dyDescent="0.2">
      <c r="A2131" s="5"/>
      <c r="B2131" s="5" t="s">
        <v>2660</v>
      </c>
      <c r="C2131" s="5"/>
      <c r="D2131" s="5" t="s">
        <v>322</v>
      </c>
      <c r="E2131" s="5"/>
      <c r="G2131" s="5"/>
      <c r="H2131" s="5"/>
    </row>
    <row r="2132" spans="1:8" x14ac:dyDescent="0.2">
      <c r="A2132" s="5"/>
      <c r="B2132" s="5" t="s">
        <v>2661</v>
      </c>
      <c r="C2132" s="5"/>
      <c r="D2132" s="5" t="s">
        <v>366</v>
      </c>
      <c r="E2132" s="5"/>
      <c r="G2132" s="5"/>
      <c r="H2132" s="5"/>
    </row>
    <row r="2133" spans="1:8" x14ac:dyDescent="0.2">
      <c r="A2133" s="5" t="s">
        <v>2662</v>
      </c>
      <c r="B2133" s="5" t="s">
        <v>2225</v>
      </c>
      <c r="C2133" s="8">
        <v>81</v>
      </c>
      <c r="D2133" s="5" t="s">
        <v>42</v>
      </c>
      <c r="E2133" s="5"/>
      <c r="G2133" s="5"/>
      <c r="H2133" s="5"/>
    </row>
    <row r="2134" spans="1:8" x14ac:dyDescent="0.2">
      <c r="A2134" s="5"/>
      <c r="B2134" s="5" t="s">
        <v>2663</v>
      </c>
      <c r="C2134" s="5"/>
      <c r="D2134" s="5" t="s">
        <v>366</v>
      </c>
      <c r="E2134" s="5"/>
      <c r="G2134" s="5"/>
      <c r="H2134" s="5"/>
    </row>
    <row r="2135" spans="1:8" x14ac:dyDescent="0.2">
      <c r="A2135" s="5" t="s">
        <v>2664</v>
      </c>
      <c r="B2135" s="5" t="s">
        <v>2225</v>
      </c>
      <c r="C2135" s="8">
        <v>61</v>
      </c>
      <c r="D2135" s="5" t="s">
        <v>42</v>
      </c>
      <c r="E2135" s="5"/>
      <c r="G2135" s="5"/>
      <c r="H2135" s="5"/>
    </row>
    <row r="2136" spans="1:8" x14ac:dyDescent="0.2">
      <c r="A2136" s="5"/>
      <c r="B2136" s="5" t="s">
        <v>2665</v>
      </c>
      <c r="C2136" s="5"/>
      <c r="D2136" s="5" t="s">
        <v>366</v>
      </c>
      <c r="E2136" s="5"/>
      <c r="G2136" s="5"/>
      <c r="H2136" s="5"/>
    </row>
    <row r="2137" spans="1:8" x14ac:dyDescent="0.2">
      <c r="A2137" s="5" t="s">
        <v>2666</v>
      </c>
      <c r="B2137" s="5" t="s">
        <v>2225</v>
      </c>
      <c r="C2137" s="8">
        <v>5</v>
      </c>
      <c r="D2137" s="5" t="s">
        <v>42</v>
      </c>
      <c r="E2137" s="5"/>
      <c r="G2137" s="5"/>
      <c r="H2137" s="5"/>
    </row>
    <row r="2138" spans="1:8" x14ac:dyDescent="0.2">
      <c r="A2138" s="5"/>
      <c r="B2138" s="5" t="s">
        <v>2667</v>
      </c>
      <c r="C2138" s="5"/>
      <c r="D2138" s="5" t="s">
        <v>366</v>
      </c>
      <c r="E2138" s="5"/>
      <c r="G2138" s="5"/>
      <c r="H2138" s="5"/>
    </row>
    <row r="2139" spans="1:8" x14ac:dyDescent="0.2">
      <c r="A2139" s="5" t="s">
        <v>2668</v>
      </c>
      <c r="B2139" s="5" t="s">
        <v>2225</v>
      </c>
      <c r="C2139" s="8">
        <v>105</v>
      </c>
      <c r="D2139" s="5" t="s">
        <v>42</v>
      </c>
      <c r="E2139" s="5"/>
      <c r="G2139" s="5"/>
      <c r="H2139" s="5"/>
    </row>
    <row r="2140" spans="1:8" x14ac:dyDescent="0.2">
      <c r="A2140" s="5"/>
      <c r="B2140" s="5" t="s">
        <v>2654</v>
      </c>
      <c r="C2140" s="5"/>
      <c r="D2140" s="5" t="s">
        <v>322</v>
      </c>
      <c r="E2140" s="5"/>
      <c r="G2140" s="5"/>
      <c r="H2140" s="5"/>
    </row>
    <row r="2141" spans="1:8" x14ac:dyDescent="0.2">
      <c r="A2141" s="5"/>
      <c r="B2141" s="5" t="s">
        <v>2669</v>
      </c>
      <c r="C2141" s="5"/>
      <c r="D2141" s="5" t="s">
        <v>366</v>
      </c>
      <c r="E2141" s="5"/>
      <c r="G2141" s="5"/>
      <c r="H2141" s="5"/>
    </row>
    <row r="2142" spans="1:8" x14ac:dyDescent="0.2">
      <c r="A2142" s="5" t="s">
        <v>2670</v>
      </c>
      <c r="B2142" s="5" t="s">
        <v>2225</v>
      </c>
      <c r="C2142" s="8">
        <v>3</v>
      </c>
      <c r="D2142" s="5" t="s">
        <v>155</v>
      </c>
      <c r="E2142" s="5"/>
      <c r="G2142" s="5"/>
      <c r="H2142" s="5"/>
    </row>
    <row r="2143" spans="1:8" x14ac:dyDescent="0.2">
      <c r="A2143" s="5"/>
      <c r="B2143" s="5" t="s">
        <v>2671</v>
      </c>
      <c r="C2143" s="5"/>
      <c r="D2143" s="5" t="s">
        <v>366</v>
      </c>
      <c r="E2143" s="5"/>
      <c r="G2143" s="5"/>
      <c r="H2143" s="5"/>
    </row>
    <row r="2144" spans="1:8" x14ac:dyDescent="0.2">
      <c r="A2144" s="5" t="s">
        <v>2672</v>
      </c>
      <c r="B2144" s="5" t="s">
        <v>2225</v>
      </c>
      <c r="C2144" s="8">
        <v>6</v>
      </c>
      <c r="D2144" s="5" t="s">
        <v>155</v>
      </c>
      <c r="E2144" s="5"/>
      <c r="G2144" s="5"/>
      <c r="H2144" s="5"/>
    </row>
    <row r="2145" spans="1:8" x14ac:dyDescent="0.2">
      <c r="A2145" s="5"/>
      <c r="B2145" s="5" t="s">
        <v>2673</v>
      </c>
      <c r="C2145" s="5"/>
      <c r="D2145" s="5" t="s">
        <v>366</v>
      </c>
      <c r="E2145" s="5"/>
      <c r="G2145" s="5"/>
      <c r="H2145" s="5"/>
    </row>
    <row r="2146" spans="1:8" x14ac:dyDescent="0.2">
      <c r="A2146" s="5" t="s">
        <v>2674</v>
      </c>
      <c r="B2146" s="5" t="s">
        <v>2225</v>
      </c>
      <c r="C2146" s="8">
        <v>3</v>
      </c>
      <c r="D2146" s="5" t="s">
        <v>155</v>
      </c>
      <c r="E2146" s="5"/>
      <c r="G2146" s="5"/>
      <c r="H2146" s="5"/>
    </row>
    <row r="2147" spans="1:8" x14ac:dyDescent="0.2">
      <c r="A2147" s="5"/>
      <c r="B2147" s="5" t="s">
        <v>2675</v>
      </c>
      <c r="C2147" s="5"/>
      <c r="D2147" s="5" t="s">
        <v>322</v>
      </c>
      <c r="E2147" s="5"/>
      <c r="G2147" s="5"/>
      <c r="H2147" s="5"/>
    </row>
    <row r="2148" spans="1:8" x14ac:dyDescent="0.2">
      <c r="A2148" s="5" t="s">
        <v>2676</v>
      </c>
      <c r="B2148" s="5" t="s">
        <v>2677</v>
      </c>
      <c r="C2148" s="8">
        <v>252</v>
      </c>
      <c r="D2148" s="5" t="s">
        <v>42</v>
      </c>
      <c r="E2148" s="5"/>
      <c r="G2148" s="5"/>
      <c r="H2148" s="5"/>
    </row>
    <row r="2149" spans="1:8" x14ac:dyDescent="0.2">
      <c r="A2149" s="5" t="s">
        <v>2678</v>
      </c>
      <c r="B2149" s="5" t="s">
        <v>2679</v>
      </c>
      <c r="C2149" s="8">
        <v>252</v>
      </c>
      <c r="D2149" s="5" t="s">
        <v>42</v>
      </c>
      <c r="E2149" s="5"/>
      <c r="G2149" s="5"/>
      <c r="H2149" s="5"/>
    </row>
    <row r="2150" spans="1:8" x14ac:dyDescent="0.2">
      <c r="A2150" s="5" t="s">
        <v>2680</v>
      </c>
      <c r="B2150" s="5" t="s">
        <v>2681</v>
      </c>
      <c r="C2150" s="8">
        <v>51</v>
      </c>
      <c r="D2150" s="5" t="s">
        <v>155</v>
      </c>
      <c r="E2150" s="5"/>
      <c r="G2150" s="5"/>
      <c r="H2150" s="5"/>
    </row>
    <row r="2151" spans="1:8" x14ac:dyDescent="0.2">
      <c r="A2151" s="5"/>
      <c r="B2151" s="5" t="s">
        <v>53</v>
      </c>
      <c r="C2151" s="5"/>
      <c r="D2151" s="5" t="s">
        <v>13</v>
      </c>
      <c r="E2151" s="5"/>
      <c r="G2151" s="5"/>
      <c r="H2151" s="5"/>
    </row>
    <row r="2152" spans="1:8" x14ac:dyDescent="0.2">
      <c r="A2152" s="5"/>
      <c r="B2152" s="5" t="s">
        <v>2659</v>
      </c>
      <c r="C2152" s="5"/>
      <c r="D2152" s="5" t="s">
        <v>15</v>
      </c>
      <c r="E2152" s="5"/>
      <c r="G2152" s="5"/>
      <c r="H2152" s="5"/>
    </row>
    <row r="2153" spans="1:8" x14ac:dyDescent="0.2">
      <c r="A2153" s="5"/>
      <c r="B2153" s="5" t="s">
        <v>2660</v>
      </c>
      <c r="C2153" s="5"/>
      <c r="D2153" s="5" t="s">
        <v>322</v>
      </c>
      <c r="E2153" s="5"/>
      <c r="G2153" s="5"/>
      <c r="H2153" s="5"/>
    </row>
    <row r="2154" spans="1:8" x14ac:dyDescent="0.2">
      <c r="A2154" s="5"/>
      <c r="B2154" s="5" t="s">
        <v>2665</v>
      </c>
      <c r="C2154" s="5"/>
      <c r="D2154" s="5" t="s">
        <v>366</v>
      </c>
      <c r="E2154" s="5"/>
      <c r="G2154" s="5"/>
      <c r="H2154" s="5"/>
    </row>
    <row r="2155" spans="1:8" x14ac:dyDescent="0.2">
      <c r="A2155" s="5" t="s">
        <v>2682</v>
      </c>
      <c r="B2155" s="5" t="s">
        <v>2683</v>
      </c>
      <c r="C2155" s="8">
        <v>7</v>
      </c>
      <c r="D2155" s="5" t="s">
        <v>42</v>
      </c>
      <c r="E2155" s="5"/>
      <c r="G2155" s="5"/>
      <c r="H2155" s="5"/>
    </row>
    <row r="2156" spans="1:8" x14ac:dyDescent="0.2">
      <c r="A2156" s="5"/>
      <c r="B2156" s="5" t="s">
        <v>2684</v>
      </c>
      <c r="C2156" s="5"/>
      <c r="D2156" s="5" t="s">
        <v>322</v>
      </c>
      <c r="E2156" s="5"/>
      <c r="G2156" s="5"/>
      <c r="H2156" s="5"/>
    </row>
    <row r="2157" spans="1:8" x14ac:dyDescent="0.2">
      <c r="A2157" s="5"/>
      <c r="B2157" s="5" t="s">
        <v>2667</v>
      </c>
      <c r="C2157" s="5"/>
      <c r="D2157" s="5" t="s">
        <v>366</v>
      </c>
      <c r="E2157" s="5"/>
      <c r="G2157" s="5"/>
      <c r="H2157" s="5"/>
    </row>
    <row r="2158" spans="1:8" x14ac:dyDescent="0.2">
      <c r="A2158" s="5" t="s">
        <v>2685</v>
      </c>
      <c r="B2158" s="5" t="s">
        <v>2683</v>
      </c>
      <c r="C2158" s="8">
        <v>231</v>
      </c>
      <c r="D2158" s="5" t="s">
        <v>42</v>
      </c>
      <c r="E2158" s="5"/>
      <c r="G2158" s="5"/>
      <c r="H2158" s="5"/>
    </row>
    <row r="2159" spans="1:8" x14ac:dyDescent="0.2">
      <c r="A2159" s="5"/>
      <c r="B2159" s="5" t="s">
        <v>2686</v>
      </c>
      <c r="C2159" s="5"/>
      <c r="D2159" s="5" t="s">
        <v>366</v>
      </c>
      <c r="E2159" s="5"/>
      <c r="G2159" s="5"/>
      <c r="H2159" s="5"/>
    </row>
    <row r="2160" spans="1:8" x14ac:dyDescent="0.2">
      <c r="A2160" s="5" t="s">
        <v>2687</v>
      </c>
      <c r="B2160" s="5" t="s">
        <v>2683</v>
      </c>
      <c r="C2160" s="8">
        <v>11</v>
      </c>
      <c r="D2160" s="5" t="s">
        <v>42</v>
      </c>
      <c r="E2160" s="5"/>
      <c r="G2160" s="5"/>
      <c r="H2160" s="5"/>
    </row>
    <row r="2161" spans="1:8" x14ac:dyDescent="0.2">
      <c r="A2161" s="5" t="s">
        <v>2688</v>
      </c>
      <c r="B2161" s="5" t="s">
        <v>2689</v>
      </c>
      <c r="C2161" s="8">
        <v>65</v>
      </c>
      <c r="D2161" s="5" t="s">
        <v>42</v>
      </c>
      <c r="E2161" s="5"/>
      <c r="G2161" s="5"/>
      <c r="H2161" s="5"/>
    </row>
    <row r="2162" spans="1:8" x14ac:dyDescent="0.2">
      <c r="A2162" s="5"/>
      <c r="B2162" s="5" t="s">
        <v>2690</v>
      </c>
      <c r="C2162" s="5"/>
      <c r="D2162" s="5" t="s">
        <v>322</v>
      </c>
      <c r="E2162" s="5"/>
      <c r="G2162" s="5"/>
      <c r="H2162" s="5"/>
    </row>
    <row r="2163" spans="1:8" x14ac:dyDescent="0.2">
      <c r="A2163" s="5"/>
      <c r="B2163" s="5" t="s">
        <v>2667</v>
      </c>
      <c r="C2163" s="5"/>
      <c r="D2163" s="5" t="s">
        <v>366</v>
      </c>
      <c r="E2163" s="5"/>
      <c r="G2163" s="5"/>
      <c r="H2163" s="5"/>
    </row>
    <row r="2164" spans="1:8" x14ac:dyDescent="0.2">
      <c r="A2164" s="5" t="s">
        <v>2691</v>
      </c>
      <c r="B2164" s="5" t="s">
        <v>2683</v>
      </c>
      <c r="C2164" s="8">
        <v>41</v>
      </c>
      <c r="D2164" s="5" t="s">
        <v>42</v>
      </c>
      <c r="E2164" s="5"/>
      <c r="G2164" s="5"/>
      <c r="H2164" s="5"/>
    </row>
    <row r="2165" spans="1:8" x14ac:dyDescent="0.2">
      <c r="A2165" s="5" t="s">
        <v>2692</v>
      </c>
      <c r="B2165" s="5" t="s">
        <v>2693</v>
      </c>
      <c r="C2165" s="8">
        <v>53</v>
      </c>
      <c r="D2165" s="5" t="s">
        <v>42</v>
      </c>
      <c r="E2165" s="5"/>
      <c r="G2165" s="5"/>
      <c r="H2165" s="5"/>
    </row>
    <row r="2166" spans="1:8" x14ac:dyDescent="0.2">
      <c r="A2166" s="5"/>
      <c r="B2166" s="5" t="s">
        <v>2694</v>
      </c>
      <c r="C2166" s="5"/>
      <c r="D2166" s="5" t="s">
        <v>366</v>
      </c>
      <c r="E2166" s="5"/>
      <c r="G2166" s="5"/>
      <c r="H2166" s="5"/>
    </row>
    <row r="2167" spans="1:8" x14ac:dyDescent="0.2">
      <c r="A2167" s="5" t="s">
        <v>2695</v>
      </c>
      <c r="B2167" s="5" t="s">
        <v>2683</v>
      </c>
      <c r="C2167" s="8">
        <v>113</v>
      </c>
      <c r="D2167" s="5" t="s">
        <v>42</v>
      </c>
      <c r="E2167" s="5"/>
      <c r="G2167" s="5"/>
      <c r="H2167" s="5"/>
    </row>
    <row r="2168" spans="1:8" x14ac:dyDescent="0.2">
      <c r="A2168" s="5" t="s">
        <v>2696</v>
      </c>
      <c r="B2168" s="5" t="s">
        <v>2697</v>
      </c>
      <c r="C2168" s="8">
        <v>18</v>
      </c>
      <c r="D2168" s="5" t="s">
        <v>155</v>
      </c>
      <c r="E2168" s="5"/>
      <c r="G2168" s="5"/>
      <c r="H2168" s="5"/>
    </row>
    <row r="2169" spans="1:8" x14ac:dyDescent="0.2">
      <c r="A2169" s="5"/>
      <c r="B2169" s="5" t="s">
        <v>2698</v>
      </c>
      <c r="C2169" s="5"/>
      <c r="D2169" s="5" t="s">
        <v>322</v>
      </c>
      <c r="E2169" s="5"/>
      <c r="G2169" s="5"/>
      <c r="H2169" s="5"/>
    </row>
    <row r="2170" spans="1:8" x14ac:dyDescent="0.2">
      <c r="A2170" s="5"/>
      <c r="B2170" s="5" t="s">
        <v>2667</v>
      </c>
      <c r="C2170" s="5"/>
      <c r="D2170" s="5" t="s">
        <v>366</v>
      </c>
      <c r="E2170" s="5"/>
      <c r="G2170" s="5"/>
      <c r="H2170" s="5"/>
    </row>
    <row r="2171" spans="1:8" x14ac:dyDescent="0.2">
      <c r="A2171" s="5" t="s">
        <v>2699</v>
      </c>
      <c r="B2171" s="5" t="s">
        <v>2683</v>
      </c>
      <c r="C2171" s="8">
        <v>45</v>
      </c>
      <c r="D2171" s="5" t="s">
        <v>42</v>
      </c>
      <c r="E2171" s="5"/>
      <c r="G2171" s="5"/>
      <c r="H2171" s="5"/>
    </row>
    <row r="2172" spans="1:8" x14ac:dyDescent="0.2">
      <c r="A2172" s="5"/>
      <c r="B2172" s="5" t="s">
        <v>2654</v>
      </c>
      <c r="C2172" s="5"/>
      <c r="D2172" s="5" t="s">
        <v>322</v>
      </c>
      <c r="E2172" s="5"/>
      <c r="G2172" s="5"/>
      <c r="H2172" s="5"/>
    </row>
    <row r="2173" spans="1:8" x14ac:dyDescent="0.2">
      <c r="A2173" s="5"/>
      <c r="B2173" s="5" t="s">
        <v>2700</v>
      </c>
      <c r="C2173" s="5"/>
      <c r="D2173" s="5" t="s">
        <v>366</v>
      </c>
      <c r="E2173" s="5"/>
      <c r="G2173" s="5"/>
      <c r="H2173" s="5"/>
    </row>
    <row r="2174" spans="1:8" x14ac:dyDescent="0.2">
      <c r="A2174" s="5" t="s">
        <v>2701</v>
      </c>
      <c r="B2174" s="5" t="s">
        <v>2683</v>
      </c>
      <c r="C2174" s="8">
        <v>7</v>
      </c>
      <c r="D2174" s="5" t="s">
        <v>155</v>
      </c>
      <c r="E2174" s="5"/>
      <c r="G2174" s="5"/>
      <c r="H2174" s="5"/>
    </row>
    <row r="2175" spans="1:8" x14ac:dyDescent="0.2">
      <c r="A2175" s="5"/>
      <c r="B2175" s="5" t="s">
        <v>2702</v>
      </c>
      <c r="C2175" s="5"/>
      <c r="D2175" s="5" t="s">
        <v>366</v>
      </c>
      <c r="E2175" s="5"/>
      <c r="G2175" s="5"/>
      <c r="H2175" s="5"/>
    </row>
    <row r="2176" spans="1:8" x14ac:dyDescent="0.2">
      <c r="A2176" s="5" t="s">
        <v>2703</v>
      </c>
      <c r="B2176" s="5" t="s">
        <v>2683</v>
      </c>
      <c r="C2176" s="8">
        <v>4</v>
      </c>
      <c r="D2176" s="5" t="s">
        <v>155</v>
      </c>
      <c r="E2176" s="5"/>
      <c r="G2176" s="5"/>
      <c r="H2176" s="5"/>
    </row>
    <row r="2177" spans="1:9" x14ac:dyDescent="0.2">
      <c r="A2177" s="5"/>
      <c r="B2177" s="5" t="s">
        <v>2704</v>
      </c>
      <c r="C2177" s="5"/>
      <c r="D2177" s="5" t="s">
        <v>366</v>
      </c>
      <c r="E2177" s="5"/>
      <c r="G2177" s="5"/>
      <c r="H2177" s="5"/>
    </row>
    <row r="2178" spans="1:9" x14ac:dyDescent="0.2">
      <c r="A2178" s="5" t="s">
        <v>2705</v>
      </c>
      <c r="B2178" s="5" t="s">
        <v>2683</v>
      </c>
      <c r="C2178" s="8">
        <v>17</v>
      </c>
      <c r="D2178" s="5" t="s">
        <v>155</v>
      </c>
      <c r="E2178" s="5"/>
      <c r="G2178" s="5"/>
      <c r="H2178" s="5"/>
    </row>
    <row r="2179" spans="1:9" x14ac:dyDescent="0.2">
      <c r="A2179" s="5" t="s">
        <v>2706</v>
      </c>
      <c r="B2179" s="5" t="s">
        <v>2693</v>
      </c>
      <c r="C2179" s="8">
        <v>5</v>
      </c>
      <c r="D2179" s="5" t="s">
        <v>155</v>
      </c>
      <c r="E2179" s="5"/>
      <c r="G2179" s="5"/>
      <c r="H2179" s="5"/>
    </row>
    <row r="2180" spans="1:9" x14ac:dyDescent="0.2">
      <c r="A2180" s="5"/>
      <c r="B2180" s="5" t="s">
        <v>2707</v>
      </c>
      <c r="C2180" s="5"/>
      <c r="D2180" s="5" t="s">
        <v>366</v>
      </c>
      <c r="E2180" s="5"/>
      <c r="G2180" s="5"/>
      <c r="H2180" s="5"/>
    </row>
    <row r="2181" spans="1:9" x14ac:dyDescent="0.2">
      <c r="A2181" s="5" t="s">
        <v>2708</v>
      </c>
      <c r="B2181" s="5" t="s">
        <v>2683</v>
      </c>
      <c r="C2181" s="8">
        <v>4</v>
      </c>
      <c r="D2181" s="5" t="s">
        <v>155</v>
      </c>
      <c r="E2181" s="5"/>
      <c r="G2181" s="5"/>
      <c r="H2181" s="5"/>
    </row>
    <row r="2182" spans="1:9" x14ac:dyDescent="0.2">
      <c r="A2182" s="5"/>
      <c r="B2182" s="5" t="s">
        <v>2709</v>
      </c>
      <c r="C2182" s="5"/>
      <c r="D2182" s="5" t="s">
        <v>322</v>
      </c>
      <c r="E2182" s="5"/>
      <c r="G2182" s="5"/>
      <c r="H2182" s="5"/>
    </row>
    <row r="2183" spans="1:9" x14ac:dyDescent="0.2">
      <c r="A2183" s="5"/>
      <c r="B2183" s="5" t="s">
        <v>2710</v>
      </c>
      <c r="C2183" s="5"/>
      <c r="D2183" s="5" t="s">
        <v>366</v>
      </c>
      <c r="E2183" s="5"/>
      <c r="G2183" s="5"/>
      <c r="H2183" s="5"/>
    </row>
    <row r="2184" spans="1:9" x14ac:dyDescent="0.2">
      <c r="A2184" s="5" t="s">
        <v>2711</v>
      </c>
      <c r="B2184" s="5" t="s">
        <v>2689</v>
      </c>
      <c r="C2184" s="8">
        <v>4</v>
      </c>
      <c r="D2184" s="5" t="s">
        <v>155</v>
      </c>
      <c r="E2184" s="5"/>
      <c r="G2184" s="5"/>
      <c r="H2184" s="5"/>
    </row>
    <row r="2185" spans="1:9" x14ac:dyDescent="0.2">
      <c r="A2185" s="5"/>
      <c r="B2185" s="5" t="s">
        <v>2675</v>
      </c>
      <c r="C2185" s="5"/>
      <c r="D2185" s="5" t="s">
        <v>322</v>
      </c>
      <c r="E2185" s="5"/>
      <c r="G2185" s="5"/>
      <c r="H2185" s="5"/>
    </row>
    <row r="2186" spans="1:9" x14ac:dyDescent="0.2">
      <c r="A2186" s="5" t="s">
        <v>2712</v>
      </c>
      <c r="B2186" s="5" t="s">
        <v>2677</v>
      </c>
      <c r="C2186" s="8">
        <v>566</v>
      </c>
      <c r="D2186" s="5" t="s">
        <v>42</v>
      </c>
      <c r="E2186" s="5"/>
      <c r="G2186" s="5"/>
      <c r="H2186" s="5"/>
    </row>
    <row r="2187" spans="1:9" x14ac:dyDescent="0.2">
      <c r="A2187" s="5" t="s">
        <v>2713</v>
      </c>
      <c r="B2187" s="5" t="s">
        <v>2679</v>
      </c>
      <c r="C2187" s="8">
        <v>566</v>
      </c>
      <c r="D2187" s="5" t="s">
        <v>42</v>
      </c>
      <c r="E2187" s="5"/>
      <c r="G2187" s="5"/>
      <c r="H2187" s="5"/>
    </row>
    <row r="2188" spans="1:9" x14ac:dyDescent="0.2">
      <c r="A2188" s="5" t="s">
        <v>2714</v>
      </c>
      <c r="B2188" s="5" t="s">
        <v>2681</v>
      </c>
      <c r="C2188" s="8">
        <v>72</v>
      </c>
      <c r="D2188" s="5" t="s">
        <v>155</v>
      </c>
      <c r="E2188" s="5"/>
      <c r="G2188" s="5"/>
      <c r="H2188" s="5"/>
    </row>
    <row r="2189" spans="1:9" x14ac:dyDescent="0.2">
      <c r="B2189" s="6" t="s">
        <v>2715</v>
      </c>
      <c r="C2189" s="6"/>
      <c r="D2189" s="6"/>
      <c r="E2189" s="6"/>
      <c r="F2189" s="9">
        <f>ROUNDUP(SUM(H2070:H2189),2)</f>
        <v>0</v>
      </c>
      <c r="G2189" s="6"/>
      <c r="I2189" s="9">
        <f>PRODUCT(F2189,G2189)</f>
        <v>0</v>
      </c>
    </row>
    <row r="2191" spans="1:9" x14ac:dyDescent="0.2">
      <c r="A2191" s="6" t="s">
        <v>2716</v>
      </c>
      <c r="B2191" s="6" t="s">
        <v>2717</v>
      </c>
    </row>
    <row r="2192" spans="1:9" x14ac:dyDescent="0.2">
      <c r="A2192" s="5"/>
      <c r="B2192" s="5" t="s">
        <v>64</v>
      </c>
      <c r="C2192" s="5"/>
      <c r="D2192" s="5" t="s">
        <v>13</v>
      </c>
      <c r="E2192" s="5"/>
      <c r="G2192" s="5"/>
      <c r="H2192" s="5"/>
    </row>
    <row r="2193" spans="1:8" x14ac:dyDescent="0.2">
      <c r="A2193" s="5" t="s">
        <v>2718</v>
      </c>
      <c r="B2193" s="5" t="s">
        <v>66</v>
      </c>
      <c r="C2193" s="5"/>
      <c r="D2193" s="5" t="s">
        <v>18</v>
      </c>
      <c r="E2193" s="5"/>
      <c r="G2193" s="5"/>
      <c r="H2193" s="5"/>
    </row>
    <row r="2194" spans="1:8" x14ac:dyDescent="0.2">
      <c r="A2194" s="5" t="s">
        <v>2719</v>
      </c>
      <c r="B2194" s="5" t="s">
        <v>68</v>
      </c>
      <c r="C2194" s="5"/>
      <c r="D2194" s="5" t="s">
        <v>18</v>
      </c>
      <c r="E2194" s="5"/>
      <c r="G2194" s="5"/>
      <c r="H2194" s="5"/>
    </row>
    <row r="2195" spans="1:8" x14ac:dyDescent="0.2">
      <c r="A2195" s="5"/>
      <c r="B2195" s="5" t="s">
        <v>71</v>
      </c>
      <c r="C2195" s="5"/>
      <c r="D2195" s="5" t="s">
        <v>13</v>
      </c>
      <c r="E2195" s="5"/>
      <c r="G2195" s="5"/>
      <c r="H2195" s="5"/>
    </row>
    <row r="2196" spans="1:8" x14ac:dyDescent="0.2">
      <c r="A2196" s="5" t="s">
        <v>2720</v>
      </c>
      <c r="B2196" s="5" t="s">
        <v>2721</v>
      </c>
      <c r="C2196" s="5"/>
      <c r="D2196" s="5" t="s">
        <v>18</v>
      </c>
      <c r="E2196" s="5"/>
      <c r="G2196" s="5"/>
      <c r="H2196" s="5"/>
    </row>
    <row r="2197" spans="1:8" x14ac:dyDescent="0.2">
      <c r="A2197" s="5" t="s">
        <v>2722</v>
      </c>
      <c r="B2197" s="5" t="s">
        <v>269</v>
      </c>
      <c r="C2197" s="5"/>
      <c r="D2197" s="5" t="s">
        <v>18</v>
      </c>
      <c r="E2197" s="5"/>
      <c r="G2197" s="5"/>
      <c r="H2197" s="5"/>
    </row>
    <row r="2198" spans="1:8" x14ac:dyDescent="0.2">
      <c r="A2198" s="5"/>
      <c r="B2198" s="5" t="s">
        <v>76</v>
      </c>
      <c r="C2198" s="5"/>
      <c r="D2198" s="5" t="s">
        <v>13</v>
      </c>
      <c r="E2198" s="5"/>
      <c r="G2198" s="5"/>
      <c r="H2198" s="5"/>
    </row>
    <row r="2199" spans="1:8" x14ac:dyDescent="0.2">
      <c r="A2199" s="5"/>
      <c r="B2199" s="5" t="s">
        <v>77</v>
      </c>
      <c r="C2199" s="5"/>
      <c r="D2199" s="5" t="s">
        <v>15</v>
      </c>
      <c r="E2199" s="5"/>
      <c r="G2199" s="5"/>
      <c r="H2199" s="5"/>
    </row>
    <row r="2200" spans="1:8" x14ac:dyDescent="0.2">
      <c r="A2200" s="5" t="s">
        <v>2723</v>
      </c>
      <c r="B2200" s="5" t="s">
        <v>2724</v>
      </c>
      <c r="C2200" s="5"/>
      <c r="D2200" s="5" t="s">
        <v>18</v>
      </c>
      <c r="E2200" s="5"/>
      <c r="G2200" s="5"/>
      <c r="H2200" s="5"/>
    </row>
    <row r="2201" spans="1:8" x14ac:dyDescent="0.2">
      <c r="A2201" s="5" t="s">
        <v>2725</v>
      </c>
      <c r="B2201" s="5" t="s">
        <v>2286</v>
      </c>
      <c r="C2201" s="5"/>
      <c r="D2201" s="5" t="s">
        <v>18</v>
      </c>
      <c r="E2201" s="5"/>
      <c r="G2201" s="5"/>
      <c r="H2201" s="5"/>
    </row>
    <row r="2202" spans="1:8" x14ac:dyDescent="0.2">
      <c r="A2202" s="5" t="s">
        <v>2726</v>
      </c>
      <c r="B2202" s="5" t="s">
        <v>2727</v>
      </c>
      <c r="C2202" s="5"/>
      <c r="D2202" s="5" t="s">
        <v>18</v>
      </c>
      <c r="E2202" s="5"/>
      <c r="G2202" s="5"/>
      <c r="H2202" s="5"/>
    </row>
    <row r="2203" spans="1:8" x14ac:dyDescent="0.2">
      <c r="A2203" s="5" t="s">
        <v>2728</v>
      </c>
      <c r="B2203" s="5" t="s">
        <v>2729</v>
      </c>
      <c r="C2203" s="5"/>
      <c r="D2203" s="5" t="s">
        <v>18</v>
      </c>
      <c r="E2203" s="5"/>
      <c r="G2203" s="5"/>
      <c r="H2203" s="5"/>
    </row>
    <row r="2204" spans="1:8" x14ac:dyDescent="0.2">
      <c r="A2204" s="5" t="s">
        <v>2730</v>
      </c>
      <c r="B2204" s="5" t="s">
        <v>2731</v>
      </c>
      <c r="C2204" s="5"/>
      <c r="D2204" s="5" t="s">
        <v>18</v>
      </c>
      <c r="E2204" s="5"/>
      <c r="G2204" s="5"/>
      <c r="H2204" s="5"/>
    </row>
    <row r="2205" spans="1:8" x14ac:dyDescent="0.2">
      <c r="A2205" s="5" t="s">
        <v>2732</v>
      </c>
      <c r="B2205" s="5" t="s">
        <v>2733</v>
      </c>
      <c r="C2205" s="5"/>
      <c r="D2205" s="5" t="s">
        <v>18</v>
      </c>
      <c r="E2205" s="5"/>
      <c r="G2205" s="5"/>
      <c r="H2205" s="5"/>
    </row>
    <row r="2206" spans="1:8" x14ac:dyDescent="0.2">
      <c r="A2206" s="5" t="s">
        <v>2734</v>
      </c>
      <c r="B2206" s="5" t="s">
        <v>2735</v>
      </c>
      <c r="C2206" s="5"/>
      <c r="D2206" s="5" t="s">
        <v>18</v>
      </c>
      <c r="E2206" s="5"/>
      <c r="G2206" s="5"/>
      <c r="H2206" s="5"/>
    </row>
    <row r="2207" spans="1:8" x14ac:dyDescent="0.2">
      <c r="A2207" s="5" t="s">
        <v>2736</v>
      </c>
      <c r="B2207" s="5" t="s">
        <v>2737</v>
      </c>
      <c r="C2207" s="5"/>
      <c r="D2207" s="5" t="s">
        <v>18</v>
      </c>
      <c r="E2207" s="5"/>
      <c r="G2207" s="5"/>
      <c r="H2207" s="5"/>
    </row>
    <row r="2208" spans="1:8" x14ac:dyDescent="0.2">
      <c r="A2208" s="5" t="s">
        <v>2738</v>
      </c>
      <c r="B2208" s="5" t="s">
        <v>2739</v>
      </c>
      <c r="C2208" s="5"/>
      <c r="D2208" s="5" t="s">
        <v>18</v>
      </c>
      <c r="E2208" s="5"/>
      <c r="G2208" s="5"/>
      <c r="H2208" s="5"/>
    </row>
    <row r="2209" spans="1:8" x14ac:dyDescent="0.2">
      <c r="A2209" s="5" t="s">
        <v>2740</v>
      </c>
      <c r="B2209" s="5" t="s">
        <v>2741</v>
      </c>
      <c r="C2209" s="5"/>
      <c r="D2209" s="5" t="s">
        <v>18</v>
      </c>
      <c r="E2209" s="5"/>
      <c r="G2209" s="5"/>
      <c r="H2209" s="5"/>
    </row>
    <row r="2210" spans="1:8" x14ac:dyDescent="0.2">
      <c r="A2210" s="5" t="s">
        <v>2742</v>
      </c>
      <c r="B2210" s="5" t="s">
        <v>2743</v>
      </c>
      <c r="C2210" s="5"/>
      <c r="D2210" s="5" t="s">
        <v>18</v>
      </c>
      <c r="E2210" s="5"/>
      <c r="G2210" s="5"/>
      <c r="H2210" s="5"/>
    </row>
    <row r="2211" spans="1:8" x14ac:dyDescent="0.2">
      <c r="A2211" s="5" t="s">
        <v>2744</v>
      </c>
      <c r="B2211" s="5" t="s">
        <v>2745</v>
      </c>
      <c r="C2211" s="5"/>
      <c r="D2211" s="5" t="s">
        <v>18</v>
      </c>
      <c r="E2211" s="5"/>
      <c r="G2211" s="5"/>
      <c r="H2211" s="5"/>
    </row>
    <row r="2212" spans="1:8" x14ac:dyDescent="0.2">
      <c r="A2212" s="5" t="s">
        <v>2746</v>
      </c>
      <c r="B2212" s="5" t="s">
        <v>299</v>
      </c>
      <c r="C2212" s="5"/>
      <c r="D2212" s="5" t="s">
        <v>18</v>
      </c>
      <c r="E2212" s="5"/>
      <c r="G2212" s="5"/>
      <c r="H2212" s="5"/>
    </row>
    <row r="2213" spans="1:8" x14ac:dyDescent="0.2">
      <c r="A2213" s="5"/>
      <c r="B2213" s="5" t="s">
        <v>94</v>
      </c>
      <c r="C2213" s="5"/>
      <c r="D2213" s="5" t="s">
        <v>13</v>
      </c>
      <c r="E2213" s="5"/>
      <c r="G2213" s="5"/>
      <c r="H2213" s="5"/>
    </row>
    <row r="2214" spans="1:8" x14ac:dyDescent="0.2">
      <c r="A2214" s="5" t="s">
        <v>2747</v>
      </c>
      <c r="B2214" s="5" t="s">
        <v>2748</v>
      </c>
      <c r="C2214" s="8">
        <v>1</v>
      </c>
      <c r="D2214" s="5" t="s">
        <v>97</v>
      </c>
      <c r="E2214" s="5"/>
      <c r="G2214" s="5"/>
      <c r="H2214" s="5"/>
    </row>
    <row r="2215" spans="1:8" x14ac:dyDescent="0.2">
      <c r="A2215" s="5" t="s">
        <v>2749</v>
      </c>
      <c r="B2215" s="5" t="s">
        <v>2750</v>
      </c>
      <c r="C2215" s="8">
        <v>1</v>
      </c>
      <c r="D2215" s="5" t="s">
        <v>97</v>
      </c>
      <c r="E2215" s="5"/>
      <c r="G2215" s="5"/>
      <c r="H2215" s="5"/>
    </row>
    <row r="2216" spans="1:8" x14ac:dyDescent="0.2">
      <c r="A2216" s="5" t="s">
        <v>2751</v>
      </c>
      <c r="B2216" s="5" t="s">
        <v>305</v>
      </c>
      <c r="C2216" s="8">
        <v>1</v>
      </c>
      <c r="D2216" s="5" t="s">
        <v>97</v>
      </c>
      <c r="E2216" s="5"/>
      <c r="G2216" s="5"/>
      <c r="H2216" s="5"/>
    </row>
    <row r="2217" spans="1:8" x14ac:dyDescent="0.2">
      <c r="A2217" s="5" t="s">
        <v>2752</v>
      </c>
      <c r="B2217" s="5" t="s">
        <v>111</v>
      </c>
      <c r="C2217" s="8">
        <v>1</v>
      </c>
      <c r="D2217" s="5" t="s">
        <v>97</v>
      </c>
      <c r="E2217" s="5"/>
      <c r="G2217" s="5"/>
      <c r="H2217" s="5"/>
    </row>
    <row r="2218" spans="1:8" x14ac:dyDescent="0.2">
      <c r="A2218" s="5" t="s">
        <v>2753</v>
      </c>
      <c r="B2218" s="5" t="s">
        <v>2754</v>
      </c>
      <c r="C2218" s="8">
        <v>1</v>
      </c>
      <c r="D2218" s="5" t="s">
        <v>97</v>
      </c>
      <c r="E2218" s="5"/>
      <c r="G2218" s="5"/>
      <c r="H2218" s="5"/>
    </row>
    <row r="2219" spans="1:8" x14ac:dyDescent="0.2">
      <c r="A2219" s="5" t="s">
        <v>2755</v>
      </c>
      <c r="B2219" s="5" t="s">
        <v>2756</v>
      </c>
      <c r="C2219" s="8">
        <v>1</v>
      </c>
      <c r="D2219" s="5" t="s">
        <v>97</v>
      </c>
      <c r="E2219" s="5"/>
      <c r="G2219" s="5"/>
      <c r="H2219" s="5"/>
    </row>
    <row r="2220" spans="1:8" x14ac:dyDescent="0.2">
      <c r="A2220" s="5" t="s">
        <v>2757</v>
      </c>
      <c r="B2220" s="5" t="s">
        <v>2758</v>
      </c>
      <c r="C2220" s="8">
        <v>1</v>
      </c>
      <c r="D2220" s="5" t="s">
        <v>97</v>
      </c>
      <c r="E2220" s="5"/>
      <c r="G2220" s="5"/>
      <c r="H2220" s="5"/>
    </row>
    <row r="2221" spans="1:8" x14ac:dyDescent="0.2">
      <c r="A2221" s="5" t="s">
        <v>2759</v>
      </c>
      <c r="B2221" s="5" t="s">
        <v>2000</v>
      </c>
      <c r="C2221" s="8">
        <v>1</v>
      </c>
      <c r="D2221" s="5" t="s">
        <v>97</v>
      </c>
      <c r="E2221" s="5"/>
      <c r="G2221" s="5"/>
      <c r="H2221" s="5"/>
    </row>
    <row r="2222" spans="1:8" x14ac:dyDescent="0.2">
      <c r="A2222" s="5" t="s">
        <v>2760</v>
      </c>
      <c r="B2222" s="5" t="s">
        <v>2761</v>
      </c>
      <c r="C2222" s="8">
        <v>1</v>
      </c>
      <c r="D2222" s="5" t="s">
        <v>97</v>
      </c>
      <c r="E2222" s="5"/>
      <c r="G2222" s="5"/>
      <c r="H2222" s="5"/>
    </row>
    <row r="2223" spans="1:8" x14ac:dyDescent="0.2">
      <c r="A2223" s="5"/>
      <c r="B2223" s="5" t="s">
        <v>38</v>
      </c>
      <c r="C2223" s="5"/>
      <c r="D2223" s="5" t="s">
        <v>13</v>
      </c>
      <c r="E2223" s="5"/>
      <c r="G2223" s="5"/>
      <c r="H2223" s="5"/>
    </row>
    <row r="2224" spans="1:8" x14ac:dyDescent="0.2">
      <c r="A2224" s="5"/>
      <c r="B2224" s="5" t="s">
        <v>2762</v>
      </c>
      <c r="C2224" s="5"/>
      <c r="D2224" s="5" t="s">
        <v>15</v>
      </c>
      <c r="E2224" s="5"/>
      <c r="G2224" s="5"/>
      <c r="H2224" s="5"/>
    </row>
    <row r="2225" spans="1:8" x14ac:dyDescent="0.2">
      <c r="A2225" s="5"/>
      <c r="B2225" s="5" t="s">
        <v>41</v>
      </c>
      <c r="C2225" s="5"/>
      <c r="D2225" s="5" t="s">
        <v>322</v>
      </c>
      <c r="E2225" s="5"/>
      <c r="G2225" s="5"/>
      <c r="H2225" s="5"/>
    </row>
    <row r="2226" spans="1:8" x14ac:dyDescent="0.2">
      <c r="A2226" s="5"/>
      <c r="B2226" s="5" t="s">
        <v>2763</v>
      </c>
      <c r="C2226" s="5"/>
      <c r="D2226" s="5" t="s">
        <v>366</v>
      </c>
      <c r="E2226" s="5"/>
      <c r="G2226" s="5"/>
      <c r="H2226" s="5"/>
    </row>
    <row r="2227" spans="1:8" x14ac:dyDescent="0.2">
      <c r="A2227" s="5" t="s">
        <v>2764</v>
      </c>
      <c r="B2227" s="5" t="s">
        <v>2765</v>
      </c>
      <c r="C2227" s="8">
        <v>1</v>
      </c>
      <c r="D2227" s="5" t="s">
        <v>162</v>
      </c>
      <c r="E2227" s="5"/>
      <c r="G2227" s="5"/>
      <c r="H2227" s="5"/>
    </row>
    <row r="2228" spans="1:8" x14ac:dyDescent="0.2">
      <c r="A2228" s="5"/>
      <c r="B2228" s="5" t="s">
        <v>2766</v>
      </c>
      <c r="C2228" s="5"/>
      <c r="D2228" s="5" t="s">
        <v>366</v>
      </c>
      <c r="E2228" s="5"/>
      <c r="G2228" s="5"/>
      <c r="H2228" s="5"/>
    </row>
    <row r="2229" spans="1:8" x14ac:dyDescent="0.2">
      <c r="A2229" s="5" t="s">
        <v>2767</v>
      </c>
      <c r="B2229" s="5" t="s">
        <v>2768</v>
      </c>
      <c r="C2229" s="8">
        <v>2</v>
      </c>
      <c r="D2229" s="5" t="s">
        <v>162</v>
      </c>
      <c r="E2229" s="5"/>
      <c r="G2229" s="5"/>
      <c r="H2229" s="5"/>
    </row>
    <row r="2230" spans="1:8" x14ac:dyDescent="0.2">
      <c r="A2230" s="5" t="s">
        <v>2769</v>
      </c>
      <c r="B2230" s="5" t="s">
        <v>2770</v>
      </c>
      <c r="C2230" s="8">
        <v>1</v>
      </c>
      <c r="D2230" s="5" t="s">
        <v>162</v>
      </c>
      <c r="E2230" s="5"/>
      <c r="G2230" s="5"/>
      <c r="H2230" s="5"/>
    </row>
    <row r="2231" spans="1:8" x14ac:dyDescent="0.2">
      <c r="A2231" s="5" t="s">
        <v>2771</v>
      </c>
      <c r="B2231" s="5" t="s">
        <v>2772</v>
      </c>
      <c r="C2231" s="8">
        <v>1</v>
      </c>
      <c r="D2231" s="5" t="s">
        <v>162</v>
      </c>
      <c r="E2231" s="5"/>
      <c r="G2231" s="5"/>
      <c r="H2231" s="5"/>
    </row>
    <row r="2232" spans="1:8" x14ac:dyDescent="0.2">
      <c r="A2232" s="5" t="s">
        <v>2773</v>
      </c>
      <c r="B2232" s="5" t="s">
        <v>2774</v>
      </c>
      <c r="C2232" s="8">
        <v>1</v>
      </c>
      <c r="D2232" s="5" t="s">
        <v>162</v>
      </c>
      <c r="E2232" s="5"/>
      <c r="G2232" s="5"/>
      <c r="H2232" s="5"/>
    </row>
    <row r="2233" spans="1:8" x14ac:dyDescent="0.2">
      <c r="A2233" s="5"/>
      <c r="B2233" s="5" t="s">
        <v>44</v>
      </c>
      <c r="C2233" s="5"/>
      <c r="D2233" s="5" t="s">
        <v>322</v>
      </c>
      <c r="E2233" s="5"/>
      <c r="G2233" s="5"/>
      <c r="H2233" s="5"/>
    </row>
    <row r="2234" spans="1:8" x14ac:dyDescent="0.2">
      <c r="A2234" s="5"/>
      <c r="B2234" s="5" t="s">
        <v>2763</v>
      </c>
      <c r="C2234" s="5"/>
      <c r="D2234" s="5" t="s">
        <v>366</v>
      </c>
      <c r="E2234" s="5"/>
      <c r="G2234" s="5"/>
      <c r="H2234" s="5"/>
    </row>
    <row r="2235" spans="1:8" x14ac:dyDescent="0.2">
      <c r="A2235" s="5" t="s">
        <v>2775</v>
      </c>
      <c r="B2235" s="5" t="s">
        <v>2776</v>
      </c>
      <c r="C2235" s="8">
        <v>3</v>
      </c>
      <c r="D2235" s="5" t="s">
        <v>162</v>
      </c>
      <c r="E2235" s="5"/>
      <c r="G2235" s="5"/>
      <c r="H2235" s="5"/>
    </row>
    <row r="2236" spans="1:8" x14ac:dyDescent="0.2">
      <c r="A2236" s="5" t="s">
        <v>2777</v>
      </c>
      <c r="B2236" s="5" t="s">
        <v>2778</v>
      </c>
      <c r="C2236" s="8">
        <v>1</v>
      </c>
      <c r="D2236" s="5" t="s">
        <v>162</v>
      </c>
      <c r="E2236" s="5"/>
      <c r="G2236" s="5"/>
      <c r="H2236" s="5"/>
    </row>
    <row r="2237" spans="1:8" x14ac:dyDescent="0.2">
      <c r="A2237" s="5" t="s">
        <v>2779</v>
      </c>
      <c r="B2237" s="5" t="s">
        <v>2780</v>
      </c>
      <c r="C2237" s="8">
        <v>1</v>
      </c>
      <c r="D2237" s="5" t="s">
        <v>162</v>
      </c>
      <c r="E2237" s="5"/>
      <c r="G2237" s="5"/>
      <c r="H2237" s="5"/>
    </row>
    <row r="2238" spans="1:8" x14ac:dyDescent="0.2">
      <c r="A2238" s="5" t="s">
        <v>2781</v>
      </c>
      <c r="B2238" s="5" t="s">
        <v>2782</v>
      </c>
      <c r="C2238" s="8">
        <v>1</v>
      </c>
      <c r="D2238" s="5" t="s">
        <v>162</v>
      </c>
      <c r="E2238" s="5"/>
      <c r="G2238" s="5"/>
      <c r="H2238" s="5"/>
    </row>
    <row r="2239" spans="1:8" x14ac:dyDescent="0.2">
      <c r="A2239" s="5" t="s">
        <v>2783</v>
      </c>
      <c r="B2239" s="5" t="s">
        <v>2784</v>
      </c>
      <c r="C2239" s="8">
        <v>1</v>
      </c>
      <c r="D2239" s="5" t="s">
        <v>162</v>
      </c>
      <c r="E2239" s="5"/>
      <c r="G2239" s="5"/>
      <c r="H2239" s="5"/>
    </row>
    <row r="2240" spans="1:8" x14ac:dyDescent="0.2">
      <c r="A2240" s="5" t="s">
        <v>2785</v>
      </c>
      <c r="B2240" s="5" t="s">
        <v>2786</v>
      </c>
      <c r="C2240" s="8">
        <v>1</v>
      </c>
      <c r="D2240" s="5" t="s">
        <v>162</v>
      </c>
      <c r="E2240" s="5"/>
      <c r="G2240" s="5"/>
      <c r="H2240" s="5"/>
    </row>
    <row r="2241" spans="1:8" x14ac:dyDescent="0.2">
      <c r="A2241" s="5" t="s">
        <v>2787</v>
      </c>
      <c r="B2241" s="5" t="s">
        <v>2788</v>
      </c>
      <c r="C2241" s="8">
        <v>2</v>
      </c>
      <c r="D2241" s="5" t="s">
        <v>162</v>
      </c>
      <c r="E2241" s="5"/>
      <c r="G2241" s="5"/>
      <c r="H2241" s="5"/>
    </row>
    <row r="2242" spans="1:8" x14ac:dyDescent="0.2">
      <c r="A2242" s="5"/>
      <c r="B2242" s="5" t="s">
        <v>2766</v>
      </c>
      <c r="C2242" s="5"/>
      <c r="D2242" s="5" t="s">
        <v>366</v>
      </c>
      <c r="E2242" s="5"/>
      <c r="G2242" s="5"/>
      <c r="H2242" s="5"/>
    </row>
    <row r="2243" spans="1:8" x14ac:dyDescent="0.2">
      <c r="A2243" s="5" t="s">
        <v>2789</v>
      </c>
      <c r="B2243" s="5" t="s">
        <v>2790</v>
      </c>
      <c r="C2243" s="8">
        <v>3</v>
      </c>
      <c r="D2243" s="5" t="s">
        <v>162</v>
      </c>
      <c r="E2243" s="5"/>
      <c r="G2243" s="5"/>
      <c r="H2243" s="5"/>
    </row>
    <row r="2244" spans="1:8" x14ac:dyDescent="0.2">
      <c r="A2244" s="5" t="s">
        <v>2791</v>
      </c>
      <c r="B2244" s="5" t="s">
        <v>2792</v>
      </c>
      <c r="C2244" s="8">
        <v>3</v>
      </c>
      <c r="D2244" s="5" t="s">
        <v>162</v>
      </c>
      <c r="E2244" s="5"/>
      <c r="G2244" s="5"/>
      <c r="H2244" s="5"/>
    </row>
    <row r="2245" spans="1:8" x14ac:dyDescent="0.2">
      <c r="A2245" s="5" t="s">
        <v>2793</v>
      </c>
      <c r="B2245" s="5" t="s">
        <v>2794</v>
      </c>
      <c r="C2245" s="8">
        <v>1</v>
      </c>
      <c r="D2245" s="5" t="s">
        <v>162</v>
      </c>
      <c r="E2245" s="5"/>
      <c r="G2245" s="5"/>
      <c r="H2245" s="5"/>
    </row>
    <row r="2246" spans="1:8" x14ac:dyDescent="0.2">
      <c r="A2246" s="5" t="s">
        <v>2795</v>
      </c>
      <c r="B2246" s="5" t="s">
        <v>2796</v>
      </c>
      <c r="C2246" s="8">
        <v>1</v>
      </c>
      <c r="D2246" s="5" t="s">
        <v>162</v>
      </c>
      <c r="E2246" s="5"/>
      <c r="G2246" s="5"/>
      <c r="H2246" s="5"/>
    </row>
    <row r="2247" spans="1:8" x14ac:dyDescent="0.2">
      <c r="A2247" s="5" t="s">
        <v>2797</v>
      </c>
      <c r="B2247" s="5" t="s">
        <v>2798</v>
      </c>
      <c r="C2247" s="8">
        <v>2</v>
      </c>
      <c r="D2247" s="5" t="s">
        <v>162</v>
      </c>
      <c r="E2247" s="5"/>
      <c r="G2247" s="5"/>
      <c r="H2247" s="5"/>
    </row>
    <row r="2248" spans="1:8" x14ac:dyDescent="0.2">
      <c r="A2248" s="5" t="s">
        <v>2799</v>
      </c>
      <c r="B2248" s="5" t="s">
        <v>2800</v>
      </c>
      <c r="C2248" s="8">
        <v>3</v>
      </c>
      <c r="D2248" s="5" t="s">
        <v>162</v>
      </c>
      <c r="E2248" s="5"/>
      <c r="G2248" s="5"/>
      <c r="H2248" s="5"/>
    </row>
    <row r="2249" spans="1:8" x14ac:dyDescent="0.2">
      <c r="A2249" s="5" t="s">
        <v>2801</v>
      </c>
      <c r="B2249" s="5" t="s">
        <v>2802</v>
      </c>
      <c r="C2249" s="8">
        <v>2</v>
      </c>
      <c r="D2249" s="5" t="s">
        <v>162</v>
      </c>
      <c r="E2249" s="5"/>
      <c r="G2249" s="5"/>
      <c r="H2249" s="5"/>
    </row>
    <row r="2250" spans="1:8" x14ac:dyDescent="0.2">
      <c r="A2250" s="5" t="s">
        <v>2803</v>
      </c>
      <c r="B2250" s="5" t="s">
        <v>2804</v>
      </c>
      <c r="C2250" s="8">
        <v>1</v>
      </c>
      <c r="D2250" s="5" t="s">
        <v>162</v>
      </c>
      <c r="E2250" s="5"/>
      <c r="G2250" s="5"/>
      <c r="H2250" s="5"/>
    </row>
    <row r="2251" spans="1:8" x14ac:dyDescent="0.2">
      <c r="A2251" s="5" t="s">
        <v>2805</v>
      </c>
      <c r="B2251" s="5" t="s">
        <v>2806</v>
      </c>
      <c r="C2251" s="8">
        <v>1</v>
      </c>
      <c r="D2251" s="5" t="s">
        <v>162</v>
      </c>
      <c r="E2251" s="5"/>
      <c r="G2251" s="5"/>
      <c r="H2251" s="5"/>
    </row>
    <row r="2252" spans="1:8" x14ac:dyDescent="0.2">
      <c r="A2252" s="5" t="s">
        <v>2807</v>
      </c>
      <c r="B2252" s="5" t="s">
        <v>2808</v>
      </c>
      <c r="C2252" s="8">
        <v>2</v>
      </c>
      <c r="D2252" s="5" t="s">
        <v>162</v>
      </c>
      <c r="E2252" s="5"/>
      <c r="G2252" s="5"/>
      <c r="H2252" s="5"/>
    </row>
    <row r="2253" spans="1:8" x14ac:dyDescent="0.2">
      <c r="A2253" s="5" t="s">
        <v>2809</v>
      </c>
      <c r="B2253" s="5" t="s">
        <v>2810</v>
      </c>
      <c r="C2253" s="8">
        <v>1</v>
      </c>
      <c r="D2253" s="5" t="s">
        <v>162</v>
      </c>
      <c r="E2253" s="5"/>
      <c r="G2253" s="5"/>
      <c r="H2253" s="5"/>
    </row>
    <row r="2254" spans="1:8" x14ac:dyDescent="0.2">
      <c r="A2254" s="5" t="s">
        <v>2811</v>
      </c>
      <c r="B2254" s="5" t="s">
        <v>2812</v>
      </c>
      <c r="C2254" s="8">
        <v>2</v>
      </c>
      <c r="D2254" s="5" t="s">
        <v>162</v>
      </c>
      <c r="E2254" s="5"/>
      <c r="G2254" s="5"/>
      <c r="H2254" s="5"/>
    </row>
    <row r="2255" spans="1:8" x14ac:dyDescent="0.2">
      <c r="A2255" s="5"/>
      <c r="B2255" s="5" t="s">
        <v>46</v>
      </c>
      <c r="C2255" s="5"/>
      <c r="D2255" s="5" t="s">
        <v>322</v>
      </c>
      <c r="E2255" s="5"/>
      <c r="G2255" s="5"/>
      <c r="H2255" s="5"/>
    </row>
    <row r="2256" spans="1:8" x14ac:dyDescent="0.2">
      <c r="A2256" s="5"/>
      <c r="B2256" s="5" t="s">
        <v>2763</v>
      </c>
      <c r="C2256" s="5"/>
      <c r="D2256" s="5" t="s">
        <v>366</v>
      </c>
      <c r="E2256" s="5"/>
      <c r="G2256" s="5"/>
      <c r="H2256" s="5"/>
    </row>
    <row r="2257" spans="1:8" x14ac:dyDescent="0.2">
      <c r="A2257" s="5" t="s">
        <v>2813</v>
      </c>
      <c r="B2257" s="5" t="s">
        <v>2776</v>
      </c>
      <c r="C2257" s="8">
        <v>2</v>
      </c>
      <c r="D2257" s="5" t="s">
        <v>162</v>
      </c>
      <c r="E2257" s="5"/>
      <c r="G2257" s="5"/>
      <c r="H2257" s="5"/>
    </row>
    <row r="2258" spans="1:8" x14ac:dyDescent="0.2">
      <c r="A2258" s="5" t="s">
        <v>2814</v>
      </c>
      <c r="B2258" s="5" t="s">
        <v>2815</v>
      </c>
      <c r="C2258" s="8">
        <v>3</v>
      </c>
      <c r="D2258" s="5" t="s">
        <v>162</v>
      </c>
      <c r="E2258" s="5"/>
      <c r="G2258" s="5"/>
      <c r="H2258" s="5"/>
    </row>
    <row r="2259" spans="1:8" x14ac:dyDescent="0.2">
      <c r="A2259" s="5" t="s">
        <v>2816</v>
      </c>
      <c r="B2259" s="5" t="s">
        <v>2817</v>
      </c>
      <c r="C2259" s="8">
        <v>1</v>
      </c>
      <c r="D2259" s="5" t="s">
        <v>162</v>
      </c>
      <c r="E2259" s="5"/>
      <c r="G2259" s="5"/>
      <c r="H2259" s="5"/>
    </row>
    <row r="2260" spans="1:8" x14ac:dyDescent="0.2">
      <c r="A2260" s="5" t="s">
        <v>2818</v>
      </c>
      <c r="B2260" s="5" t="s">
        <v>2819</v>
      </c>
      <c r="C2260" s="8">
        <v>1</v>
      </c>
      <c r="D2260" s="5" t="s">
        <v>162</v>
      </c>
      <c r="E2260" s="5"/>
      <c r="G2260" s="5"/>
      <c r="H2260" s="5"/>
    </row>
    <row r="2261" spans="1:8" x14ac:dyDescent="0.2">
      <c r="A2261" s="5" t="s">
        <v>2820</v>
      </c>
      <c r="B2261" s="5" t="s">
        <v>2821</v>
      </c>
      <c r="C2261" s="8">
        <v>1</v>
      </c>
      <c r="D2261" s="5" t="s">
        <v>162</v>
      </c>
      <c r="E2261" s="5"/>
      <c r="G2261" s="5"/>
      <c r="H2261" s="5"/>
    </row>
    <row r="2262" spans="1:8" x14ac:dyDescent="0.2">
      <c r="A2262" s="5" t="s">
        <v>2822</v>
      </c>
      <c r="B2262" s="5" t="s">
        <v>2788</v>
      </c>
      <c r="C2262" s="8">
        <v>2</v>
      </c>
      <c r="D2262" s="5" t="s">
        <v>162</v>
      </c>
      <c r="E2262" s="5"/>
      <c r="G2262" s="5"/>
      <c r="H2262" s="5"/>
    </row>
    <row r="2263" spans="1:8" x14ac:dyDescent="0.2">
      <c r="A2263" s="5"/>
      <c r="B2263" s="5" t="s">
        <v>2766</v>
      </c>
      <c r="C2263" s="5"/>
      <c r="D2263" s="5" t="s">
        <v>366</v>
      </c>
      <c r="E2263" s="5"/>
      <c r="G2263" s="5"/>
      <c r="H2263" s="5"/>
    </row>
    <row r="2264" spans="1:8" x14ac:dyDescent="0.2">
      <c r="A2264" s="5" t="s">
        <v>2823</v>
      </c>
      <c r="B2264" s="5" t="s">
        <v>2790</v>
      </c>
      <c r="C2264" s="8">
        <v>1</v>
      </c>
      <c r="D2264" s="5" t="s">
        <v>162</v>
      </c>
      <c r="E2264" s="5"/>
      <c r="G2264" s="5"/>
      <c r="H2264" s="5"/>
    </row>
    <row r="2265" spans="1:8" x14ac:dyDescent="0.2">
      <c r="A2265" s="5" t="s">
        <v>2824</v>
      </c>
      <c r="B2265" s="5" t="s">
        <v>2792</v>
      </c>
      <c r="C2265" s="8">
        <v>3</v>
      </c>
      <c r="D2265" s="5" t="s">
        <v>162</v>
      </c>
      <c r="E2265" s="5"/>
      <c r="G2265" s="5"/>
      <c r="H2265" s="5"/>
    </row>
    <row r="2266" spans="1:8" x14ac:dyDescent="0.2">
      <c r="A2266" s="5" t="s">
        <v>2825</v>
      </c>
      <c r="B2266" s="5" t="s">
        <v>2794</v>
      </c>
      <c r="C2266" s="8">
        <v>2</v>
      </c>
      <c r="D2266" s="5" t="s">
        <v>162</v>
      </c>
      <c r="E2266" s="5"/>
      <c r="G2266" s="5"/>
      <c r="H2266" s="5"/>
    </row>
    <row r="2267" spans="1:8" x14ac:dyDescent="0.2">
      <c r="A2267" s="5" t="s">
        <v>2826</v>
      </c>
      <c r="B2267" s="5" t="s">
        <v>2796</v>
      </c>
      <c r="C2267" s="8">
        <v>1</v>
      </c>
      <c r="D2267" s="5" t="s">
        <v>162</v>
      </c>
      <c r="E2267" s="5"/>
      <c r="G2267" s="5"/>
      <c r="H2267" s="5"/>
    </row>
    <row r="2268" spans="1:8" x14ac:dyDescent="0.2">
      <c r="A2268" s="5" t="s">
        <v>2827</v>
      </c>
      <c r="B2268" s="5" t="s">
        <v>2798</v>
      </c>
      <c r="C2268" s="8">
        <v>1</v>
      </c>
      <c r="D2268" s="5" t="s">
        <v>162</v>
      </c>
      <c r="E2268" s="5"/>
      <c r="G2268" s="5"/>
      <c r="H2268" s="5"/>
    </row>
    <row r="2269" spans="1:8" x14ac:dyDescent="0.2">
      <c r="A2269" s="5" t="s">
        <v>2828</v>
      </c>
      <c r="B2269" s="5" t="s">
        <v>2800</v>
      </c>
      <c r="C2269" s="8">
        <v>1</v>
      </c>
      <c r="D2269" s="5" t="s">
        <v>162</v>
      </c>
      <c r="E2269" s="5"/>
      <c r="G2269" s="5"/>
      <c r="H2269" s="5"/>
    </row>
    <row r="2270" spans="1:8" x14ac:dyDescent="0.2">
      <c r="A2270" s="5" t="s">
        <v>2829</v>
      </c>
      <c r="B2270" s="5" t="s">
        <v>2802</v>
      </c>
      <c r="C2270" s="8">
        <v>1</v>
      </c>
      <c r="D2270" s="5" t="s">
        <v>162</v>
      </c>
      <c r="E2270" s="5"/>
      <c r="G2270" s="5"/>
      <c r="H2270" s="5"/>
    </row>
    <row r="2271" spans="1:8" x14ac:dyDescent="0.2">
      <c r="A2271" s="5" t="s">
        <v>2830</v>
      </c>
      <c r="B2271" s="5" t="s">
        <v>2831</v>
      </c>
      <c r="C2271" s="8">
        <v>1</v>
      </c>
      <c r="D2271" s="5" t="s">
        <v>162</v>
      </c>
      <c r="E2271" s="5"/>
      <c r="G2271" s="5"/>
      <c r="H2271" s="5"/>
    </row>
    <row r="2272" spans="1:8" x14ac:dyDescent="0.2">
      <c r="A2272" s="5" t="s">
        <v>2832</v>
      </c>
      <c r="B2272" s="5" t="s">
        <v>2833</v>
      </c>
      <c r="C2272" s="8">
        <v>1</v>
      </c>
      <c r="D2272" s="5" t="s">
        <v>162</v>
      </c>
      <c r="E2272" s="5"/>
      <c r="G2272" s="5"/>
      <c r="H2272" s="5"/>
    </row>
    <row r="2273" spans="1:8" x14ac:dyDescent="0.2">
      <c r="A2273" s="5" t="s">
        <v>2834</v>
      </c>
      <c r="B2273" s="5" t="s">
        <v>2808</v>
      </c>
      <c r="C2273" s="8">
        <v>1</v>
      </c>
      <c r="D2273" s="5" t="s">
        <v>162</v>
      </c>
      <c r="E2273" s="5"/>
      <c r="G2273" s="5"/>
      <c r="H2273" s="5"/>
    </row>
    <row r="2274" spans="1:8" x14ac:dyDescent="0.2">
      <c r="A2274" s="5" t="s">
        <v>2835</v>
      </c>
      <c r="B2274" s="5" t="s">
        <v>2836</v>
      </c>
      <c r="C2274" s="8">
        <v>2</v>
      </c>
      <c r="D2274" s="5" t="s">
        <v>162</v>
      </c>
      <c r="E2274" s="5"/>
      <c r="G2274" s="5"/>
      <c r="H2274" s="5"/>
    </row>
    <row r="2275" spans="1:8" x14ac:dyDescent="0.2">
      <c r="A2275" s="5" t="s">
        <v>2837</v>
      </c>
      <c r="B2275" s="5" t="s">
        <v>2838</v>
      </c>
      <c r="C2275" s="8">
        <v>1</v>
      </c>
      <c r="D2275" s="5" t="s">
        <v>162</v>
      </c>
      <c r="E2275" s="5"/>
      <c r="G2275" s="5"/>
      <c r="H2275" s="5"/>
    </row>
    <row r="2276" spans="1:8" x14ac:dyDescent="0.2">
      <c r="A2276" s="5" t="s">
        <v>2839</v>
      </c>
      <c r="B2276" s="5" t="s">
        <v>2840</v>
      </c>
      <c r="C2276" s="8">
        <v>2</v>
      </c>
      <c r="D2276" s="5" t="s">
        <v>162</v>
      </c>
      <c r="E2276" s="5"/>
      <c r="G2276" s="5"/>
      <c r="H2276" s="5"/>
    </row>
    <row r="2277" spans="1:8" x14ac:dyDescent="0.2">
      <c r="A2277" s="5" t="s">
        <v>2841</v>
      </c>
      <c r="B2277" s="5" t="s">
        <v>2842</v>
      </c>
      <c r="C2277" s="8">
        <v>1</v>
      </c>
      <c r="D2277" s="5" t="s">
        <v>162</v>
      </c>
      <c r="E2277" s="5"/>
      <c r="G2277" s="5"/>
      <c r="H2277" s="5"/>
    </row>
    <row r="2278" spans="1:8" x14ac:dyDescent="0.2">
      <c r="A2278" s="5" t="s">
        <v>2843</v>
      </c>
      <c r="B2278" s="5" t="s">
        <v>2844</v>
      </c>
      <c r="C2278" s="8">
        <v>1</v>
      </c>
      <c r="D2278" s="5" t="s">
        <v>162</v>
      </c>
      <c r="E2278" s="5"/>
      <c r="G2278" s="5"/>
      <c r="H2278" s="5"/>
    </row>
    <row r="2279" spans="1:8" x14ac:dyDescent="0.2">
      <c r="A2279" s="5"/>
      <c r="B2279" s="5" t="s">
        <v>48</v>
      </c>
      <c r="C2279" s="5"/>
      <c r="D2279" s="5" t="s">
        <v>322</v>
      </c>
      <c r="E2279" s="5"/>
      <c r="G2279" s="5"/>
      <c r="H2279" s="5"/>
    </row>
    <row r="2280" spans="1:8" x14ac:dyDescent="0.2">
      <c r="A2280" s="5"/>
      <c r="B2280" s="5" t="s">
        <v>2763</v>
      </c>
      <c r="C2280" s="5"/>
      <c r="D2280" s="5" t="s">
        <v>366</v>
      </c>
      <c r="E2280" s="5"/>
      <c r="G2280" s="5"/>
      <c r="H2280" s="5"/>
    </row>
    <row r="2281" spans="1:8" x14ac:dyDescent="0.2">
      <c r="A2281" s="5" t="s">
        <v>2845</v>
      </c>
      <c r="B2281" s="5" t="s">
        <v>2846</v>
      </c>
      <c r="C2281" s="8">
        <v>6</v>
      </c>
      <c r="D2281" s="5" t="s">
        <v>162</v>
      </c>
      <c r="E2281" s="5"/>
      <c r="G2281" s="5"/>
      <c r="H2281" s="5"/>
    </row>
    <row r="2282" spans="1:8" x14ac:dyDescent="0.2">
      <c r="A2282" s="5" t="s">
        <v>2847</v>
      </c>
      <c r="B2282" s="5" t="s">
        <v>2848</v>
      </c>
      <c r="C2282" s="8">
        <v>3</v>
      </c>
      <c r="D2282" s="5" t="s">
        <v>162</v>
      </c>
      <c r="E2282" s="5"/>
      <c r="G2282" s="5"/>
      <c r="H2282" s="5"/>
    </row>
    <row r="2283" spans="1:8" x14ac:dyDescent="0.2">
      <c r="A2283" s="5" t="s">
        <v>2849</v>
      </c>
      <c r="B2283" s="5" t="s">
        <v>2788</v>
      </c>
      <c r="C2283" s="8">
        <v>2</v>
      </c>
      <c r="D2283" s="5" t="s">
        <v>162</v>
      </c>
      <c r="E2283" s="5"/>
      <c r="G2283" s="5"/>
      <c r="H2283" s="5"/>
    </row>
    <row r="2284" spans="1:8" x14ac:dyDescent="0.2">
      <c r="A2284" s="5"/>
      <c r="B2284" s="5" t="s">
        <v>2766</v>
      </c>
      <c r="C2284" s="5"/>
      <c r="D2284" s="5" t="s">
        <v>366</v>
      </c>
      <c r="E2284" s="5"/>
      <c r="G2284" s="5"/>
      <c r="H2284" s="5"/>
    </row>
    <row r="2285" spans="1:8" x14ac:dyDescent="0.2">
      <c r="A2285" s="5" t="s">
        <v>2850</v>
      </c>
      <c r="B2285" s="5" t="s">
        <v>2851</v>
      </c>
      <c r="C2285" s="8">
        <v>5</v>
      </c>
      <c r="D2285" s="5" t="s">
        <v>162</v>
      </c>
      <c r="E2285" s="5"/>
      <c r="G2285" s="5"/>
      <c r="H2285" s="5"/>
    </row>
    <row r="2286" spans="1:8" x14ac:dyDescent="0.2">
      <c r="A2286" s="5" t="s">
        <v>2852</v>
      </c>
      <c r="B2286" s="5" t="s">
        <v>2853</v>
      </c>
      <c r="C2286" s="8">
        <v>3</v>
      </c>
      <c r="D2286" s="5" t="s">
        <v>162</v>
      </c>
      <c r="E2286" s="5"/>
      <c r="G2286" s="5"/>
      <c r="H2286" s="5"/>
    </row>
    <row r="2287" spans="1:8" x14ac:dyDescent="0.2">
      <c r="A2287" s="5" t="s">
        <v>2854</v>
      </c>
      <c r="B2287" s="5" t="s">
        <v>2855</v>
      </c>
      <c r="C2287" s="8">
        <v>2</v>
      </c>
      <c r="D2287" s="5" t="s">
        <v>162</v>
      </c>
      <c r="E2287" s="5"/>
      <c r="G2287" s="5"/>
      <c r="H2287" s="5"/>
    </row>
    <row r="2288" spans="1:8" x14ac:dyDescent="0.2">
      <c r="A2288" s="5" t="s">
        <v>2856</v>
      </c>
      <c r="B2288" s="5" t="s">
        <v>2857</v>
      </c>
      <c r="C2288" s="8">
        <v>1</v>
      </c>
      <c r="D2288" s="5" t="s">
        <v>162</v>
      </c>
      <c r="E2288" s="5"/>
      <c r="G2288" s="5"/>
      <c r="H2288" s="5"/>
    </row>
    <row r="2289" spans="1:8" x14ac:dyDescent="0.2">
      <c r="A2289" s="5"/>
      <c r="B2289" s="5" t="s">
        <v>2858</v>
      </c>
      <c r="C2289" s="5"/>
      <c r="D2289" s="5" t="s">
        <v>15</v>
      </c>
      <c r="E2289" s="5"/>
      <c r="G2289" s="5"/>
      <c r="H2289" s="5"/>
    </row>
    <row r="2290" spans="1:8" x14ac:dyDescent="0.2">
      <c r="A2290" s="5"/>
      <c r="B2290" s="5" t="s">
        <v>41</v>
      </c>
      <c r="C2290" s="5"/>
      <c r="D2290" s="5" t="s">
        <v>322</v>
      </c>
      <c r="E2290" s="5"/>
      <c r="G2290" s="5"/>
      <c r="H2290" s="5"/>
    </row>
    <row r="2291" spans="1:8" x14ac:dyDescent="0.2">
      <c r="A2291" s="5"/>
      <c r="B2291" s="5" t="s">
        <v>2859</v>
      </c>
      <c r="C2291" s="5"/>
      <c r="D2291" s="5" t="s">
        <v>366</v>
      </c>
      <c r="E2291" s="5"/>
      <c r="G2291" s="5"/>
      <c r="H2291" s="5"/>
    </row>
    <row r="2292" spans="1:8" x14ac:dyDescent="0.2">
      <c r="A2292" s="5" t="s">
        <v>2860</v>
      </c>
      <c r="B2292" s="5" t="s">
        <v>2861</v>
      </c>
      <c r="C2292" s="8">
        <v>2</v>
      </c>
      <c r="D2292" s="5" t="s">
        <v>162</v>
      </c>
      <c r="E2292" s="5"/>
      <c r="G2292" s="5"/>
      <c r="H2292" s="5"/>
    </row>
    <row r="2293" spans="1:8" x14ac:dyDescent="0.2">
      <c r="A2293" s="5" t="s">
        <v>2862</v>
      </c>
      <c r="B2293" s="5" t="s">
        <v>2863</v>
      </c>
      <c r="C2293" s="8">
        <v>1</v>
      </c>
      <c r="D2293" s="5" t="s">
        <v>162</v>
      </c>
      <c r="E2293" s="5"/>
      <c r="G2293" s="5"/>
      <c r="H2293" s="5"/>
    </row>
    <row r="2294" spans="1:8" x14ac:dyDescent="0.2">
      <c r="A2294" s="5" t="s">
        <v>2864</v>
      </c>
      <c r="B2294" s="5" t="s">
        <v>2865</v>
      </c>
      <c r="C2294" s="8">
        <v>1</v>
      </c>
      <c r="D2294" s="5" t="s">
        <v>162</v>
      </c>
      <c r="E2294" s="5"/>
      <c r="G2294" s="5"/>
      <c r="H2294" s="5"/>
    </row>
    <row r="2295" spans="1:8" x14ac:dyDescent="0.2">
      <c r="A2295" s="5" t="s">
        <v>2866</v>
      </c>
      <c r="B2295" s="5" t="s">
        <v>2867</v>
      </c>
      <c r="C2295" s="8">
        <v>1</v>
      </c>
      <c r="D2295" s="5" t="s">
        <v>162</v>
      </c>
      <c r="E2295" s="5"/>
      <c r="G2295" s="5"/>
      <c r="H2295" s="5"/>
    </row>
    <row r="2296" spans="1:8" x14ac:dyDescent="0.2">
      <c r="A2296" s="5"/>
      <c r="B2296" s="5" t="s">
        <v>2868</v>
      </c>
      <c r="C2296" s="5"/>
      <c r="D2296" s="5" t="s">
        <v>366</v>
      </c>
      <c r="E2296" s="5"/>
      <c r="G2296" s="5"/>
      <c r="H2296" s="5"/>
    </row>
    <row r="2297" spans="1:8" x14ac:dyDescent="0.2">
      <c r="A2297" s="5" t="s">
        <v>2869</v>
      </c>
      <c r="B2297" s="5" t="s">
        <v>2870</v>
      </c>
      <c r="C2297" s="8">
        <v>1</v>
      </c>
      <c r="D2297" s="5" t="s">
        <v>162</v>
      </c>
      <c r="E2297" s="5"/>
      <c r="G2297" s="5"/>
      <c r="H2297" s="5"/>
    </row>
    <row r="2298" spans="1:8" x14ac:dyDescent="0.2">
      <c r="A2298" s="5"/>
      <c r="B2298" s="5" t="s">
        <v>48</v>
      </c>
      <c r="C2298" s="5"/>
      <c r="D2298" s="5" t="s">
        <v>322</v>
      </c>
      <c r="E2298" s="5"/>
      <c r="G2298" s="5"/>
      <c r="H2298" s="5"/>
    </row>
    <row r="2299" spans="1:8" x14ac:dyDescent="0.2">
      <c r="A2299" s="5"/>
      <c r="B2299" s="5" t="s">
        <v>2871</v>
      </c>
      <c r="C2299" s="5"/>
      <c r="D2299" s="5" t="s">
        <v>366</v>
      </c>
      <c r="E2299" s="5"/>
      <c r="G2299" s="5"/>
      <c r="H2299" s="5"/>
    </row>
    <row r="2300" spans="1:8" x14ac:dyDescent="0.2">
      <c r="A2300" s="5" t="s">
        <v>2872</v>
      </c>
      <c r="B2300" s="5" t="s">
        <v>2873</v>
      </c>
      <c r="C2300" s="8">
        <v>1</v>
      </c>
      <c r="D2300" s="5" t="s">
        <v>162</v>
      </c>
      <c r="E2300" s="5"/>
      <c r="G2300" s="5"/>
      <c r="H2300" s="5"/>
    </row>
    <row r="2301" spans="1:8" x14ac:dyDescent="0.2">
      <c r="A2301" s="5"/>
      <c r="B2301" s="5" t="s">
        <v>2874</v>
      </c>
      <c r="C2301" s="5"/>
      <c r="D2301" s="5" t="s">
        <v>15</v>
      </c>
      <c r="E2301" s="5"/>
      <c r="G2301" s="5"/>
      <c r="H2301" s="5"/>
    </row>
    <row r="2302" spans="1:8" x14ac:dyDescent="0.2">
      <c r="A2302" s="5"/>
      <c r="B2302" s="5" t="s">
        <v>41</v>
      </c>
      <c r="C2302" s="5"/>
      <c r="D2302" s="5" t="s">
        <v>322</v>
      </c>
      <c r="E2302" s="5"/>
      <c r="G2302" s="5"/>
      <c r="H2302" s="5"/>
    </row>
    <row r="2303" spans="1:8" x14ac:dyDescent="0.2">
      <c r="A2303" s="5" t="s">
        <v>2875</v>
      </c>
      <c r="B2303" s="5" t="s">
        <v>2876</v>
      </c>
      <c r="C2303" s="8">
        <v>14</v>
      </c>
      <c r="D2303" s="5" t="s">
        <v>155</v>
      </c>
      <c r="E2303" s="5"/>
      <c r="G2303" s="5"/>
      <c r="H2303" s="5"/>
    </row>
    <row r="2304" spans="1:8" x14ac:dyDescent="0.2">
      <c r="A2304" s="5"/>
      <c r="B2304" s="5" t="s">
        <v>48</v>
      </c>
      <c r="C2304" s="5"/>
      <c r="D2304" s="5" t="s">
        <v>322</v>
      </c>
      <c r="E2304" s="5"/>
      <c r="G2304" s="5"/>
      <c r="H2304" s="5"/>
    </row>
    <row r="2305" spans="1:8" x14ac:dyDescent="0.2">
      <c r="A2305" s="5" t="s">
        <v>2877</v>
      </c>
      <c r="B2305" s="5" t="s">
        <v>2876</v>
      </c>
      <c r="C2305" s="8">
        <v>2</v>
      </c>
      <c r="D2305" s="5" t="s">
        <v>155</v>
      </c>
      <c r="E2305" s="5"/>
      <c r="G2305" s="5"/>
      <c r="H2305" s="5"/>
    </row>
    <row r="2306" spans="1:8" x14ac:dyDescent="0.2">
      <c r="A2306" s="5"/>
      <c r="B2306" s="5" t="s">
        <v>2878</v>
      </c>
      <c r="C2306" s="5"/>
      <c r="D2306" s="5" t="s">
        <v>15</v>
      </c>
      <c r="E2306" s="5"/>
      <c r="G2306" s="5"/>
      <c r="H2306" s="5"/>
    </row>
    <row r="2307" spans="1:8" x14ac:dyDescent="0.2">
      <c r="A2307" s="5"/>
      <c r="B2307" s="5" t="s">
        <v>2879</v>
      </c>
      <c r="C2307" s="5"/>
      <c r="D2307" s="5" t="s">
        <v>322</v>
      </c>
      <c r="E2307" s="5"/>
      <c r="G2307" s="5"/>
      <c r="H2307" s="5"/>
    </row>
    <row r="2308" spans="1:8" x14ac:dyDescent="0.2">
      <c r="A2308" s="5"/>
      <c r="B2308" s="5" t="s">
        <v>41</v>
      </c>
      <c r="C2308" s="5"/>
      <c r="D2308" s="5" t="s">
        <v>366</v>
      </c>
      <c r="E2308" s="5"/>
      <c r="G2308" s="5"/>
      <c r="H2308" s="5"/>
    </row>
    <row r="2309" spans="1:8" x14ac:dyDescent="0.2">
      <c r="A2309" s="5" t="s">
        <v>2880</v>
      </c>
      <c r="B2309" s="5" t="s">
        <v>2881</v>
      </c>
      <c r="C2309" s="8">
        <v>1</v>
      </c>
      <c r="D2309" s="5" t="s">
        <v>162</v>
      </c>
      <c r="E2309" s="5"/>
      <c r="G2309" s="5"/>
      <c r="H2309" s="5"/>
    </row>
    <row r="2310" spans="1:8" x14ac:dyDescent="0.2">
      <c r="A2310" s="5" t="s">
        <v>2882</v>
      </c>
      <c r="B2310" s="5" t="s">
        <v>2883</v>
      </c>
      <c r="C2310" s="8">
        <v>1</v>
      </c>
      <c r="D2310" s="5" t="s">
        <v>162</v>
      </c>
      <c r="E2310" s="5"/>
      <c r="G2310" s="5"/>
      <c r="H2310" s="5"/>
    </row>
    <row r="2311" spans="1:8" x14ac:dyDescent="0.2">
      <c r="A2311" s="5"/>
      <c r="B2311" s="5" t="s">
        <v>48</v>
      </c>
      <c r="C2311" s="5"/>
      <c r="D2311" s="5" t="s">
        <v>366</v>
      </c>
      <c r="E2311" s="5"/>
      <c r="G2311" s="5"/>
      <c r="H2311" s="5"/>
    </row>
    <row r="2312" spans="1:8" x14ac:dyDescent="0.2">
      <c r="A2312" s="5" t="s">
        <v>2884</v>
      </c>
      <c r="B2312" s="5" t="s">
        <v>2883</v>
      </c>
      <c r="C2312" s="8">
        <v>1</v>
      </c>
      <c r="D2312" s="5" t="s">
        <v>162</v>
      </c>
      <c r="E2312" s="5"/>
      <c r="G2312" s="5"/>
      <c r="H2312" s="5"/>
    </row>
    <row r="2313" spans="1:8" x14ac:dyDescent="0.2">
      <c r="A2313" s="5"/>
      <c r="B2313" s="5" t="s">
        <v>53</v>
      </c>
      <c r="C2313" s="5"/>
      <c r="D2313" s="5" t="s">
        <v>13</v>
      </c>
      <c r="E2313" s="5"/>
      <c r="G2313" s="5"/>
      <c r="H2313" s="5"/>
    </row>
    <row r="2314" spans="1:8" x14ac:dyDescent="0.2">
      <c r="A2314" s="5"/>
      <c r="B2314" s="5" t="s">
        <v>2762</v>
      </c>
      <c r="C2314" s="5"/>
      <c r="D2314" s="5" t="s">
        <v>15</v>
      </c>
      <c r="E2314" s="5"/>
      <c r="G2314" s="5"/>
      <c r="H2314" s="5"/>
    </row>
    <row r="2315" spans="1:8" x14ac:dyDescent="0.2">
      <c r="A2315" s="5"/>
      <c r="B2315" s="5" t="s">
        <v>41</v>
      </c>
      <c r="C2315" s="5"/>
      <c r="D2315" s="5" t="s">
        <v>322</v>
      </c>
      <c r="E2315" s="5"/>
      <c r="G2315" s="5"/>
      <c r="H2315" s="5"/>
    </row>
    <row r="2316" spans="1:8" x14ac:dyDescent="0.2">
      <c r="A2316" s="5"/>
      <c r="B2316" s="5" t="s">
        <v>2763</v>
      </c>
      <c r="C2316" s="5"/>
      <c r="D2316" s="5" t="s">
        <v>366</v>
      </c>
      <c r="E2316" s="5"/>
      <c r="G2316" s="5"/>
      <c r="H2316" s="5"/>
    </row>
    <row r="2317" spans="1:8" x14ac:dyDescent="0.2">
      <c r="A2317" s="5" t="s">
        <v>2885</v>
      </c>
      <c r="B2317" s="5" t="s">
        <v>2886</v>
      </c>
      <c r="C2317" s="8">
        <v>1</v>
      </c>
      <c r="D2317" s="5" t="s">
        <v>162</v>
      </c>
      <c r="E2317" s="5"/>
      <c r="G2317" s="5"/>
      <c r="H2317" s="5"/>
    </row>
    <row r="2318" spans="1:8" x14ac:dyDescent="0.2">
      <c r="A2318" s="5" t="s">
        <v>2887</v>
      </c>
      <c r="B2318" s="5" t="s">
        <v>2888</v>
      </c>
      <c r="C2318" s="8">
        <v>1</v>
      </c>
      <c r="D2318" s="5" t="s">
        <v>162</v>
      </c>
      <c r="E2318" s="5"/>
      <c r="G2318" s="5"/>
      <c r="H2318" s="5"/>
    </row>
    <row r="2319" spans="1:8" x14ac:dyDescent="0.2">
      <c r="A2319" s="5" t="s">
        <v>2889</v>
      </c>
      <c r="B2319" s="5" t="s">
        <v>2890</v>
      </c>
      <c r="C2319" s="8">
        <v>2</v>
      </c>
      <c r="D2319" s="5" t="s">
        <v>162</v>
      </c>
      <c r="E2319" s="5"/>
      <c r="G2319" s="5"/>
      <c r="H2319" s="5"/>
    </row>
    <row r="2320" spans="1:8" x14ac:dyDescent="0.2">
      <c r="A2320" s="5" t="s">
        <v>2891</v>
      </c>
      <c r="B2320" s="5" t="s">
        <v>2892</v>
      </c>
      <c r="C2320" s="8">
        <v>1</v>
      </c>
      <c r="D2320" s="5" t="s">
        <v>162</v>
      </c>
      <c r="E2320" s="5"/>
      <c r="G2320" s="5"/>
      <c r="H2320" s="5"/>
    </row>
    <row r="2321" spans="1:8" x14ac:dyDescent="0.2">
      <c r="A2321" s="5" t="s">
        <v>2893</v>
      </c>
      <c r="B2321" s="5" t="s">
        <v>2894</v>
      </c>
      <c r="C2321" s="8">
        <v>2</v>
      </c>
      <c r="D2321" s="5" t="s">
        <v>162</v>
      </c>
      <c r="E2321" s="5"/>
      <c r="G2321" s="5"/>
      <c r="H2321" s="5"/>
    </row>
    <row r="2322" spans="1:8" x14ac:dyDescent="0.2">
      <c r="A2322" s="5" t="s">
        <v>2895</v>
      </c>
      <c r="B2322" s="5" t="s">
        <v>2896</v>
      </c>
      <c r="C2322" s="8">
        <v>1</v>
      </c>
      <c r="D2322" s="5" t="s">
        <v>162</v>
      </c>
      <c r="E2322" s="5"/>
      <c r="G2322" s="5"/>
      <c r="H2322" s="5"/>
    </row>
    <row r="2323" spans="1:8" x14ac:dyDescent="0.2">
      <c r="A2323" s="5" t="s">
        <v>2897</v>
      </c>
      <c r="B2323" s="5" t="s">
        <v>2898</v>
      </c>
      <c r="C2323" s="8">
        <v>1</v>
      </c>
      <c r="D2323" s="5" t="s">
        <v>162</v>
      </c>
      <c r="E2323" s="5"/>
      <c r="G2323" s="5"/>
      <c r="H2323" s="5"/>
    </row>
    <row r="2324" spans="1:8" x14ac:dyDescent="0.2">
      <c r="A2324" s="5" t="s">
        <v>2899</v>
      </c>
      <c r="B2324" s="5" t="s">
        <v>2900</v>
      </c>
      <c r="C2324" s="8">
        <v>2</v>
      </c>
      <c r="D2324" s="5" t="s">
        <v>162</v>
      </c>
      <c r="E2324" s="5"/>
      <c r="G2324" s="5"/>
      <c r="H2324" s="5"/>
    </row>
    <row r="2325" spans="1:8" x14ac:dyDescent="0.2">
      <c r="A2325" s="5" t="s">
        <v>2901</v>
      </c>
      <c r="B2325" s="5" t="s">
        <v>2902</v>
      </c>
      <c r="C2325" s="8">
        <v>1</v>
      </c>
      <c r="D2325" s="5" t="s">
        <v>162</v>
      </c>
      <c r="E2325" s="5"/>
      <c r="G2325" s="5"/>
      <c r="H2325" s="5"/>
    </row>
    <row r="2326" spans="1:8" x14ac:dyDescent="0.2">
      <c r="A2326" s="5" t="s">
        <v>2903</v>
      </c>
      <c r="B2326" s="5" t="s">
        <v>2904</v>
      </c>
      <c r="C2326" s="8">
        <v>1</v>
      </c>
      <c r="D2326" s="5" t="s">
        <v>162</v>
      </c>
      <c r="E2326" s="5"/>
      <c r="G2326" s="5"/>
      <c r="H2326" s="5"/>
    </row>
    <row r="2327" spans="1:8" x14ac:dyDescent="0.2">
      <c r="A2327" s="5"/>
      <c r="B2327" s="5" t="s">
        <v>2766</v>
      </c>
      <c r="C2327" s="5"/>
      <c r="D2327" s="5" t="s">
        <v>366</v>
      </c>
      <c r="E2327" s="5"/>
      <c r="G2327" s="5"/>
      <c r="H2327" s="5"/>
    </row>
    <row r="2328" spans="1:8" x14ac:dyDescent="0.2">
      <c r="A2328" s="5" t="s">
        <v>2905</v>
      </c>
      <c r="B2328" s="5" t="s">
        <v>2906</v>
      </c>
      <c r="C2328" s="8">
        <v>1</v>
      </c>
      <c r="D2328" s="5" t="s">
        <v>162</v>
      </c>
      <c r="E2328" s="5"/>
      <c r="G2328" s="5"/>
      <c r="H2328" s="5"/>
    </row>
    <row r="2329" spans="1:8" x14ac:dyDescent="0.2">
      <c r="A2329" s="5" t="s">
        <v>2907</v>
      </c>
      <c r="B2329" s="5" t="s">
        <v>2908</v>
      </c>
      <c r="C2329" s="8">
        <v>1</v>
      </c>
      <c r="D2329" s="5" t="s">
        <v>162</v>
      </c>
      <c r="E2329" s="5"/>
      <c r="G2329" s="5"/>
      <c r="H2329" s="5"/>
    </row>
    <row r="2330" spans="1:8" x14ac:dyDescent="0.2">
      <c r="A2330" s="5" t="s">
        <v>2909</v>
      </c>
      <c r="B2330" s="5" t="s">
        <v>2910</v>
      </c>
      <c r="C2330" s="8">
        <v>1</v>
      </c>
      <c r="D2330" s="5" t="s">
        <v>162</v>
      </c>
      <c r="E2330" s="5"/>
      <c r="G2330" s="5"/>
      <c r="H2330" s="5"/>
    </row>
    <row r="2331" spans="1:8" x14ac:dyDescent="0.2">
      <c r="A2331" s="5" t="s">
        <v>2911</v>
      </c>
      <c r="B2331" s="5" t="s">
        <v>2912</v>
      </c>
      <c r="C2331" s="8">
        <v>1</v>
      </c>
      <c r="D2331" s="5" t="s">
        <v>162</v>
      </c>
      <c r="E2331" s="5"/>
      <c r="G2331" s="5"/>
      <c r="H2331" s="5"/>
    </row>
    <row r="2332" spans="1:8" x14ac:dyDescent="0.2">
      <c r="A2332" s="5" t="s">
        <v>2913</v>
      </c>
      <c r="B2332" s="5" t="s">
        <v>2914</v>
      </c>
      <c r="C2332" s="8">
        <v>1</v>
      </c>
      <c r="D2332" s="5" t="s">
        <v>162</v>
      </c>
      <c r="E2332" s="5"/>
      <c r="G2332" s="5"/>
      <c r="H2332" s="5"/>
    </row>
    <row r="2333" spans="1:8" x14ac:dyDescent="0.2">
      <c r="A2333" s="5" t="s">
        <v>2915</v>
      </c>
      <c r="B2333" s="5" t="s">
        <v>2916</v>
      </c>
      <c r="C2333" s="8">
        <v>1</v>
      </c>
      <c r="D2333" s="5" t="s">
        <v>162</v>
      </c>
      <c r="E2333" s="5"/>
      <c r="G2333" s="5"/>
      <c r="H2333" s="5"/>
    </row>
    <row r="2334" spans="1:8" x14ac:dyDescent="0.2">
      <c r="A2334" s="5"/>
      <c r="B2334" s="5" t="s">
        <v>44</v>
      </c>
      <c r="C2334" s="5"/>
      <c r="D2334" s="5" t="s">
        <v>322</v>
      </c>
      <c r="E2334" s="5"/>
      <c r="G2334" s="5"/>
      <c r="H2334" s="5"/>
    </row>
    <row r="2335" spans="1:8" x14ac:dyDescent="0.2">
      <c r="A2335" s="5"/>
      <c r="B2335" s="5" t="s">
        <v>2763</v>
      </c>
      <c r="C2335" s="5"/>
      <c r="D2335" s="5" t="s">
        <v>366</v>
      </c>
      <c r="E2335" s="5"/>
      <c r="G2335" s="5"/>
      <c r="H2335" s="5"/>
    </row>
    <row r="2336" spans="1:8" x14ac:dyDescent="0.2">
      <c r="A2336" s="5" t="s">
        <v>2917</v>
      </c>
      <c r="B2336" s="5" t="s">
        <v>2776</v>
      </c>
      <c r="C2336" s="8">
        <v>1</v>
      </c>
      <c r="D2336" s="5" t="s">
        <v>162</v>
      </c>
      <c r="E2336" s="5"/>
      <c r="G2336" s="5"/>
      <c r="H2336" s="5"/>
    </row>
    <row r="2337" spans="1:8" x14ac:dyDescent="0.2">
      <c r="A2337" s="5" t="s">
        <v>2918</v>
      </c>
      <c r="B2337" s="5" t="s">
        <v>2815</v>
      </c>
      <c r="C2337" s="8">
        <v>1</v>
      </c>
      <c r="D2337" s="5" t="s">
        <v>162</v>
      </c>
      <c r="E2337" s="5"/>
      <c r="G2337" s="5"/>
      <c r="H2337" s="5"/>
    </row>
    <row r="2338" spans="1:8" x14ac:dyDescent="0.2">
      <c r="A2338" s="5" t="s">
        <v>2919</v>
      </c>
      <c r="B2338" s="5" t="s">
        <v>2920</v>
      </c>
      <c r="C2338" s="8">
        <v>1</v>
      </c>
      <c r="D2338" s="5" t="s">
        <v>162</v>
      </c>
      <c r="E2338" s="5"/>
      <c r="G2338" s="5"/>
      <c r="H2338" s="5"/>
    </row>
    <row r="2339" spans="1:8" x14ac:dyDescent="0.2">
      <c r="A2339" s="5" t="s">
        <v>2921</v>
      </c>
      <c r="B2339" s="5" t="s">
        <v>2922</v>
      </c>
      <c r="C2339" s="8">
        <v>1</v>
      </c>
      <c r="D2339" s="5" t="s">
        <v>162</v>
      </c>
      <c r="E2339" s="5"/>
      <c r="G2339" s="5"/>
      <c r="H2339" s="5"/>
    </row>
    <row r="2340" spans="1:8" x14ac:dyDescent="0.2">
      <c r="A2340" s="5" t="s">
        <v>2923</v>
      </c>
      <c r="B2340" s="5" t="s">
        <v>2924</v>
      </c>
      <c r="C2340" s="8">
        <v>1</v>
      </c>
      <c r="D2340" s="5" t="s">
        <v>162</v>
      </c>
      <c r="E2340" s="5"/>
      <c r="G2340" s="5"/>
      <c r="H2340" s="5"/>
    </row>
    <row r="2341" spans="1:8" x14ac:dyDescent="0.2">
      <c r="A2341" s="5"/>
      <c r="B2341" s="5" t="s">
        <v>2766</v>
      </c>
      <c r="C2341" s="5"/>
      <c r="D2341" s="5" t="s">
        <v>366</v>
      </c>
      <c r="E2341" s="5"/>
      <c r="G2341" s="5"/>
      <c r="H2341" s="5"/>
    </row>
    <row r="2342" spans="1:8" x14ac:dyDescent="0.2">
      <c r="A2342" s="5" t="s">
        <v>2925</v>
      </c>
      <c r="B2342" s="5" t="s">
        <v>2792</v>
      </c>
      <c r="C2342" s="8">
        <v>3</v>
      </c>
      <c r="D2342" s="5" t="s">
        <v>162</v>
      </c>
      <c r="E2342" s="5"/>
      <c r="G2342" s="5"/>
      <c r="H2342" s="5"/>
    </row>
    <row r="2343" spans="1:8" x14ac:dyDescent="0.2">
      <c r="A2343" s="5" t="s">
        <v>2926</v>
      </c>
      <c r="B2343" s="5" t="s">
        <v>2796</v>
      </c>
      <c r="C2343" s="8">
        <v>1</v>
      </c>
      <c r="D2343" s="5" t="s">
        <v>162</v>
      </c>
      <c r="E2343" s="5"/>
      <c r="G2343" s="5"/>
      <c r="H2343" s="5"/>
    </row>
    <row r="2344" spans="1:8" x14ac:dyDescent="0.2">
      <c r="A2344" s="5" t="s">
        <v>2927</v>
      </c>
      <c r="B2344" s="5" t="s">
        <v>2928</v>
      </c>
      <c r="C2344" s="8">
        <v>1</v>
      </c>
      <c r="D2344" s="5" t="s">
        <v>162</v>
      </c>
      <c r="E2344" s="5"/>
      <c r="G2344" s="5"/>
      <c r="H2344" s="5"/>
    </row>
    <row r="2345" spans="1:8" x14ac:dyDescent="0.2">
      <c r="A2345" s="5" t="s">
        <v>2929</v>
      </c>
      <c r="B2345" s="5" t="s">
        <v>2800</v>
      </c>
      <c r="C2345" s="8">
        <v>1</v>
      </c>
      <c r="D2345" s="5" t="s">
        <v>162</v>
      </c>
      <c r="E2345" s="5"/>
      <c r="G2345" s="5"/>
      <c r="H2345" s="5"/>
    </row>
    <row r="2346" spans="1:8" x14ac:dyDescent="0.2">
      <c r="A2346" s="5" t="s">
        <v>2930</v>
      </c>
      <c r="B2346" s="5" t="s">
        <v>2802</v>
      </c>
      <c r="C2346" s="8">
        <v>1</v>
      </c>
      <c r="D2346" s="5" t="s">
        <v>162</v>
      </c>
      <c r="E2346" s="5"/>
      <c r="G2346" s="5"/>
      <c r="H2346" s="5"/>
    </row>
    <row r="2347" spans="1:8" x14ac:dyDescent="0.2">
      <c r="A2347" s="5" t="s">
        <v>2931</v>
      </c>
      <c r="B2347" s="5" t="s">
        <v>2932</v>
      </c>
      <c r="C2347" s="8">
        <v>1</v>
      </c>
      <c r="D2347" s="5" t="s">
        <v>162</v>
      </c>
      <c r="E2347" s="5"/>
      <c r="G2347" s="5"/>
      <c r="H2347" s="5"/>
    </row>
    <row r="2348" spans="1:8" x14ac:dyDescent="0.2">
      <c r="A2348" s="5" t="s">
        <v>2933</v>
      </c>
      <c r="B2348" s="5" t="s">
        <v>2831</v>
      </c>
      <c r="C2348" s="8">
        <v>2</v>
      </c>
      <c r="D2348" s="5" t="s">
        <v>162</v>
      </c>
      <c r="E2348" s="5"/>
      <c r="G2348" s="5"/>
      <c r="H2348" s="5"/>
    </row>
    <row r="2349" spans="1:8" x14ac:dyDescent="0.2">
      <c r="A2349" s="5" t="s">
        <v>2934</v>
      </c>
      <c r="B2349" s="5" t="s">
        <v>2804</v>
      </c>
      <c r="C2349" s="8">
        <v>1</v>
      </c>
      <c r="D2349" s="5" t="s">
        <v>162</v>
      </c>
      <c r="E2349" s="5"/>
      <c r="G2349" s="5"/>
      <c r="H2349" s="5"/>
    </row>
    <row r="2350" spans="1:8" x14ac:dyDescent="0.2">
      <c r="A2350" s="5" t="s">
        <v>2935</v>
      </c>
      <c r="B2350" s="5" t="s">
        <v>2806</v>
      </c>
      <c r="C2350" s="8">
        <v>1</v>
      </c>
      <c r="D2350" s="5" t="s">
        <v>162</v>
      </c>
      <c r="E2350" s="5"/>
      <c r="G2350" s="5"/>
      <c r="H2350" s="5"/>
    </row>
    <row r="2351" spans="1:8" x14ac:dyDescent="0.2">
      <c r="A2351" s="5" t="s">
        <v>2936</v>
      </c>
      <c r="B2351" s="5" t="s">
        <v>2833</v>
      </c>
      <c r="C2351" s="8">
        <v>1</v>
      </c>
      <c r="D2351" s="5" t="s">
        <v>162</v>
      </c>
      <c r="E2351" s="5"/>
      <c r="G2351" s="5"/>
      <c r="H2351" s="5"/>
    </row>
    <row r="2352" spans="1:8" x14ac:dyDescent="0.2">
      <c r="A2352" s="5" t="s">
        <v>2937</v>
      </c>
      <c r="B2352" s="5" t="s">
        <v>2808</v>
      </c>
      <c r="C2352" s="8">
        <v>1</v>
      </c>
      <c r="D2352" s="5" t="s">
        <v>162</v>
      </c>
      <c r="E2352" s="5"/>
      <c r="G2352" s="5"/>
      <c r="H2352" s="5"/>
    </row>
    <row r="2353" spans="1:8" x14ac:dyDescent="0.2">
      <c r="A2353" s="5" t="s">
        <v>2938</v>
      </c>
      <c r="B2353" s="5" t="s">
        <v>2939</v>
      </c>
      <c r="C2353" s="8">
        <v>1</v>
      </c>
      <c r="D2353" s="5" t="s">
        <v>162</v>
      </c>
      <c r="E2353" s="5"/>
      <c r="G2353" s="5"/>
      <c r="H2353" s="5"/>
    </row>
    <row r="2354" spans="1:8" x14ac:dyDescent="0.2">
      <c r="A2354" s="5"/>
      <c r="B2354" s="5" t="s">
        <v>46</v>
      </c>
      <c r="C2354" s="5"/>
      <c r="D2354" s="5" t="s">
        <v>322</v>
      </c>
      <c r="E2354" s="5"/>
      <c r="G2354" s="5"/>
      <c r="H2354" s="5"/>
    </row>
    <row r="2355" spans="1:8" x14ac:dyDescent="0.2">
      <c r="A2355" s="5"/>
      <c r="B2355" s="5" t="s">
        <v>2763</v>
      </c>
      <c r="C2355" s="5"/>
      <c r="D2355" s="5" t="s">
        <v>366</v>
      </c>
      <c r="E2355" s="5"/>
      <c r="G2355" s="5"/>
      <c r="H2355" s="5"/>
    </row>
    <row r="2356" spans="1:8" x14ac:dyDescent="0.2">
      <c r="A2356" s="5" t="s">
        <v>2940</v>
      </c>
      <c r="B2356" s="5" t="s">
        <v>2815</v>
      </c>
      <c r="C2356" s="8">
        <v>1</v>
      </c>
      <c r="D2356" s="5" t="s">
        <v>162</v>
      </c>
      <c r="E2356" s="5"/>
      <c r="G2356" s="5"/>
      <c r="H2356" s="5"/>
    </row>
    <row r="2357" spans="1:8" x14ac:dyDescent="0.2">
      <c r="A2357" s="5" t="s">
        <v>2941</v>
      </c>
      <c r="B2357" s="5" t="s">
        <v>2942</v>
      </c>
      <c r="C2357" s="8">
        <v>1</v>
      </c>
      <c r="D2357" s="5" t="s">
        <v>162</v>
      </c>
      <c r="E2357" s="5"/>
      <c r="G2357" s="5"/>
      <c r="H2357" s="5"/>
    </row>
    <row r="2358" spans="1:8" x14ac:dyDescent="0.2">
      <c r="A2358" s="5"/>
      <c r="B2358" s="5" t="s">
        <v>2766</v>
      </c>
      <c r="C2358" s="5"/>
      <c r="D2358" s="5" t="s">
        <v>366</v>
      </c>
      <c r="E2358" s="5"/>
      <c r="G2358" s="5"/>
      <c r="H2358" s="5"/>
    </row>
    <row r="2359" spans="1:8" x14ac:dyDescent="0.2">
      <c r="A2359" s="5" t="s">
        <v>2943</v>
      </c>
      <c r="B2359" s="5" t="s">
        <v>2790</v>
      </c>
      <c r="C2359" s="8">
        <v>1</v>
      </c>
      <c r="D2359" s="5" t="s">
        <v>162</v>
      </c>
      <c r="E2359" s="5"/>
      <c r="G2359" s="5"/>
      <c r="H2359" s="5"/>
    </row>
    <row r="2360" spans="1:8" x14ac:dyDescent="0.2">
      <c r="A2360" s="5" t="s">
        <v>2944</v>
      </c>
      <c r="B2360" s="5" t="s">
        <v>2792</v>
      </c>
      <c r="C2360" s="8">
        <v>3</v>
      </c>
      <c r="D2360" s="5" t="s">
        <v>162</v>
      </c>
      <c r="E2360" s="5"/>
      <c r="G2360" s="5"/>
      <c r="H2360" s="5"/>
    </row>
    <row r="2361" spans="1:8" x14ac:dyDescent="0.2">
      <c r="A2361" s="5" t="s">
        <v>2945</v>
      </c>
      <c r="B2361" s="5" t="s">
        <v>2796</v>
      </c>
      <c r="C2361" s="8">
        <v>1</v>
      </c>
      <c r="D2361" s="5" t="s">
        <v>162</v>
      </c>
      <c r="E2361" s="5"/>
      <c r="G2361" s="5"/>
      <c r="H2361" s="5"/>
    </row>
    <row r="2362" spans="1:8" x14ac:dyDescent="0.2">
      <c r="A2362" s="5" t="s">
        <v>2946</v>
      </c>
      <c r="B2362" s="5" t="s">
        <v>2798</v>
      </c>
      <c r="C2362" s="8">
        <v>2</v>
      </c>
      <c r="D2362" s="5" t="s">
        <v>162</v>
      </c>
      <c r="E2362" s="5"/>
      <c r="G2362" s="5"/>
      <c r="H2362" s="5"/>
    </row>
    <row r="2363" spans="1:8" x14ac:dyDescent="0.2">
      <c r="A2363" s="5" t="s">
        <v>2947</v>
      </c>
      <c r="B2363" s="5" t="s">
        <v>2800</v>
      </c>
      <c r="C2363" s="8">
        <v>1</v>
      </c>
      <c r="D2363" s="5" t="s">
        <v>162</v>
      </c>
      <c r="E2363" s="5"/>
      <c r="G2363" s="5"/>
      <c r="H2363" s="5"/>
    </row>
    <row r="2364" spans="1:8" x14ac:dyDescent="0.2">
      <c r="A2364" s="5" t="s">
        <v>2948</v>
      </c>
      <c r="B2364" s="5" t="s">
        <v>2932</v>
      </c>
      <c r="C2364" s="8">
        <v>1</v>
      </c>
      <c r="D2364" s="5" t="s">
        <v>162</v>
      </c>
      <c r="E2364" s="5"/>
      <c r="G2364" s="5"/>
      <c r="H2364" s="5"/>
    </row>
    <row r="2365" spans="1:8" x14ac:dyDescent="0.2">
      <c r="A2365" s="5" t="s">
        <v>2949</v>
      </c>
      <c r="B2365" s="5" t="s">
        <v>2831</v>
      </c>
      <c r="C2365" s="8">
        <v>2</v>
      </c>
      <c r="D2365" s="5" t="s">
        <v>162</v>
      </c>
      <c r="E2365" s="5"/>
      <c r="G2365" s="5"/>
      <c r="H2365" s="5"/>
    </row>
    <row r="2366" spans="1:8" x14ac:dyDescent="0.2">
      <c r="A2366" s="5" t="s">
        <v>2950</v>
      </c>
      <c r="B2366" s="5" t="s">
        <v>2806</v>
      </c>
      <c r="C2366" s="8">
        <v>1</v>
      </c>
      <c r="D2366" s="5" t="s">
        <v>162</v>
      </c>
      <c r="E2366" s="5"/>
      <c r="G2366" s="5"/>
      <c r="H2366" s="5"/>
    </row>
    <row r="2367" spans="1:8" x14ac:dyDescent="0.2">
      <c r="A2367" s="5" t="s">
        <v>2951</v>
      </c>
      <c r="B2367" s="5" t="s">
        <v>2833</v>
      </c>
      <c r="C2367" s="8">
        <v>2</v>
      </c>
      <c r="D2367" s="5" t="s">
        <v>162</v>
      </c>
      <c r="E2367" s="5"/>
      <c r="G2367" s="5"/>
      <c r="H2367" s="5"/>
    </row>
    <row r="2368" spans="1:8" x14ac:dyDescent="0.2">
      <c r="A2368" s="5" t="s">
        <v>2952</v>
      </c>
      <c r="B2368" s="5" t="s">
        <v>2808</v>
      </c>
      <c r="C2368" s="8">
        <v>1</v>
      </c>
      <c r="D2368" s="5" t="s">
        <v>162</v>
      </c>
      <c r="E2368" s="5"/>
      <c r="G2368" s="5"/>
      <c r="H2368" s="5"/>
    </row>
    <row r="2369" spans="1:9" x14ac:dyDescent="0.2">
      <c r="A2369" s="5"/>
      <c r="B2369" s="5" t="s">
        <v>48</v>
      </c>
      <c r="C2369" s="5"/>
      <c r="D2369" s="5" t="s">
        <v>322</v>
      </c>
      <c r="E2369" s="5"/>
      <c r="G2369" s="5"/>
      <c r="H2369" s="5"/>
    </row>
    <row r="2370" spans="1:9" x14ac:dyDescent="0.2">
      <c r="A2370" s="5"/>
      <c r="B2370" s="5" t="s">
        <v>2763</v>
      </c>
      <c r="C2370" s="5"/>
      <c r="D2370" s="5" t="s">
        <v>366</v>
      </c>
      <c r="E2370" s="5"/>
      <c r="G2370" s="5"/>
      <c r="H2370" s="5"/>
    </row>
    <row r="2371" spans="1:9" x14ac:dyDescent="0.2">
      <c r="A2371" s="5" t="s">
        <v>2953</v>
      </c>
      <c r="B2371" s="5" t="s">
        <v>2846</v>
      </c>
      <c r="C2371" s="8">
        <v>2</v>
      </c>
      <c r="D2371" s="5" t="s">
        <v>162</v>
      </c>
      <c r="E2371" s="5"/>
      <c r="G2371" s="5"/>
      <c r="H2371" s="5"/>
    </row>
    <row r="2372" spans="1:9" x14ac:dyDescent="0.2">
      <c r="A2372" s="5" t="s">
        <v>2954</v>
      </c>
      <c r="B2372" s="5" t="s">
        <v>2848</v>
      </c>
      <c r="C2372" s="8">
        <v>4</v>
      </c>
      <c r="D2372" s="5" t="s">
        <v>162</v>
      </c>
      <c r="E2372" s="5"/>
      <c r="G2372" s="5"/>
      <c r="H2372" s="5"/>
    </row>
    <row r="2373" spans="1:9" x14ac:dyDescent="0.2">
      <c r="A2373" s="5"/>
      <c r="B2373" s="5" t="s">
        <v>2878</v>
      </c>
      <c r="C2373" s="5"/>
      <c r="D2373" s="5" t="s">
        <v>15</v>
      </c>
      <c r="E2373" s="5"/>
      <c r="G2373" s="5"/>
      <c r="H2373" s="5"/>
    </row>
    <row r="2374" spans="1:9" x14ac:dyDescent="0.2">
      <c r="A2374" s="5"/>
      <c r="B2374" s="5" t="s">
        <v>2879</v>
      </c>
      <c r="C2374" s="5"/>
      <c r="D2374" s="5" t="s">
        <v>322</v>
      </c>
      <c r="E2374" s="5"/>
      <c r="G2374" s="5"/>
      <c r="H2374" s="5"/>
    </row>
    <row r="2375" spans="1:9" x14ac:dyDescent="0.2">
      <c r="A2375" s="5"/>
      <c r="B2375" s="5" t="s">
        <v>41</v>
      </c>
      <c r="C2375" s="5"/>
      <c r="D2375" s="5" t="s">
        <v>366</v>
      </c>
      <c r="E2375" s="5"/>
      <c r="G2375" s="5"/>
      <c r="H2375" s="5"/>
    </row>
    <row r="2376" spans="1:9" x14ac:dyDescent="0.2">
      <c r="A2376" s="5" t="s">
        <v>2955</v>
      </c>
      <c r="B2376" s="5" t="s">
        <v>2883</v>
      </c>
      <c r="C2376" s="8">
        <v>1</v>
      </c>
      <c r="D2376" s="5" t="s">
        <v>162</v>
      </c>
      <c r="E2376" s="5"/>
      <c r="G2376" s="5"/>
      <c r="H2376" s="5"/>
    </row>
    <row r="2377" spans="1:9" x14ac:dyDescent="0.2">
      <c r="A2377" s="5"/>
      <c r="B2377" s="5" t="s">
        <v>48</v>
      </c>
      <c r="C2377" s="5"/>
      <c r="D2377" s="5" t="s">
        <v>366</v>
      </c>
      <c r="E2377" s="5"/>
      <c r="G2377" s="5"/>
      <c r="H2377" s="5"/>
    </row>
    <row r="2378" spans="1:9" x14ac:dyDescent="0.2">
      <c r="A2378" s="5" t="s">
        <v>2956</v>
      </c>
      <c r="B2378" s="5" t="s">
        <v>2883</v>
      </c>
      <c r="C2378" s="8">
        <v>2</v>
      </c>
      <c r="D2378" s="5" t="s">
        <v>162</v>
      </c>
      <c r="E2378" s="5"/>
      <c r="G2378" s="5"/>
      <c r="H2378" s="5"/>
    </row>
    <row r="2379" spans="1:9" x14ac:dyDescent="0.2">
      <c r="B2379" s="6" t="s">
        <v>2957</v>
      </c>
      <c r="C2379" s="6"/>
      <c r="D2379" s="6"/>
      <c r="E2379" s="6"/>
      <c r="F2379" s="9">
        <f>SUM(H2192:H2379)</f>
        <v>0</v>
      </c>
      <c r="G2379" s="6"/>
      <c r="I2379" s="9">
        <f>PRODUCT(F2379,G2379)</f>
        <v>0</v>
      </c>
    </row>
    <row r="2381" spans="1:9" x14ac:dyDescent="0.2">
      <c r="A2381" s="6" t="s">
        <v>2958</v>
      </c>
      <c r="B2381" s="6" t="s">
        <v>2959</v>
      </c>
    </row>
    <row r="2382" spans="1:9" x14ac:dyDescent="0.2">
      <c r="A2382" s="5"/>
      <c r="B2382" s="5" t="s">
        <v>64</v>
      </c>
      <c r="C2382" s="5"/>
      <c r="D2382" s="5" t="s">
        <v>13</v>
      </c>
      <c r="E2382" s="5"/>
      <c r="G2382" s="5"/>
      <c r="H2382" s="5"/>
    </row>
    <row r="2383" spans="1:9" x14ac:dyDescent="0.2">
      <c r="A2383" s="5" t="s">
        <v>2960</v>
      </c>
      <c r="B2383" s="5" t="s">
        <v>2961</v>
      </c>
      <c r="C2383" s="5"/>
      <c r="D2383" s="5" t="s">
        <v>18</v>
      </c>
      <c r="E2383" s="5"/>
      <c r="G2383" s="5"/>
      <c r="H2383" s="5"/>
    </row>
    <row r="2384" spans="1:9" x14ac:dyDescent="0.2">
      <c r="A2384" s="5" t="s">
        <v>2962</v>
      </c>
      <c r="B2384" s="5" t="s">
        <v>68</v>
      </c>
      <c r="C2384" s="5"/>
      <c r="D2384" s="5" t="s">
        <v>18</v>
      </c>
      <c r="E2384" s="5"/>
      <c r="G2384" s="5"/>
      <c r="H2384" s="5"/>
    </row>
    <row r="2385" spans="1:8" x14ac:dyDescent="0.2">
      <c r="A2385" s="5"/>
      <c r="B2385" s="5" t="s">
        <v>71</v>
      </c>
      <c r="C2385" s="5"/>
      <c r="D2385" s="5" t="s">
        <v>13</v>
      </c>
      <c r="E2385" s="5"/>
      <c r="G2385" s="5"/>
      <c r="H2385" s="5"/>
    </row>
    <row r="2386" spans="1:8" x14ac:dyDescent="0.2">
      <c r="A2386" s="5" t="s">
        <v>2963</v>
      </c>
      <c r="B2386" s="5" t="s">
        <v>269</v>
      </c>
      <c r="C2386" s="5"/>
      <c r="D2386" s="5" t="s">
        <v>18</v>
      </c>
      <c r="E2386" s="5"/>
      <c r="G2386" s="5"/>
      <c r="H2386" s="5"/>
    </row>
    <row r="2387" spans="1:8" x14ac:dyDescent="0.2">
      <c r="A2387" s="5" t="s">
        <v>2964</v>
      </c>
      <c r="B2387" s="5" t="s">
        <v>2965</v>
      </c>
      <c r="C2387" s="5"/>
      <c r="D2387" s="5" t="s">
        <v>18</v>
      </c>
      <c r="E2387" s="5"/>
      <c r="G2387" s="5"/>
      <c r="H2387" s="5"/>
    </row>
    <row r="2388" spans="1:8" x14ac:dyDescent="0.2">
      <c r="A2388" s="5" t="s">
        <v>2966</v>
      </c>
      <c r="B2388" s="5" t="s">
        <v>2967</v>
      </c>
      <c r="C2388" s="5"/>
      <c r="D2388" s="5" t="s">
        <v>18</v>
      </c>
      <c r="E2388" s="5"/>
      <c r="G2388" s="5"/>
      <c r="H2388" s="5"/>
    </row>
    <row r="2389" spans="1:8" x14ac:dyDescent="0.2">
      <c r="A2389" s="5"/>
      <c r="B2389" s="5" t="s">
        <v>76</v>
      </c>
      <c r="C2389" s="5"/>
      <c r="D2389" s="5" t="s">
        <v>13</v>
      </c>
      <c r="E2389" s="5"/>
      <c r="G2389" s="5"/>
      <c r="H2389" s="5"/>
    </row>
    <row r="2390" spans="1:8" x14ac:dyDescent="0.2">
      <c r="A2390" s="5"/>
      <c r="B2390" s="5" t="s">
        <v>77</v>
      </c>
      <c r="C2390" s="5"/>
      <c r="D2390" s="5" t="s">
        <v>15</v>
      </c>
      <c r="E2390" s="5"/>
      <c r="G2390" s="5"/>
      <c r="H2390" s="5"/>
    </row>
    <row r="2391" spans="1:8" x14ac:dyDescent="0.2">
      <c r="A2391" s="5" t="s">
        <v>2968</v>
      </c>
      <c r="B2391" s="5" t="s">
        <v>2486</v>
      </c>
      <c r="C2391" s="5"/>
      <c r="D2391" s="5" t="s">
        <v>18</v>
      </c>
      <c r="E2391" s="5"/>
      <c r="G2391" s="5"/>
      <c r="H2391" s="5"/>
    </row>
    <row r="2392" spans="1:8" x14ac:dyDescent="0.2">
      <c r="A2392" s="5" t="s">
        <v>2969</v>
      </c>
      <c r="B2392" s="5" t="s">
        <v>2970</v>
      </c>
      <c r="C2392" s="5"/>
      <c r="D2392" s="5" t="s">
        <v>18</v>
      </c>
      <c r="E2392" s="5"/>
      <c r="G2392" s="5"/>
      <c r="H2392" s="5"/>
    </row>
    <row r="2393" spans="1:8" x14ac:dyDescent="0.2">
      <c r="A2393" s="5" t="s">
        <v>2971</v>
      </c>
      <c r="B2393" s="5" t="s">
        <v>2972</v>
      </c>
      <c r="C2393" s="5"/>
      <c r="D2393" s="5" t="s">
        <v>18</v>
      </c>
      <c r="E2393" s="5"/>
      <c r="G2393" s="5"/>
      <c r="H2393" s="5"/>
    </row>
    <row r="2394" spans="1:8" x14ac:dyDescent="0.2">
      <c r="A2394" s="5" t="s">
        <v>2973</v>
      </c>
      <c r="B2394" s="5" t="s">
        <v>93</v>
      </c>
      <c r="C2394" s="5"/>
      <c r="D2394" s="5" t="s">
        <v>18</v>
      </c>
      <c r="E2394" s="5"/>
      <c r="G2394" s="5"/>
      <c r="H2394" s="5"/>
    </row>
    <row r="2395" spans="1:8" x14ac:dyDescent="0.2">
      <c r="A2395" s="5"/>
      <c r="B2395" s="5" t="s">
        <v>94</v>
      </c>
      <c r="C2395" s="5"/>
      <c r="D2395" s="5" t="s">
        <v>13</v>
      </c>
      <c r="E2395" s="5"/>
      <c r="G2395" s="5"/>
      <c r="H2395" s="5"/>
    </row>
    <row r="2396" spans="1:8" x14ac:dyDescent="0.2">
      <c r="A2396" s="5" t="s">
        <v>2974</v>
      </c>
      <c r="B2396" s="5" t="s">
        <v>111</v>
      </c>
      <c r="C2396" s="8">
        <v>1</v>
      </c>
      <c r="D2396" s="5" t="s">
        <v>97</v>
      </c>
      <c r="E2396" s="5"/>
      <c r="G2396" s="5"/>
      <c r="H2396" s="5"/>
    </row>
    <row r="2397" spans="1:8" x14ac:dyDescent="0.2">
      <c r="A2397" s="5" t="s">
        <v>2975</v>
      </c>
      <c r="B2397" s="5" t="s">
        <v>2976</v>
      </c>
      <c r="C2397" s="8">
        <v>1</v>
      </c>
      <c r="D2397" s="5" t="s">
        <v>97</v>
      </c>
      <c r="E2397" s="5"/>
      <c r="G2397" s="5"/>
      <c r="H2397" s="5"/>
    </row>
    <row r="2398" spans="1:8" x14ac:dyDescent="0.2">
      <c r="A2398" s="5" t="s">
        <v>2977</v>
      </c>
      <c r="B2398" s="5" t="s">
        <v>2758</v>
      </c>
      <c r="C2398" s="8">
        <v>1</v>
      </c>
      <c r="D2398" s="5" t="s">
        <v>97</v>
      </c>
      <c r="E2398" s="5"/>
      <c r="G2398" s="5"/>
      <c r="H2398" s="5"/>
    </row>
    <row r="2399" spans="1:8" x14ac:dyDescent="0.2">
      <c r="A2399" s="5" t="s">
        <v>2978</v>
      </c>
      <c r="B2399" s="5" t="s">
        <v>2979</v>
      </c>
      <c r="C2399" s="8">
        <v>1</v>
      </c>
      <c r="D2399" s="5" t="s">
        <v>97</v>
      </c>
      <c r="E2399" s="5"/>
      <c r="G2399" s="5"/>
      <c r="H2399" s="5"/>
    </row>
    <row r="2400" spans="1:8" x14ac:dyDescent="0.2">
      <c r="A2400" s="5" t="s">
        <v>2980</v>
      </c>
      <c r="B2400" s="5" t="s">
        <v>113</v>
      </c>
      <c r="C2400" s="8">
        <v>1</v>
      </c>
      <c r="D2400" s="5" t="s">
        <v>97</v>
      </c>
      <c r="E2400" s="5"/>
      <c r="G2400" s="5"/>
      <c r="H2400" s="5"/>
    </row>
    <row r="2401" spans="1:8" x14ac:dyDescent="0.2">
      <c r="A2401" s="5" t="s">
        <v>2981</v>
      </c>
      <c r="B2401" s="5" t="s">
        <v>2982</v>
      </c>
      <c r="C2401" s="8">
        <v>1</v>
      </c>
      <c r="D2401" s="5" t="s">
        <v>97</v>
      </c>
      <c r="E2401" s="5"/>
      <c r="G2401" s="5"/>
      <c r="H2401" s="5"/>
    </row>
    <row r="2402" spans="1:8" x14ac:dyDescent="0.2">
      <c r="A2402" s="5" t="s">
        <v>2983</v>
      </c>
      <c r="B2402" s="5" t="s">
        <v>313</v>
      </c>
      <c r="C2402" s="8">
        <v>1</v>
      </c>
      <c r="D2402" s="5" t="s">
        <v>97</v>
      </c>
      <c r="E2402" s="5"/>
      <c r="G2402" s="5"/>
      <c r="H2402" s="5"/>
    </row>
    <row r="2403" spans="1:8" x14ac:dyDescent="0.2">
      <c r="A2403" s="5" t="s">
        <v>2984</v>
      </c>
      <c r="B2403" s="5" t="s">
        <v>589</v>
      </c>
      <c r="C2403" s="8">
        <v>1</v>
      </c>
      <c r="D2403" s="5" t="s">
        <v>97</v>
      </c>
      <c r="E2403" s="5"/>
      <c r="G2403" s="5"/>
      <c r="H2403" s="5"/>
    </row>
    <row r="2404" spans="1:8" x14ac:dyDescent="0.2">
      <c r="A2404" s="5"/>
      <c r="B2404" s="5" t="s">
        <v>38</v>
      </c>
      <c r="C2404" s="5"/>
      <c r="D2404" s="5" t="s">
        <v>13</v>
      </c>
      <c r="E2404" s="5"/>
      <c r="G2404" s="5"/>
      <c r="H2404" s="5"/>
    </row>
    <row r="2405" spans="1:8" x14ac:dyDescent="0.2">
      <c r="A2405" s="5"/>
      <c r="B2405" s="5" t="s">
        <v>2985</v>
      </c>
      <c r="C2405" s="5"/>
      <c r="D2405" s="5" t="s">
        <v>15</v>
      </c>
      <c r="E2405" s="5"/>
      <c r="G2405" s="5"/>
      <c r="H2405" s="5"/>
    </row>
    <row r="2406" spans="1:8" x14ac:dyDescent="0.2">
      <c r="A2406" s="5"/>
      <c r="B2406" s="5" t="s">
        <v>2986</v>
      </c>
      <c r="C2406" s="5"/>
      <c r="D2406" s="5" t="s">
        <v>322</v>
      </c>
      <c r="E2406" s="5"/>
      <c r="G2406" s="5"/>
      <c r="H2406" s="5"/>
    </row>
    <row r="2407" spans="1:8" x14ac:dyDescent="0.2">
      <c r="A2407" s="5" t="s">
        <v>2987</v>
      </c>
      <c r="B2407" s="5" t="s">
        <v>2988</v>
      </c>
      <c r="C2407" s="8">
        <v>278</v>
      </c>
      <c r="D2407" s="5" t="s">
        <v>42</v>
      </c>
      <c r="E2407" s="5"/>
      <c r="G2407" s="5"/>
      <c r="H2407" s="5"/>
    </row>
    <row r="2408" spans="1:8" x14ac:dyDescent="0.2">
      <c r="A2408" s="5" t="s">
        <v>2989</v>
      </c>
      <c r="B2408" s="5" t="s">
        <v>2990</v>
      </c>
      <c r="C2408" s="8">
        <v>190</v>
      </c>
      <c r="D2408" s="5" t="s">
        <v>42</v>
      </c>
      <c r="E2408" s="5"/>
      <c r="G2408" s="5"/>
      <c r="H2408" s="5"/>
    </row>
    <row r="2409" spans="1:8" x14ac:dyDescent="0.2">
      <c r="A2409" s="5" t="s">
        <v>2991</v>
      </c>
      <c r="B2409" s="5" t="s">
        <v>2992</v>
      </c>
      <c r="C2409" s="8">
        <v>34</v>
      </c>
      <c r="D2409" s="5" t="s">
        <v>42</v>
      </c>
      <c r="E2409" s="5"/>
      <c r="G2409" s="5"/>
      <c r="H2409" s="5"/>
    </row>
    <row r="2410" spans="1:8" x14ac:dyDescent="0.2">
      <c r="A2410" s="5" t="s">
        <v>2993</v>
      </c>
      <c r="B2410" s="5" t="s">
        <v>2994</v>
      </c>
      <c r="C2410" s="8">
        <v>19</v>
      </c>
      <c r="D2410" s="5" t="s">
        <v>155</v>
      </c>
      <c r="E2410" s="5"/>
      <c r="G2410" s="5"/>
      <c r="H2410" s="5"/>
    </row>
    <row r="2411" spans="1:8" x14ac:dyDescent="0.2">
      <c r="A2411" s="5"/>
      <c r="B2411" s="5" t="s">
        <v>2995</v>
      </c>
      <c r="C2411" s="5"/>
      <c r="D2411" s="5" t="s">
        <v>322</v>
      </c>
      <c r="E2411" s="5"/>
      <c r="G2411" s="5"/>
      <c r="H2411" s="5"/>
    </row>
    <row r="2412" spans="1:8" x14ac:dyDescent="0.2">
      <c r="A2412" s="5" t="s">
        <v>2996</v>
      </c>
      <c r="B2412" s="5" t="s">
        <v>2988</v>
      </c>
      <c r="C2412" s="8">
        <v>37</v>
      </c>
      <c r="D2412" s="5" t="s">
        <v>42</v>
      </c>
      <c r="E2412" s="5"/>
      <c r="G2412" s="5"/>
      <c r="H2412" s="5"/>
    </row>
    <row r="2413" spans="1:8" x14ac:dyDescent="0.2">
      <c r="A2413" s="5" t="s">
        <v>2997</v>
      </c>
      <c r="B2413" s="5" t="s">
        <v>2990</v>
      </c>
      <c r="C2413" s="8">
        <v>35</v>
      </c>
      <c r="D2413" s="5" t="s">
        <v>42</v>
      </c>
      <c r="E2413" s="5"/>
      <c r="G2413" s="5"/>
      <c r="H2413" s="5"/>
    </row>
    <row r="2414" spans="1:8" x14ac:dyDescent="0.2">
      <c r="A2414" s="5" t="s">
        <v>2998</v>
      </c>
      <c r="B2414" s="5" t="s">
        <v>2994</v>
      </c>
      <c r="C2414" s="8">
        <v>19</v>
      </c>
      <c r="D2414" s="5" t="s">
        <v>155</v>
      </c>
      <c r="E2414" s="5"/>
      <c r="G2414" s="5"/>
      <c r="H2414" s="5"/>
    </row>
    <row r="2415" spans="1:8" x14ac:dyDescent="0.2">
      <c r="A2415" s="5"/>
      <c r="B2415" s="5" t="s">
        <v>2999</v>
      </c>
      <c r="C2415" s="5"/>
      <c r="D2415" s="5" t="s">
        <v>322</v>
      </c>
      <c r="E2415" s="5"/>
      <c r="G2415" s="5"/>
      <c r="H2415" s="5"/>
    </row>
    <row r="2416" spans="1:8" x14ac:dyDescent="0.2">
      <c r="A2416" s="5" t="s">
        <v>3000</v>
      </c>
      <c r="B2416" s="5" t="s">
        <v>2988</v>
      </c>
      <c r="C2416" s="8">
        <v>34</v>
      </c>
      <c r="D2416" s="5" t="s">
        <v>42</v>
      </c>
      <c r="E2416" s="5"/>
      <c r="G2416" s="5"/>
      <c r="H2416" s="5"/>
    </row>
    <row r="2417" spans="1:8" x14ac:dyDescent="0.2">
      <c r="A2417" s="5" t="s">
        <v>3001</v>
      </c>
      <c r="B2417" s="5" t="s">
        <v>2990</v>
      </c>
      <c r="C2417" s="8">
        <v>24</v>
      </c>
      <c r="D2417" s="5" t="s">
        <v>42</v>
      </c>
      <c r="E2417" s="5"/>
      <c r="G2417" s="5"/>
      <c r="H2417" s="5"/>
    </row>
    <row r="2418" spans="1:8" x14ac:dyDescent="0.2">
      <c r="A2418" s="5" t="s">
        <v>3002</v>
      </c>
      <c r="B2418" s="5" t="s">
        <v>2992</v>
      </c>
      <c r="C2418" s="8">
        <v>68</v>
      </c>
      <c r="D2418" s="5" t="s">
        <v>42</v>
      </c>
      <c r="E2418" s="5"/>
      <c r="G2418" s="5"/>
      <c r="H2418" s="5"/>
    </row>
    <row r="2419" spans="1:8" x14ac:dyDescent="0.2">
      <c r="A2419" s="5" t="s">
        <v>3003</v>
      </c>
      <c r="B2419" s="5" t="s">
        <v>3004</v>
      </c>
      <c r="C2419" s="8">
        <v>7</v>
      </c>
      <c r="D2419" s="5" t="s">
        <v>155</v>
      </c>
      <c r="E2419" s="5"/>
      <c r="G2419" s="5"/>
      <c r="H2419" s="5"/>
    </row>
    <row r="2420" spans="1:8" x14ac:dyDescent="0.2">
      <c r="A2420" s="5"/>
      <c r="B2420" s="5" t="s">
        <v>3005</v>
      </c>
      <c r="C2420" s="5"/>
      <c r="D2420" s="5" t="s">
        <v>322</v>
      </c>
      <c r="E2420" s="5"/>
      <c r="G2420" s="5"/>
      <c r="H2420" s="5"/>
    </row>
    <row r="2421" spans="1:8" x14ac:dyDescent="0.2">
      <c r="A2421" s="5" t="s">
        <v>3006</v>
      </c>
      <c r="B2421" s="5" t="s">
        <v>2988</v>
      </c>
      <c r="C2421" s="8">
        <v>29</v>
      </c>
      <c r="D2421" s="5" t="s">
        <v>42</v>
      </c>
      <c r="E2421" s="5"/>
      <c r="G2421" s="5"/>
      <c r="H2421" s="5"/>
    </row>
    <row r="2422" spans="1:8" x14ac:dyDescent="0.2">
      <c r="A2422" s="5" t="s">
        <v>3007</v>
      </c>
      <c r="B2422" s="5" t="s">
        <v>2992</v>
      </c>
      <c r="C2422" s="8">
        <v>27</v>
      </c>
      <c r="D2422" s="5" t="s">
        <v>42</v>
      </c>
      <c r="E2422" s="5"/>
      <c r="G2422" s="5"/>
      <c r="H2422" s="5"/>
    </row>
    <row r="2423" spans="1:8" x14ac:dyDescent="0.2">
      <c r="A2423" s="5" t="s">
        <v>3008</v>
      </c>
      <c r="B2423" s="5" t="s">
        <v>3004</v>
      </c>
      <c r="C2423" s="8">
        <v>7</v>
      </c>
      <c r="D2423" s="5" t="s">
        <v>155</v>
      </c>
      <c r="E2423" s="5"/>
      <c r="G2423" s="5"/>
      <c r="H2423" s="5"/>
    </row>
    <row r="2424" spans="1:8" x14ac:dyDescent="0.2">
      <c r="A2424" s="5"/>
      <c r="B2424" s="5" t="s">
        <v>3009</v>
      </c>
      <c r="C2424" s="5"/>
      <c r="D2424" s="5" t="s">
        <v>322</v>
      </c>
      <c r="E2424" s="5"/>
      <c r="G2424" s="5"/>
      <c r="H2424" s="5"/>
    </row>
    <row r="2425" spans="1:8" x14ac:dyDescent="0.2">
      <c r="A2425" s="5" t="s">
        <v>3010</v>
      </c>
      <c r="B2425" s="5" t="s">
        <v>2988</v>
      </c>
      <c r="C2425" s="8">
        <v>299</v>
      </c>
      <c r="D2425" s="5" t="s">
        <v>42</v>
      </c>
      <c r="E2425" s="5"/>
      <c r="G2425" s="5"/>
      <c r="H2425" s="5"/>
    </row>
    <row r="2426" spans="1:8" x14ac:dyDescent="0.2">
      <c r="A2426" s="5" t="s">
        <v>3011</v>
      </c>
      <c r="B2426" s="5" t="s">
        <v>2990</v>
      </c>
      <c r="C2426" s="8">
        <v>228</v>
      </c>
      <c r="D2426" s="5" t="s">
        <v>42</v>
      </c>
      <c r="E2426" s="5"/>
      <c r="G2426" s="5"/>
      <c r="H2426" s="5"/>
    </row>
    <row r="2427" spans="1:8" x14ac:dyDescent="0.2">
      <c r="A2427" s="5" t="s">
        <v>3012</v>
      </c>
      <c r="B2427" s="5" t="s">
        <v>2992</v>
      </c>
      <c r="C2427" s="8">
        <v>98</v>
      </c>
      <c r="D2427" s="5" t="s">
        <v>42</v>
      </c>
      <c r="E2427" s="5"/>
      <c r="G2427" s="5"/>
      <c r="H2427" s="5"/>
    </row>
    <row r="2428" spans="1:8" x14ac:dyDescent="0.2">
      <c r="A2428" s="5"/>
      <c r="B2428" s="5" t="s">
        <v>3013</v>
      </c>
      <c r="C2428" s="5"/>
      <c r="D2428" s="5" t="s">
        <v>322</v>
      </c>
      <c r="E2428" s="5"/>
      <c r="G2428" s="5"/>
      <c r="H2428" s="5"/>
    </row>
    <row r="2429" spans="1:8" x14ac:dyDescent="0.2">
      <c r="A2429" s="5" t="s">
        <v>3014</v>
      </c>
      <c r="B2429" s="5" t="s">
        <v>2990</v>
      </c>
      <c r="C2429" s="8">
        <v>14</v>
      </c>
      <c r="D2429" s="5" t="s">
        <v>42</v>
      </c>
      <c r="E2429" s="5"/>
      <c r="G2429" s="5"/>
      <c r="H2429" s="5"/>
    </row>
    <row r="2430" spans="1:8" x14ac:dyDescent="0.2">
      <c r="A2430" s="5"/>
      <c r="B2430" s="5" t="s">
        <v>3015</v>
      </c>
      <c r="C2430" s="5"/>
      <c r="D2430" s="5" t="s">
        <v>322</v>
      </c>
      <c r="E2430" s="5"/>
      <c r="G2430" s="5"/>
      <c r="H2430" s="5"/>
    </row>
    <row r="2431" spans="1:8" x14ac:dyDescent="0.2">
      <c r="A2431" s="5" t="s">
        <v>3016</v>
      </c>
      <c r="B2431" s="5" t="s">
        <v>3017</v>
      </c>
      <c r="C2431" s="8">
        <v>192</v>
      </c>
      <c r="D2431" s="5" t="s">
        <v>42</v>
      </c>
      <c r="E2431" s="5"/>
      <c r="G2431" s="5"/>
      <c r="H2431" s="5"/>
    </row>
    <row r="2432" spans="1:8" x14ac:dyDescent="0.2">
      <c r="A2432" s="5" t="s">
        <v>3018</v>
      </c>
      <c r="B2432" s="5" t="s">
        <v>2988</v>
      </c>
      <c r="C2432" s="8">
        <v>31</v>
      </c>
      <c r="D2432" s="5" t="s">
        <v>42</v>
      </c>
      <c r="E2432" s="5"/>
      <c r="G2432" s="5"/>
      <c r="H2432" s="5"/>
    </row>
    <row r="2433" spans="1:8" x14ac:dyDescent="0.2">
      <c r="A2433" s="5" t="s">
        <v>3019</v>
      </c>
      <c r="B2433" s="5" t="s">
        <v>2990</v>
      </c>
      <c r="C2433" s="8">
        <v>26</v>
      </c>
      <c r="D2433" s="5" t="s">
        <v>42</v>
      </c>
      <c r="E2433" s="5"/>
      <c r="G2433" s="5"/>
      <c r="H2433" s="5"/>
    </row>
    <row r="2434" spans="1:8" x14ac:dyDescent="0.2">
      <c r="A2434" s="5" t="s">
        <v>3020</v>
      </c>
      <c r="B2434" s="5" t="s">
        <v>2992</v>
      </c>
      <c r="C2434" s="8">
        <v>7</v>
      </c>
      <c r="D2434" s="5" t="s">
        <v>42</v>
      </c>
      <c r="E2434" s="5"/>
      <c r="G2434" s="5"/>
      <c r="H2434" s="5"/>
    </row>
    <row r="2435" spans="1:8" x14ac:dyDescent="0.2">
      <c r="A2435" s="5"/>
      <c r="B2435" s="5" t="s">
        <v>3021</v>
      </c>
      <c r="C2435" s="5"/>
      <c r="D2435" s="5" t="s">
        <v>322</v>
      </c>
      <c r="E2435" s="5"/>
      <c r="G2435" s="5"/>
      <c r="H2435" s="5"/>
    </row>
    <row r="2436" spans="1:8" x14ac:dyDescent="0.2">
      <c r="A2436" s="5" t="s">
        <v>3022</v>
      </c>
      <c r="B2436" s="5" t="s">
        <v>2988</v>
      </c>
      <c r="C2436" s="8">
        <v>63</v>
      </c>
      <c r="D2436" s="5" t="s">
        <v>42</v>
      </c>
      <c r="E2436" s="5"/>
      <c r="G2436" s="5"/>
      <c r="H2436" s="5"/>
    </row>
    <row r="2437" spans="1:8" x14ac:dyDescent="0.2">
      <c r="A2437" s="5" t="s">
        <v>3023</v>
      </c>
      <c r="B2437" s="5" t="s">
        <v>2990</v>
      </c>
      <c r="C2437" s="8">
        <v>60</v>
      </c>
      <c r="D2437" s="5" t="s">
        <v>42</v>
      </c>
      <c r="E2437" s="5"/>
      <c r="G2437" s="5"/>
      <c r="H2437" s="5"/>
    </row>
    <row r="2438" spans="1:8" x14ac:dyDescent="0.2">
      <c r="A2438" s="5" t="s">
        <v>3024</v>
      </c>
      <c r="B2438" s="5" t="s">
        <v>2992</v>
      </c>
      <c r="C2438" s="8">
        <v>59</v>
      </c>
      <c r="D2438" s="5" t="s">
        <v>42</v>
      </c>
      <c r="E2438" s="5"/>
      <c r="G2438" s="5"/>
      <c r="H2438" s="5"/>
    </row>
    <row r="2439" spans="1:8" x14ac:dyDescent="0.2">
      <c r="A2439" s="5"/>
      <c r="B2439" s="5" t="s">
        <v>3025</v>
      </c>
      <c r="C2439" s="5"/>
      <c r="D2439" s="5" t="s">
        <v>322</v>
      </c>
      <c r="E2439" s="5"/>
      <c r="G2439" s="5"/>
      <c r="H2439" s="5"/>
    </row>
    <row r="2440" spans="1:8" x14ac:dyDescent="0.2">
      <c r="A2440" s="5" t="s">
        <v>3026</v>
      </c>
      <c r="B2440" s="5" t="s">
        <v>2988</v>
      </c>
      <c r="C2440" s="8">
        <v>17</v>
      </c>
      <c r="D2440" s="5" t="s">
        <v>42</v>
      </c>
      <c r="E2440" s="5"/>
      <c r="G2440" s="5"/>
      <c r="H2440" s="5"/>
    </row>
    <row r="2441" spans="1:8" x14ac:dyDescent="0.2">
      <c r="A2441" s="5" t="s">
        <v>3027</v>
      </c>
      <c r="B2441" s="5" t="s">
        <v>2990</v>
      </c>
      <c r="C2441" s="8">
        <v>10</v>
      </c>
      <c r="D2441" s="5" t="s">
        <v>42</v>
      </c>
      <c r="E2441" s="5"/>
      <c r="G2441" s="5"/>
      <c r="H2441" s="5"/>
    </row>
    <row r="2442" spans="1:8" x14ac:dyDescent="0.2">
      <c r="A2442" s="5" t="s">
        <v>3028</v>
      </c>
      <c r="B2442" s="5" t="s">
        <v>2992</v>
      </c>
      <c r="C2442" s="8">
        <v>498</v>
      </c>
      <c r="D2442" s="5" t="s">
        <v>42</v>
      </c>
      <c r="E2442" s="5"/>
      <c r="G2442" s="5"/>
      <c r="H2442" s="5"/>
    </row>
    <row r="2443" spans="1:8" x14ac:dyDescent="0.2">
      <c r="A2443" s="5"/>
      <c r="B2443" s="5" t="s">
        <v>3029</v>
      </c>
      <c r="C2443" s="5"/>
      <c r="D2443" s="5" t="s">
        <v>15</v>
      </c>
      <c r="E2443" s="5"/>
      <c r="G2443" s="5"/>
      <c r="H2443" s="5"/>
    </row>
    <row r="2444" spans="1:8" x14ac:dyDescent="0.2">
      <c r="A2444" s="5"/>
      <c r="B2444" s="5" t="s">
        <v>3030</v>
      </c>
      <c r="C2444" s="5"/>
      <c r="D2444" s="5" t="s">
        <v>322</v>
      </c>
      <c r="E2444" s="5"/>
      <c r="G2444" s="5"/>
      <c r="H2444" s="5"/>
    </row>
    <row r="2445" spans="1:8" x14ac:dyDescent="0.2">
      <c r="A2445" s="5" t="s">
        <v>3031</v>
      </c>
      <c r="B2445" s="5" t="s">
        <v>3017</v>
      </c>
      <c r="C2445" s="8">
        <v>74</v>
      </c>
      <c r="D2445" s="5" t="s">
        <v>42</v>
      </c>
      <c r="E2445" s="5"/>
      <c r="G2445" s="5"/>
      <c r="H2445" s="5"/>
    </row>
    <row r="2446" spans="1:8" x14ac:dyDescent="0.2">
      <c r="A2446" s="5"/>
      <c r="B2446" s="5" t="s">
        <v>3032</v>
      </c>
      <c r="C2446" s="5"/>
      <c r="D2446" s="5" t="s">
        <v>15</v>
      </c>
      <c r="E2446" s="5"/>
      <c r="G2446" s="5"/>
      <c r="H2446" s="5"/>
    </row>
    <row r="2447" spans="1:8" x14ac:dyDescent="0.2">
      <c r="A2447" s="5" t="s">
        <v>3033</v>
      </c>
      <c r="B2447" s="5" t="s">
        <v>2992</v>
      </c>
      <c r="C2447" s="8">
        <v>57</v>
      </c>
      <c r="D2447" s="5" t="s">
        <v>155</v>
      </c>
      <c r="E2447" s="5"/>
      <c r="G2447" s="5"/>
      <c r="H2447" s="5"/>
    </row>
    <row r="2448" spans="1:8" x14ac:dyDescent="0.2">
      <c r="A2448" s="5"/>
      <c r="B2448" s="5" t="s">
        <v>3034</v>
      </c>
      <c r="C2448" s="5"/>
      <c r="D2448" s="5" t="s">
        <v>15</v>
      </c>
      <c r="E2448" s="5"/>
      <c r="G2448" s="5"/>
      <c r="H2448" s="5"/>
    </row>
    <row r="2449" spans="1:8" x14ac:dyDescent="0.2">
      <c r="A2449" s="5" t="s">
        <v>3035</v>
      </c>
      <c r="B2449" s="5" t="s">
        <v>3017</v>
      </c>
      <c r="C2449" s="8">
        <v>111</v>
      </c>
      <c r="D2449" s="5" t="s">
        <v>155</v>
      </c>
      <c r="E2449" s="5"/>
      <c r="G2449" s="5"/>
      <c r="H2449" s="5"/>
    </row>
    <row r="2450" spans="1:8" x14ac:dyDescent="0.2">
      <c r="A2450" s="5" t="s">
        <v>3036</v>
      </c>
      <c r="B2450" s="5" t="s">
        <v>2988</v>
      </c>
      <c r="C2450" s="8">
        <v>7</v>
      </c>
      <c r="D2450" s="5" t="s">
        <v>155</v>
      </c>
      <c r="E2450" s="5"/>
      <c r="G2450" s="5"/>
      <c r="H2450" s="5"/>
    </row>
    <row r="2451" spans="1:8" x14ac:dyDescent="0.2">
      <c r="A2451" s="5" t="s">
        <v>3037</v>
      </c>
      <c r="B2451" s="5" t="s">
        <v>2990</v>
      </c>
      <c r="C2451" s="8">
        <v>7</v>
      </c>
      <c r="D2451" s="5" t="s">
        <v>155</v>
      </c>
      <c r="E2451" s="5"/>
      <c r="G2451" s="5"/>
      <c r="H2451" s="5"/>
    </row>
    <row r="2452" spans="1:8" x14ac:dyDescent="0.2">
      <c r="A2452" s="5" t="s">
        <v>3038</v>
      </c>
      <c r="B2452" s="5" t="s">
        <v>2992</v>
      </c>
      <c r="C2452" s="8">
        <v>7</v>
      </c>
      <c r="D2452" s="5" t="s">
        <v>155</v>
      </c>
      <c r="E2452" s="5"/>
      <c r="G2452" s="5"/>
      <c r="H2452" s="5"/>
    </row>
    <row r="2453" spans="1:8" x14ac:dyDescent="0.2">
      <c r="A2453" s="5"/>
      <c r="B2453" s="5" t="s">
        <v>3039</v>
      </c>
      <c r="C2453" s="5"/>
      <c r="D2453" s="5" t="s">
        <v>15</v>
      </c>
      <c r="E2453" s="5"/>
      <c r="G2453" s="5"/>
      <c r="H2453" s="5"/>
    </row>
    <row r="2454" spans="1:8" x14ac:dyDescent="0.2">
      <c r="A2454" s="5" t="s">
        <v>3040</v>
      </c>
      <c r="B2454" s="5" t="s">
        <v>2988</v>
      </c>
      <c r="C2454" s="8">
        <v>9</v>
      </c>
      <c r="D2454" s="5" t="s">
        <v>155</v>
      </c>
      <c r="E2454" s="5"/>
      <c r="G2454" s="5"/>
      <c r="H2454" s="5"/>
    </row>
    <row r="2455" spans="1:8" x14ac:dyDescent="0.2">
      <c r="A2455" s="5" t="s">
        <v>3041</v>
      </c>
      <c r="B2455" s="5" t="s">
        <v>2990</v>
      </c>
      <c r="C2455" s="8">
        <v>9</v>
      </c>
      <c r="D2455" s="5" t="s">
        <v>155</v>
      </c>
      <c r="E2455" s="5"/>
      <c r="G2455" s="5"/>
      <c r="H2455" s="5"/>
    </row>
    <row r="2456" spans="1:8" x14ac:dyDescent="0.2">
      <c r="A2456" s="5" t="s">
        <v>3042</v>
      </c>
      <c r="B2456" s="5" t="s">
        <v>2992</v>
      </c>
      <c r="C2456" s="8">
        <v>9</v>
      </c>
      <c r="D2456" s="5" t="s">
        <v>155</v>
      </c>
      <c r="E2456" s="5"/>
      <c r="G2456" s="5"/>
      <c r="H2456" s="5"/>
    </row>
    <row r="2457" spans="1:8" x14ac:dyDescent="0.2">
      <c r="A2457" s="5"/>
      <c r="B2457" s="5" t="s">
        <v>53</v>
      </c>
      <c r="C2457" s="5"/>
      <c r="D2457" s="5" t="s">
        <v>13</v>
      </c>
      <c r="E2457" s="5"/>
      <c r="G2457" s="5"/>
      <c r="H2457" s="5"/>
    </row>
    <row r="2458" spans="1:8" x14ac:dyDescent="0.2">
      <c r="A2458" s="5"/>
      <c r="B2458" s="5" t="s">
        <v>2985</v>
      </c>
      <c r="C2458" s="5"/>
      <c r="D2458" s="5" t="s">
        <v>15</v>
      </c>
      <c r="E2458" s="5"/>
      <c r="G2458" s="5"/>
      <c r="H2458" s="5"/>
    </row>
    <row r="2459" spans="1:8" x14ac:dyDescent="0.2">
      <c r="A2459" s="5"/>
      <c r="B2459" s="5" t="s">
        <v>2986</v>
      </c>
      <c r="C2459" s="5"/>
      <c r="D2459" s="5" t="s">
        <v>322</v>
      </c>
      <c r="E2459" s="5"/>
      <c r="G2459" s="5"/>
      <c r="H2459" s="5"/>
    </row>
    <row r="2460" spans="1:8" x14ac:dyDescent="0.2">
      <c r="A2460" s="5" t="s">
        <v>3043</v>
      </c>
      <c r="B2460" s="5" t="s">
        <v>2988</v>
      </c>
      <c r="C2460" s="8">
        <v>172</v>
      </c>
      <c r="D2460" s="5" t="s">
        <v>42</v>
      </c>
      <c r="E2460" s="5"/>
      <c r="G2460" s="5"/>
      <c r="H2460" s="5"/>
    </row>
    <row r="2461" spans="1:8" x14ac:dyDescent="0.2">
      <c r="A2461" s="5" t="s">
        <v>3044</v>
      </c>
      <c r="B2461" s="5" t="s">
        <v>2990</v>
      </c>
      <c r="C2461" s="8">
        <v>74</v>
      </c>
      <c r="D2461" s="5" t="s">
        <v>42</v>
      </c>
      <c r="E2461" s="5"/>
      <c r="G2461" s="5"/>
      <c r="H2461" s="5"/>
    </row>
    <row r="2462" spans="1:8" x14ac:dyDescent="0.2">
      <c r="A2462" s="5" t="s">
        <v>3045</v>
      </c>
      <c r="B2462" s="5" t="s">
        <v>2992</v>
      </c>
      <c r="C2462" s="8">
        <v>5</v>
      </c>
      <c r="D2462" s="5" t="s">
        <v>42</v>
      </c>
      <c r="E2462" s="5"/>
      <c r="G2462" s="5"/>
      <c r="H2462" s="5"/>
    </row>
    <row r="2463" spans="1:8" x14ac:dyDescent="0.2">
      <c r="A2463" s="5" t="s">
        <v>3046</v>
      </c>
      <c r="B2463" s="5" t="s">
        <v>2994</v>
      </c>
      <c r="C2463" s="8">
        <v>4</v>
      </c>
      <c r="D2463" s="5" t="s">
        <v>155</v>
      </c>
      <c r="E2463" s="5"/>
      <c r="G2463" s="5"/>
      <c r="H2463" s="5"/>
    </row>
    <row r="2464" spans="1:8" x14ac:dyDescent="0.2">
      <c r="A2464" s="5"/>
      <c r="B2464" s="5" t="s">
        <v>2995</v>
      </c>
      <c r="C2464" s="5"/>
      <c r="D2464" s="5" t="s">
        <v>322</v>
      </c>
      <c r="E2464" s="5"/>
      <c r="G2464" s="5"/>
      <c r="H2464" s="5"/>
    </row>
    <row r="2465" spans="1:8" x14ac:dyDescent="0.2">
      <c r="A2465" s="5" t="s">
        <v>3047</v>
      </c>
      <c r="B2465" s="5" t="s">
        <v>2988</v>
      </c>
      <c r="C2465" s="8">
        <v>9</v>
      </c>
      <c r="D2465" s="5" t="s">
        <v>42</v>
      </c>
      <c r="E2465" s="5"/>
      <c r="G2465" s="5"/>
      <c r="H2465" s="5"/>
    </row>
    <row r="2466" spans="1:8" x14ac:dyDescent="0.2">
      <c r="A2466" s="5" t="s">
        <v>3048</v>
      </c>
      <c r="B2466" s="5" t="s">
        <v>2990</v>
      </c>
      <c r="C2466" s="8">
        <v>8</v>
      </c>
      <c r="D2466" s="5" t="s">
        <v>42</v>
      </c>
      <c r="E2466" s="5"/>
      <c r="G2466" s="5"/>
      <c r="H2466" s="5"/>
    </row>
    <row r="2467" spans="1:8" x14ac:dyDescent="0.2">
      <c r="A2467" s="5" t="s">
        <v>3049</v>
      </c>
      <c r="B2467" s="5" t="s">
        <v>2994</v>
      </c>
      <c r="C2467" s="8">
        <v>4</v>
      </c>
      <c r="D2467" s="5" t="s">
        <v>155</v>
      </c>
      <c r="E2467" s="5"/>
      <c r="G2467" s="5"/>
      <c r="H2467" s="5"/>
    </row>
    <row r="2468" spans="1:8" x14ac:dyDescent="0.2">
      <c r="A2468" s="5"/>
      <c r="B2468" s="5" t="s">
        <v>2999</v>
      </c>
      <c r="C2468" s="5"/>
      <c r="D2468" s="5" t="s">
        <v>322</v>
      </c>
      <c r="E2468" s="5"/>
      <c r="G2468" s="5"/>
      <c r="H2468" s="5"/>
    </row>
    <row r="2469" spans="1:8" x14ac:dyDescent="0.2">
      <c r="A2469" s="5" t="s">
        <v>3050</v>
      </c>
      <c r="B2469" s="5" t="s">
        <v>2988</v>
      </c>
      <c r="C2469" s="8">
        <v>18</v>
      </c>
      <c r="D2469" s="5" t="s">
        <v>42</v>
      </c>
      <c r="E2469" s="5"/>
      <c r="G2469" s="5"/>
      <c r="H2469" s="5"/>
    </row>
    <row r="2470" spans="1:8" x14ac:dyDescent="0.2">
      <c r="A2470" s="5" t="s">
        <v>3051</v>
      </c>
      <c r="B2470" s="5" t="s">
        <v>2990</v>
      </c>
      <c r="C2470" s="8">
        <v>13</v>
      </c>
      <c r="D2470" s="5" t="s">
        <v>42</v>
      </c>
      <c r="E2470" s="5"/>
      <c r="G2470" s="5"/>
      <c r="H2470" s="5"/>
    </row>
    <row r="2471" spans="1:8" x14ac:dyDescent="0.2">
      <c r="A2471" s="5" t="s">
        <v>3052</v>
      </c>
      <c r="B2471" s="5" t="s">
        <v>2992</v>
      </c>
      <c r="C2471" s="8">
        <v>11</v>
      </c>
      <c r="D2471" s="5" t="s">
        <v>42</v>
      </c>
      <c r="E2471" s="5"/>
      <c r="G2471" s="5"/>
      <c r="H2471" s="5"/>
    </row>
    <row r="2472" spans="1:8" x14ac:dyDescent="0.2">
      <c r="A2472" s="5" t="s">
        <v>3053</v>
      </c>
      <c r="B2472" s="5" t="s">
        <v>3004</v>
      </c>
      <c r="C2472" s="8">
        <v>4</v>
      </c>
      <c r="D2472" s="5" t="s">
        <v>155</v>
      </c>
      <c r="E2472" s="5"/>
      <c r="G2472" s="5"/>
      <c r="H2472" s="5"/>
    </row>
    <row r="2473" spans="1:8" x14ac:dyDescent="0.2">
      <c r="A2473" s="5"/>
      <c r="B2473" s="5" t="s">
        <v>3054</v>
      </c>
      <c r="C2473" s="5"/>
      <c r="D2473" s="5" t="s">
        <v>322</v>
      </c>
      <c r="E2473" s="5"/>
      <c r="G2473" s="5"/>
      <c r="H2473" s="5"/>
    </row>
    <row r="2474" spans="1:8" x14ac:dyDescent="0.2">
      <c r="A2474" s="5" t="s">
        <v>3055</v>
      </c>
      <c r="B2474" s="5" t="s">
        <v>2988</v>
      </c>
      <c r="C2474" s="8">
        <v>10</v>
      </c>
      <c r="D2474" s="5" t="s">
        <v>42</v>
      </c>
      <c r="E2474" s="5"/>
      <c r="G2474" s="5"/>
      <c r="H2474" s="5"/>
    </row>
    <row r="2475" spans="1:8" x14ac:dyDescent="0.2">
      <c r="A2475" s="5" t="s">
        <v>3056</v>
      </c>
      <c r="B2475" s="5" t="s">
        <v>2990</v>
      </c>
      <c r="C2475" s="8">
        <v>9</v>
      </c>
      <c r="D2475" s="5" t="s">
        <v>42</v>
      </c>
      <c r="E2475" s="5"/>
      <c r="G2475" s="5"/>
      <c r="H2475" s="5"/>
    </row>
    <row r="2476" spans="1:8" x14ac:dyDescent="0.2">
      <c r="A2476" s="5" t="s">
        <v>3057</v>
      </c>
      <c r="B2476" s="5" t="s">
        <v>2992</v>
      </c>
      <c r="C2476" s="8">
        <v>10</v>
      </c>
      <c r="D2476" s="5" t="s">
        <v>42</v>
      </c>
      <c r="E2476" s="5"/>
      <c r="G2476" s="5"/>
      <c r="H2476" s="5"/>
    </row>
    <row r="2477" spans="1:8" x14ac:dyDescent="0.2">
      <c r="A2477" s="5" t="s">
        <v>3058</v>
      </c>
      <c r="B2477" s="5" t="s">
        <v>3004</v>
      </c>
      <c r="C2477" s="8">
        <v>4</v>
      </c>
      <c r="D2477" s="5" t="s">
        <v>155</v>
      </c>
      <c r="E2477" s="5"/>
      <c r="G2477" s="5"/>
      <c r="H2477" s="5"/>
    </row>
    <row r="2478" spans="1:8" x14ac:dyDescent="0.2">
      <c r="A2478" s="5"/>
      <c r="B2478" s="5" t="s">
        <v>3009</v>
      </c>
      <c r="C2478" s="5"/>
      <c r="D2478" s="5" t="s">
        <v>322</v>
      </c>
      <c r="E2478" s="5"/>
      <c r="G2478" s="5"/>
      <c r="H2478" s="5"/>
    </row>
    <row r="2479" spans="1:8" x14ac:dyDescent="0.2">
      <c r="A2479" s="5" t="s">
        <v>3059</v>
      </c>
      <c r="B2479" s="5" t="s">
        <v>2988</v>
      </c>
      <c r="C2479" s="8">
        <v>226</v>
      </c>
      <c r="D2479" s="5" t="s">
        <v>42</v>
      </c>
      <c r="E2479" s="5"/>
      <c r="G2479" s="5"/>
      <c r="H2479" s="5"/>
    </row>
    <row r="2480" spans="1:8" x14ac:dyDescent="0.2">
      <c r="A2480" s="5" t="s">
        <v>3060</v>
      </c>
      <c r="B2480" s="5" t="s">
        <v>2990</v>
      </c>
      <c r="C2480" s="8">
        <v>135</v>
      </c>
      <c r="D2480" s="5" t="s">
        <v>42</v>
      </c>
      <c r="E2480" s="5"/>
      <c r="G2480" s="5"/>
      <c r="H2480" s="5"/>
    </row>
    <row r="2481" spans="1:8" x14ac:dyDescent="0.2">
      <c r="A2481" s="5" t="s">
        <v>3061</v>
      </c>
      <c r="B2481" s="5" t="s">
        <v>2992</v>
      </c>
      <c r="C2481" s="8">
        <v>37</v>
      </c>
      <c r="D2481" s="5" t="s">
        <v>42</v>
      </c>
      <c r="E2481" s="5"/>
      <c r="G2481" s="5"/>
      <c r="H2481" s="5"/>
    </row>
    <row r="2482" spans="1:8" x14ac:dyDescent="0.2">
      <c r="A2482" s="5"/>
      <c r="B2482" s="5" t="s">
        <v>3015</v>
      </c>
      <c r="C2482" s="5"/>
      <c r="D2482" s="5" t="s">
        <v>322</v>
      </c>
      <c r="E2482" s="5"/>
      <c r="G2482" s="5"/>
      <c r="H2482" s="5"/>
    </row>
    <row r="2483" spans="1:8" x14ac:dyDescent="0.2">
      <c r="A2483" s="5" t="s">
        <v>3062</v>
      </c>
      <c r="B2483" s="5" t="s">
        <v>3017</v>
      </c>
      <c r="C2483" s="8">
        <v>81</v>
      </c>
      <c r="D2483" s="5" t="s">
        <v>42</v>
      </c>
      <c r="E2483" s="5"/>
      <c r="G2483" s="5"/>
      <c r="H2483" s="5"/>
    </row>
    <row r="2484" spans="1:8" x14ac:dyDescent="0.2">
      <c r="A2484" s="5"/>
      <c r="B2484" s="5" t="s">
        <v>3021</v>
      </c>
      <c r="C2484" s="5"/>
      <c r="D2484" s="5" t="s">
        <v>322</v>
      </c>
      <c r="E2484" s="5"/>
      <c r="G2484" s="5"/>
      <c r="H2484" s="5"/>
    </row>
    <row r="2485" spans="1:8" x14ac:dyDescent="0.2">
      <c r="A2485" s="5" t="s">
        <v>3063</v>
      </c>
      <c r="B2485" s="5" t="s">
        <v>2988</v>
      </c>
      <c r="C2485" s="8">
        <v>45</v>
      </c>
      <c r="D2485" s="5" t="s">
        <v>42</v>
      </c>
      <c r="E2485" s="5"/>
      <c r="G2485" s="5"/>
      <c r="H2485" s="5"/>
    </row>
    <row r="2486" spans="1:8" x14ac:dyDescent="0.2">
      <c r="A2486" s="5" t="s">
        <v>3064</v>
      </c>
      <c r="B2486" s="5" t="s">
        <v>2990</v>
      </c>
      <c r="C2486" s="8">
        <v>32</v>
      </c>
      <c r="D2486" s="5" t="s">
        <v>42</v>
      </c>
      <c r="E2486" s="5"/>
      <c r="G2486" s="5"/>
      <c r="H2486" s="5"/>
    </row>
    <row r="2487" spans="1:8" x14ac:dyDescent="0.2">
      <c r="A2487" s="5" t="s">
        <v>3065</v>
      </c>
      <c r="B2487" s="5" t="s">
        <v>2992</v>
      </c>
      <c r="C2487" s="8">
        <v>3</v>
      </c>
      <c r="D2487" s="5" t="s">
        <v>42</v>
      </c>
      <c r="E2487" s="5"/>
      <c r="G2487" s="5"/>
      <c r="H2487" s="5"/>
    </row>
    <row r="2488" spans="1:8" x14ac:dyDescent="0.2">
      <c r="A2488" s="5"/>
      <c r="B2488" s="5" t="s">
        <v>3025</v>
      </c>
      <c r="C2488" s="5"/>
      <c r="D2488" s="5" t="s">
        <v>322</v>
      </c>
      <c r="E2488" s="5"/>
      <c r="G2488" s="5"/>
      <c r="H2488" s="5"/>
    </row>
    <row r="2489" spans="1:8" x14ac:dyDescent="0.2">
      <c r="A2489" s="5" t="s">
        <v>3066</v>
      </c>
      <c r="B2489" s="5" t="s">
        <v>2992</v>
      </c>
      <c r="C2489" s="8">
        <v>183</v>
      </c>
      <c r="D2489" s="5" t="s">
        <v>42</v>
      </c>
      <c r="E2489" s="5"/>
      <c r="G2489" s="5"/>
      <c r="H2489" s="5"/>
    </row>
    <row r="2490" spans="1:8" x14ac:dyDescent="0.2">
      <c r="A2490" s="5"/>
      <c r="B2490" s="5" t="s">
        <v>3029</v>
      </c>
      <c r="C2490" s="5"/>
      <c r="D2490" s="5" t="s">
        <v>15</v>
      </c>
      <c r="E2490" s="5"/>
      <c r="G2490" s="5"/>
      <c r="H2490" s="5"/>
    </row>
    <row r="2491" spans="1:8" x14ac:dyDescent="0.2">
      <c r="A2491" s="5"/>
      <c r="B2491" s="5" t="s">
        <v>3030</v>
      </c>
      <c r="C2491" s="5"/>
      <c r="D2491" s="5" t="s">
        <v>322</v>
      </c>
      <c r="E2491" s="5"/>
      <c r="G2491" s="5"/>
      <c r="H2491" s="5"/>
    </row>
    <row r="2492" spans="1:8" x14ac:dyDescent="0.2">
      <c r="A2492" s="5" t="s">
        <v>3067</v>
      </c>
      <c r="B2492" s="5" t="s">
        <v>3017</v>
      </c>
      <c r="C2492" s="8">
        <v>20</v>
      </c>
      <c r="D2492" s="5" t="s">
        <v>42</v>
      </c>
      <c r="E2492" s="5"/>
      <c r="G2492" s="5"/>
      <c r="H2492" s="5"/>
    </row>
    <row r="2493" spans="1:8" x14ac:dyDescent="0.2">
      <c r="A2493" s="5"/>
      <c r="B2493" s="5" t="s">
        <v>3032</v>
      </c>
      <c r="C2493" s="5"/>
      <c r="D2493" s="5" t="s">
        <v>15</v>
      </c>
      <c r="E2493" s="5"/>
      <c r="G2493" s="5"/>
      <c r="H2493" s="5"/>
    </row>
    <row r="2494" spans="1:8" x14ac:dyDescent="0.2">
      <c r="A2494" s="5" t="s">
        <v>3068</v>
      </c>
      <c r="B2494" s="5" t="s">
        <v>2992</v>
      </c>
      <c r="C2494" s="8">
        <v>28</v>
      </c>
      <c r="D2494" s="5" t="s">
        <v>155</v>
      </c>
      <c r="E2494" s="5"/>
      <c r="G2494" s="5"/>
      <c r="H2494" s="5"/>
    </row>
    <row r="2495" spans="1:8" x14ac:dyDescent="0.2">
      <c r="A2495" s="5"/>
      <c r="B2495" s="5" t="s">
        <v>3034</v>
      </c>
      <c r="C2495" s="5"/>
      <c r="D2495" s="5" t="s">
        <v>15</v>
      </c>
      <c r="E2495" s="5"/>
      <c r="G2495" s="5"/>
      <c r="H2495" s="5"/>
    </row>
    <row r="2496" spans="1:8" x14ac:dyDescent="0.2">
      <c r="A2496" s="5" t="s">
        <v>3069</v>
      </c>
      <c r="B2496" s="5" t="s">
        <v>3017</v>
      </c>
      <c r="C2496" s="8">
        <v>62</v>
      </c>
      <c r="D2496" s="5" t="s">
        <v>155</v>
      </c>
      <c r="E2496" s="5"/>
      <c r="G2496" s="5"/>
      <c r="H2496" s="5"/>
    </row>
    <row r="2497" spans="1:9" x14ac:dyDescent="0.2">
      <c r="A2497" s="5"/>
      <c r="B2497" s="5" t="s">
        <v>3070</v>
      </c>
      <c r="C2497" s="5"/>
      <c r="D2497" s="5" t="s">
        <v>15</v>
      </c>
      <c r="E2497" s="5"/>
      <c r="G2497" s="5"/>
      <c r="H2497" s="5"/>
    </row>
    <row r="2498" spans="1:9" x14ac:dyDescent="0.2">
      <c r="A2498" s="5" t="s">
        <v>3071</v>
      </c>
      <c r="B2498" s="5" t="s">
        <v>2988</v>
      </c>
      <c r="C2498" s="8">
        <v>6</v>
      </c>
      <c r="D2498" s="5" t="s">
        <v>155</v>
      </c>
      <c r="E2498" s="5"/>
      <c r="G2498" s="5"/>
      <c r="H2498" s="5"/>
    </row>
    <row r="2499" spans="1:9" x14ac:dyDescent="0.2">
      <c r="A2499" s="5" t="s">
        <v>3072</v>
      </c>
      <c r="B2499" s="5" t="s">
        <v>2990</v>
      </c>
      <c r="C2499" s="8">
        <v>6</v>
      </c>
      <c r="D2499" s="5" t="s">
        <v>155</v>
      </c>
      <c r="E2499" s="5"/>
      <c r="G2499" s="5"/>
      <c r="H2499" s="5"/>
    </row>
    <row r="2500" spans="1:9" x14ac:dyDescent="0.2">
      <c r="A2500" s="5" t="s">
        <v>3073</v>
      </c>
      <c r="B2500" s="5" t="s">
        <v>2992</v>
      </c>
      <c r="C2500" s="8">
        <v>6</v>
      </c>
      <c r="D2500" s="5" t="s">
        <v>155</v>
      </c>
      <c r="E2500" s="5"/>
      <c r="G2500" s="5"/>
      <c r="H2500" s="5"/>
    </row>
    <row r="2501" spans="1:9" x14ac:dyDescent="0.2">
      <c r="B2501" s="6" t="s">
        <v>3074</v>
      </c>
      <c r="C2501" s="6"/>
      <c r="D2501" s="6"/>
      <c r="E2501" s="6"/>
      <c r="F2501" s="9">
        <f>SUM(H2382:H2501)</f>
        <v>0</v>
      </c>
      <c r="G2501" s="6"/>
      <c r="I2501" s="9">
        <f>PRODUCT(F2501,G2501)</f>
        <v>0</v>
      </c>
    </row>
    <row r="2503" spans="1:9" x14ac:dyDescent="0.2">
      <c r="A2503" s="6" t="s">
        <v>3075</v>
      </c>
      <c r="B2503" s="6" t="s">
        <v>3076</v>
      </c>
    </row>
    <row r="2504" spans="1:9" x14ac:dyDescent="0.2">
      <c r="A2504" s="5"/>
      <c r="B2504" s="5" t="s">
        <v>64</v>
      </c>
      <c r="C2504" s="5"/>
      <c r="D2504" s="5" t="s">
        <v>13</v>
      </c>
      <c r="E2504" s="5"/>
      <c r="G2504" s="5"/>
      <c r="H2504" s="5"/>
    </row>
    <row r="2505" spans="1:9" x14ac:dyDescent="0.2">
      <c r="A2505" s="5" t="s">
        <v>3077</v>
      </c>
      <c r="B2505" s="5" t="s">
        <v>2961</v>
      </c>
      <c r="C2505" s="5"/>
      <c r="D2505" s="5" t="s">
        <v>18</v>
      </c>
      <c r="E2505" s="5"/>
      <c r="G2505" s="5"/>
      <c r="H2505" s="5"/>
    </row>
    <row r="2506" spans="1:9" x14ac:dyDescent="0.2">
      <c r="A2506" s="5" t="s">
        <v>3078</v>
      </c>
      <c r="B2506" s="5" t="s">
        <v>68</v>
      </c>
      <c r="C2506" s="5"/>
      <c r="D2506" s="5" t="s">
        <v>18</v>
      </c>
      <c r="E2506" s="5"/>
      <c r="G2506" s="5"/>
      <c r="H2506" s="5"/>
    </row>
    <row r="2507" spans="1:9" x14ac:dyDescent="0.2">
      <c r="A2507" s="5"/>
      <c r="B2507" s="5" t="s">
        <v>71</v>
      </c>
      <c r="C2507" s="5"/>
      <c r="D2507" s="5" t="s">
        <v>13</v>
      </c>
      <c r="E2507" s="5"/>
      <c r="G2507" s="5"/>
      <c r="H2507" s="5"/>
    </row>
    <row r="2508" spans="1:9" x14ac:dyDescent="0.2">
      <c r="A2508" s="5" t="s">
        <v>3079</v>
      </c>
      <c r="B2508" s="5" t="s">
        <v>269</v>
      </c>
      <c r="C2508" s="5"/>
      <c r="D2508" s="5" t="s">
        <v>18</v>
      </c>
      <c r="E2508" s="5"/>
      <c r="G2508" s="5"/>
      <c r="H2508" s="5"/>
    </row>
    <row r="2509" spans="1:9" x14ac:dyDescent="0.2">
      <c r="A2509" s="5" t="s">
        <v>3080</v>
      </c>
      <c r="B2509" s="5" t="s">
        <v>2965</v>
      </c>
      <c r="C2509" s="5"/>
      <c r="D2509" s="5" t="s">
        <v>18</v>
      </c>
      <c r="E2509" s="5"/>
      <c r="G2509" s="5"/>
      <c r="H2509" s="5"/>
    </row>
    <row r="2510" spans="1:9" x14ac:dyDescent="0.2">
      <c r="A2510" s="5" t="s">
        <v>3081</v>
      </c>
      <c r="B2510" s="5" t="s">
        <v>2967</v>
      </c>
      <c r="C2510" s="5"/>
      <c r="D2510" s="5" t="s">
        <v>18</v>
      </c>
      <c r="E2510" s="5"/>
      <c r="G2510" s="5"/>
      <c r="H2510" s="5"/>
    </row>
    <row r="2511" spans="1:9" x14ac:dyDescent="0.2">
      <c r="A2511" s="5"/>
      <c r="B2511" s="5" t="s">
        <v>76</v>
      </c>
      <c r="C2511" s="5"/>
      <c r="D2511" s="5" t="s">
        <v>13</v>
      </c>
      <c r="E2511" s="5"/>
      <c r="G2511" s="5"/>
      <c r="H2511" s="5"/>
    </row>
    <row r="2512" spans="1:9" x14ac:dyDescent="0.2">
      <c r="A2512" s="5"/>
      <c r="B2512" s="5" t="s">
        <v>77</v>
      </c>
      <c r="C2512" s="5"/>
      <c r="D2512" s="5" t="s">
        <v>15</v>
      </c>
      <c r="E2512" s="5"/>
      <c r="G2512" s="5"/>
      <c r="H2512" s="5"/>
    </row>
    <row r="2513" spans="1:8" x14ac:dyDescent="0.2">
      <c r="A2513" s="5" t="s">
        <v>3082</v>
      </c>
      <c r="B2513" s="5" t="s">
        <v>2486</v>
      </c>
      <c r="C2513" s="5"/>
      <c r="D2513" s="5" t="s">
        <v>18</v>
      </c>
      <c r="E2513" s="5"/>
      <c r="G2513" s="5"/>
      <c r="H2513" s="5"/>
    </row>
    <row r="2514" spans="1:8" x14ac:dyDescent="0.2">
      <c r="A2514" s="5" t="s">
        <v>3083</v>
      </c>
      <c r="B2514" s="5" t="s">
        <v>2970</v>
      </c>
      <c r="C2514" s="5"/>
      <c r="D2514" s="5" t="s">
        <v>18</v>
      </c>
      <c r="E2514" s="5"/>
      <c r="G2514" s="5"/>
      <c r="H2514" s="5"/>
    </row>
    <row r="2515" spans="1:8" x14ac:dyDescent="0.2">
      <c r="A2515" s="5" t="s">
        <v>3084</v>
      </c>
      <c r="B2515" s="5" t="s">
        <v>2972</v>
      </c>
      <c r="C2515" s="5"/>
      <c r="D2515" s="5" t="s">
        <v>18</v>
      </c>
      <c r="E2515" s="5"/>
      <c r="G2515" s="5"/>
      <c r="H2515" s="5"/>
    </row>
    <row r="2516" spans="1:8" x14ac:dyDescent="0.2">
      <c r="A2516" s="5" t="s">
        <v>3085</v>
      </c>
      <c r="B2516" s="5" t="s">
        <v>93</v>
      </c>
      <c r="C2516" s="5"/>
      <c r="D2516" s="5" t="s">
        <v>18</v>
      </c>
      <c r="E2516" s="5"/>
      <c r="G2516" s="5"/>
      <c r="H2516" s="5"/>
    </row>
    <row r="2517" spans="1:8" x14ac:dyDescent="0.2">
      <c r="A2517" s="5"/>
      <c r="B2517" s="5" t="s">
        <v>94</v>
      </c>
      <c r="C2517" s="5"/>
      <c r="D2517" s="5" t="s">
        <v>13</v>
      </c>
      <c r="E2517" s="5"/>
      <c r="G2517" s="5"/>
      <c r="H2517" s="5"/>
    </row>
    <row r="2518" spans="1:8" x14ac:dyDescent="0.2">
      <c r="A2518" s="5" t="s">
        <v>3086</v>
      </c>
      <c r="B2518" s="5" t="s">
        <v>111</v>
      </c>
      <c r="C2518" s="8">
        <v>1</v>
      </c>
      <c r="D2518" s="5" t="s">
        <v>97</v>
      </c>
      <c r="E2518" s="5"/>
      <c r="G2518" s="5"/>
      <c r="H2518" s="5"/>
    </row>
    <row r="2519" spans="1:8" x14ac:dyDescent="0.2">
      <c r="A2519" s="5" t="s">
        <v>3087</v>
      </c>
      <c r="B2519" s="5" t="s">
        <v>2976</v>
      </c>
      <c r="C2519" s="8">
        <v>1</v>
      </c>
      <c r="D2519" s="5" t="s">
        <v>97</v>
      </c>
      <c r="E2519" s="5"/>
      <c r="G2519" s="5"/>
      <c r="H2519" s="5"/>
    </row>
    <row r="2520" spans="1:8" x14ac:dyDescent="0.2">
      <c r="A2520" s="5" t="s">
        <v>3088</v>
      </c>
      <c r="B2520" s="5" t="s">
        <v>2758</v>
      </c>
      <c r="C2520" s="8">
        <v>1</v>
      </c>
      <c r="D2520" s="5" t="s">
        <v>97</v>
      </c>
      <c r="E2520" s="5"/>
      <c r="G2520" s="5"/>
      <c r="H2520" s="5"/>
    </row>
    <row r="2521" spans="1:8" x14ac:dyDescent="0.2">
      <c r="A2521" s="5" t="s">
        <v>3089</v>
      </c>
      <c r="B2521" s="5" t="s">
        <v>2979</v>
      </c>
      <c r="C2521" s="8">
        <v>1</v>
      </c>
      <c r="D2521" s="5" t="s">
        <v>97</v>
      </c>
      <c r="E2521" s="5"/>
      <c r="G2521" s="5"/>
      <c r="H2521" s="5"/>
    </row>
    <row r="2522" spans="1:8" x14ac:dyDescent="0.2">
      <c r="A2522" s="5" t="s">
        <v>3090</v>
      </c>
      <c r="B2522" s="5" t="s">
        <v>113</v>
      </c>
      <c r="C2522" s="8">
        <v>1</v>
      </c>
      <c r="D2522" s="5" t="s">
        <v>97</v>
      </c>
      <c r="E2522" s="5"/>
      <c r="G2522" s="5"/>
      <c r="H2522" s="5"/>
    </row>
    <row r="2523" spans="1:8" x14ac:dyDescent="0.2">
      <c r="A2523" s="5" t="s">
        <v>3091</v>
      </c>
      <c r="B2523" s="5" t="s">
        <v>2982</v>
      </c>
      <c r="C2523" s="8">
        <v>1</v>
      </c>
      <c r="D2523" s="5" t="s">
        <v>97</v>
      </c>
      <c r="E2523" s="5"/>
      <c r="G2523" s="5"/>
      <c r="H2523" s="5"/>
    </row>
    <row r="2524" spans="1:8" x14ac:dyDescent="0.2">
      <c r="A2524" s="5" t="s">
        <v>3092</v>
      </c>
      <c r="B2524" s="5" t="s">
        <v>313</v>
      </c>
      <c r="C2524" s="8">
        <v>1</v>
      </c>
      <c r="D2524" s="5" t="s">
        <v>97</v>
      </c>
      <c r="E2524" s="5"/>
      <c r="G2524" s="5"/>
      <c r="H2524" s="5"/>
    </row>
    <row r="2525" spans="1:8" x14ac:dyDescent="0.2">
      <c r="A2525" s="5" t="s">
        <v>3093</v>
      </c>
      <c r="B2525" s="5" t="s">
        <v>589</v>
      </c>
      <c r="C2525" s="8">
        <v>1</v>
      </c>
      <c r="D2525" s="5" t="s">
        <v>97</v>
      </c>
      <c r="E2525" s="5"/>
      <c r="G2525" s="5"/>
      <c r="H2525" s="5"/>
    </row>
    <row r="2526" spans="1:8" x14ac:dyDescent="0.2">
      <c r="A2526" s="5"/>
      <c r="B2526" s="5" t="s">
        <v>38</v>
      </c>
      <c r="C2526" s="5"/>
      <c r="D2526" s="5" t="s">
        <v>13</v>
      </c>
      <c r="E2526" s="5"/>
      <c r="G2526" s="5"/>
      <c r="H2526" s="5"/>
    </row>
    <row r="2527" spans="1:8" x14ac:dyDescent="0.2">
      <c r="A2527" s="5"/>
      <c r="B2527" s="5" t="s">
        <v>3094</v>
      </c>
      <c r="C2527" s="5"/>
      <c r="D2527" s="5" t="s">
        <v>15</v>
      </c>
      <c r="E2527" s="5"/>
      <c r="G2527" s="5"/>
      <c r="H2527" s="5"/>
    </row>
    <row r="2528" spans="1:8" x14ac:dyDescent="0.2">
      <c r="A2528" s="5"/>
      <c r="B2528" s="5" t="s">
        <v>3095</v>
      </c>
      <c r="C2528" s="5"/>
      <c r="D2528" s="5" t="s">
        <v>322</v>
      </c>
      <c r="E2528" s="5"/>
      <c r="G2528" s="5"/>
      <c r="H2528" s="5"/>
    </row>
    <row r="2529" spans="1:8" x14ac:dyDescent="0.2">
      <c r="A2529" s="5" t="s">
        <v>3096</v>
      </c>
      <c r="B2529" s="5" t="s">
        <v>2988</v>
      </c>
      <c r="C2529" s="8">
        <v>431</v>
      </c>
      <c r="D2529" s="5" t="s">
        <v>42</v>
      </c>
      <c r="E2529" s="5"/>
      <c r="G2529" s="5"/>
      <c r="H2529" s="5"/>
    </row>
    <row r="2530" spans="1:8" x14ac:dyDescent="0.2">
      <c r="A2530" s="5" t="s">
        <v>3097</v>
      </c>
      <c r="B2530" s="5" t="s">
        <v>2990</v>
      </c>
      <c r="C2530" s="8">
        <v>322</v>
      </c>
      <c r="D2530" s="5" t="s">
        <v>42</v>
      </c>
      <c r="E2530" s="5"/>
      <c r="G2530" s="5"/>
      <c r="H2530" s="5"/>
    </row>
    <row r="2531" spans="1:8" x14ac:dyDescent="0.2">
      <c r="A2531" s="5" t="s">
        <v>3098</v>
      </c>
      <c r="B2531" s="5" t="s">
        <v>2992</v>
      </c>
      <c r="C2531" s="8">
        <v>105</v>
      </c>
      <c r="D2531" s="5" t="s">
        <v>42</v>
      </c>
      <c r="E2531" s="5"/>
      <c r="G2531" s="5"/>
      <c r="H2531" s="5"/>
    </row>
    <row r="2532" spans="1:8" x14ac:dyDescent="0.2">
      <c r="A2532" s="5"/>
      <c r="B2532" s="5" t="s">
        <v>3099</v>
      </c>
      <c r="C2532" s="5"/>
      <c r="D2532" s="5" t="s">
        <v>322</v>
      </c>
      <c r="E2532" s="5"/>
      <c r="G2532" s="5"/>
      <c r="H2532" s="5"/>
    </row>
    <row r="2533" spans="1:8" x14ac:dyDescent="0.2">
      <c r="A2533" s="5" t="s">
        <v>3100</v>
      </c>
      <c r="B2533" s="5" t="s">
        <v>2992</v>
      </c>
      <c r="C2533" s="8">
        <v>119</v>
      </c>
      <c r="D2533" s="5" t="s">
        <v>42</v>
      </c>
      <c r="E2533" s="5"/>
      <c r="G2533" s="5"/>
      <c r="H2533" s="5"/>
    </row>
    <row r="2534" spans="1:8" x14ac:dyDescent="0.2">
      <c r="A2534" s="5"/>
      <c r="B2534" s="5" t="s">
        <v>3101</v>
      </c>
      <c r="C2534" s="5"/>
      <c r="D2534" s="5" t="s">
        <v>15</v>
      </c>
      <c r="E2534" s="5"/>
      <c r="G2534" s="5"/>
      <c r="H2534" s="5"/>
    </row>
    <row r="2535" spans="1:8" x14ac:dyDescent="0.2">
      <c r="A2535" s="5" t="s">
        <v>3102</v>
      </c>
      <c r="B2535" s="5" t="s">
        <v>3103</v>
      </c>
      <c r="C2535" s="8">
        <v>5</v>
      </c>
      <c r="D2535" s="5" t="s">
        <v>42</v>
      </c>
      <c r="E2535" s="5"/>
      <c r="G2535" s="5"/>
      <c r="H2535" s="5"/>
    </row>
    <row r="2536" spans="1:8" x14ac:dyDescent="0.2">
      <c r="A2536" s="5" t="s">
        <v>3104</v>
      </c>
      <c r="B2536" s="5" t="s">
        <v>3105</v>
      </c>
      <c r="C2536" s="8">
        <v>3</v>
      </c>
      <c r="D2536" s="5" t="s">
        <v>42</v>
      </c>
      <c r="E2536" s="5"/>
      <c r="G2536" s="5"/>
      <c r="H2536" s="5"/>
    </row>
    <row r="2537" spans="1:8" x14ac:dyDescent="0.2">
      <c r="A2537" s="5" t="s">
        <v>3106</v>
      </c>
      <c r="B2537" s="5" t="s">
        <v>3107</v>
      </c>
      <c r="C2537" s="8">
        <v>1</v>
      </c>
      <c r="D2537" s="5" t="s">
        <v>42</v>
      </c>
      <c r="E2537" s="5"/>
      <c r="G2537" s="5"/>
      <c r="H2537" s="5"/>
    </row>
    <row r="2538" spans="1:8" x14ac:dyDescent="0.2">
      <c r="A2538" s="5"/>
      <c r="B2538" s="5" t="s">
        <v>3108</v>
      </c>
      <c r="C2538" s="5"/>
      <c r="D2538" s="5" t="s">
        <v>15</v>
      </c>
      <c r="E2538" s="5"/>
      <c r="G2538" s="5"/>
      <c r="H2538" s="5"/>
    </row>
    <row r="2539" spans="1:8" x14ac:dyDescent="0.2">
      <c r="A2539" s="5"/>
      <c r="B2539" s="5" t="s">
        <v>3109</v>
      </c>
      <c r="C2539" s="5"/>
      <c r="D2539" s="5" t="s">
        <v>322</v>
      </c>
      <c r="E2539" s="5"/>
      <c r="G2539" s="5"/>
      <c r="H2539" s="5"/>
    </row>
    <row r="2540" spans="1:8" x14ac:dyDescent="0.2">
      <c r="A2540" s="5" t="s">
        <v>3110</v>
      </c>
      <c r="B2540" s="5" t="s">
        <v>3103</v>
      </c>
      <c r="C2540" s="8">
        <v>89</v>
      </c>
      <c r="D2540" s="5" t="s">
        <v>42</v>
      </c>
      <c r="E2540" s="5"/>
      <c r="G2540" s="5"/>
      <c r="H2540" s="5"/>
    </row>
    <row r="2541" spans="1:8" x14ac:dyDescent="0.2">
      <c r="A2541" s="5" t="s">
        <v>3111</v>
      </c>
      <c r="B2541" s="5" t="s">
        <v>3105</v>
      </c>
      <c r="C2541" s="8">
        <v>65</v>
      </c>
      <c r="D2541" s="5" t="s">
        <v>42</v>
      </c>
      <c r="E2541" s="5"/>
      <c r="G2541" s="5"/>
      <c r="H2541" s="5"/>
    </row>
    <row r="2542" spans="1:8" x14ac:dyDescent="0.2">
      <c r="A2542" s="5" t="s">
        <v>3112</v>
      </c>
      <c r="B2542" s="5" t="s">
        <v>3107</v>
      </c>
      <c r="C2542" s="8">
        <v>13</v>
      </c>
      <c r="D2542" s="5" t="s">
        <v>42</v>
      </c>
      <c r="E2542" s="5"/>
      <c r="G2542" s="5"/>
      <c r="H2542" s="5"/>
    </row>
    <row r="2543" spans="1:8" x14ac:dyDescent="0.2">
      <c r="A2543" s="5"/>
      <c r="B2543" s="5" t="s">
        <v>53</v>
      </c>
      <c r="C2543" s="5"/>
      <c r="D2543" s="5" t="s">
        <v>13</v>
      </c>
      <c r="E2543" s="5"/>
      <c r="G2543" s="5"/>
      <c r="H2543" s="5"/>
    </row>
    <row r="2544" spans="1:8" x14ac:dyDescent="0.2">
      <c r="A2544" s="5"/>
      <c r="B2544" s="5" t="s">
        <v>3094</v>
      </c>
      <c r="C2544" s="5"/>
      <c r="D2544" s="5" t="s">
        <v>15</v>
      </c>
      <c r="E2544" s="5"/>
      <c r="G2544" s="5"/>
      <c r="H2544" s="5"/>
    </row>
    <row r="2545" spans="1:8" x14ac:dyDescent="0.2">
      <c r="A2545" s="5"/>
      <c r="B2545" s="5" t="s">
        <v>3095</v>
      </c>
      <c r="C2545" s="5"/>
      <c r="D2545" s="5" t="s">
        <v>322</v>
      </c>
      <c r="E2545" s="5"/>
      <c r="G2545" s="5"/>
      <c r="H2545" s="5"/>
    </row>
    <row r="2546" spans="1:8" x14ac:dyDescent="0.2">
      <c r="A2546" s="5" t="s">
        <v>3113</v>
      </c>
      <c r="B2546" s="5" t="s">
        <v>2988</v>
      </c>
      <c r="C2546" s="8">
        <v>326</v>
      </c>
      <c r="D2546" s="5" t="s">
        <v>42</v>
      </c>
      <c r="E2546" s="5"/>
      <c r="G2546" s="5"/>
      <c r="H2546" s="5"/>
    </row>
    <row r="2547" spans="1:8" x14ac:dyDescent="0.2">
      <c r="A2547" s="5" t="s">
        <v>3114</v>
      </c>
      <c r="B2547" s="5" t="s">
        <v>2990</v>
      </c>
      <c r="C2547" s="8">
        <v>227</v>
      </c>
      <c r="D2547" s="5" t="s">
        <v>42</v>
      </c>
      <c r="E2547" s="5"/>
      <c r="G2547" s="5"/>
      <c r="H2547" s="5"/>
    </row>
    <row r="2548" spans="1:8" x14ac:dyDescent="0.2">
      <c r="A2548" s="5" t="s">
        <v>3115</v>
      </c>
      <c r="B2548" s="5" t="s">
        <v>2992</v>
      </c>
      <c r="C2548" s="8">
        <v>16</v>
      </c>
      <c r="D2548" s="5" t="s">
        <v>42</v>
      </c>
      <c r="E2548" s="5"/>
      <c r="G2548" s="5"/>
      <c r="H2548" s="5"/>
    </row>
    <row r="2549" spans="1:8" x14ac:dyDescent="0.2">
      <c r="A2549" s="5"/>
      <c r="B2549" s="5" t="s">
        <v>3099</v>
      </c>
      <c r="C2549" s="5"/>
      <c r="D2549" s="5" t="s">
        <v>322</v>
      </c>
      <c r="E2549" s="5"/>
      <c r="G2549" s="5"/>
      <c r="H2549" s="5"/>
    </row>
    <row r="2550" spans="1:8" x14ac:dyDescent="0.2">
      <c r="A2550" s="5" t="s">
        <v>3116</v>
      </c>
      <c r="B2550" s="5" t="s">
        <v>2992</v>
      </c>
      <c r="C2550" s="8">
        <v>102</v>
      </c>
      <c r="D2550" s="5" t="s">
        <v>42</v>
      </c>
      <c r="E2550" s="5"/>
      <c r="G2550" s="5"/>
      <c r="H2550" s="5"/>
    </row>
    <row r="2551" spans="1:8" x14ac:dyDescent="0.2">
      <c r="A2551" s="5"/>
      <c r="B2551" s="5" t="s">
        <v>3101</v>
      </c>
      <c r="C2551" s="5"/>
      <c r="D2551" s="5" t="s">
        <v>15</v>
      </c>
      <c r="E2551" s="5"/>
      <c r="G2551" s="5"/>
      <c r="H2551" s="5"/>
    </row>
    <row r="2552" spans="1:8" x14ac:dyDescent="0.2">
      <c r="A2552" s="5" t="s">
        <v>3117</v>
      </c>
      <c r="B2552" s="5" t="s">
        <v>3118</v>
      </c>
      <c r="C2552" s="8">
        <v>3</v>
      </c>
      <c r="D2552" s="5" t="s">
        <v>42</v>
      </c>
      <c r="E2552" s="5"/>
      <c r="G2552" s="5"/>
      <c r="H2552" s="5"/>
    </row>
    <row r="2553" spans="1:8" x14ac:dyDescent="0.2">
      <c r="A2553" s="5" t="s">
        <v>3119</v>
      </c>
      <c r="B2553" s="5" t="s">
        <v>3103</v>
      </c>
      <c r="C2553" s="8">
        <v>3</v>
      </c>
      <c r="D2553" s="5" t="s">
        <v>42</v>
      </c>
      <c r="E2553" s="5"/>
      <c r="G2553" s="5"/>
      <c r="H2553" s="5"/>
    </row>
    <row r="2554" spans="1:8" x14ac:dyDescent="0.2">
      <c r="A2554" s="5" t="s">
        <v>3120</v>
      </c>
      <c r="B2554" s="5" t="s">
        <v>3105</v>
      </c>
      <c r="C2554" s="8">
        <v>1</v>
      </c>
      <c r="D2554" s="5" t="s">
        <v>42</v>
      </c>
      <c r="E2554" s="5"/>
      <c r="G2554" s="5"/>
      <c r="H2554" s="5"/>
    </row>
    <row r="2555" spans="1:8" x14ac:dyDescent="0.2">
      <c r="A2555" s="5" t="s">
        <v>3121</v>
      </c>
      <c r="B2555" s="5" t="s">
        <v>3107</v>
      </c>
      <c r="C2555" s="8">
        <v>1</v>
      </c>
      <c r="D2555" s="5" t="s">
        <v>42</v>
      </c>
      <c r="E2555" s="5"/>
      <c r="G2555" s="5"/>
      <c r="H2555" s="5"/>
    </row>
    <row r="2556" spans="1:8" x14ac:dyDescent="0.2">
      <c r="A2556" s="5"/>
      <c r="B2556" s="5" t="s">
        <v>3108</v>
      </c>
      <c r="C2556" s="5"/>
      <c r="D2556" s="5" t="s">
        <v>15</v>
      </c>
      <c r="E2556" s="5"/>
      <c r="G2556" s="5"/>
      <c r="H2556" s="5"/>
    </row>
    <row r="2557" spans="1:8" x14ac:dyDescent="0.2">
      <c r="A2557" s="5"/>
      <c r="B2557" s="5" t="s">
        <v>3109</v>
      </c>
      <c r="C2557" s="5"/>
      <c r="D2557" s="5" t="s">
        <v>322</v>
      </c>
      <c r="E2557" s="5"/>
      <c r="G2557" s="5"/>
      <c r="H2557" s="5"/>
    </row>
    <row r="2558" spans="1:8" x14ac:dyDescent="0.2">
      <c r="A2558" s="5" t="s">
        <v>3122</v>
      </c>
      <c r="B2558" s="5" t="s">
        <v>3118</v>
      </c>
      <c r="C2558" s="8">
        <v>17</v>
      </c>
      <c r="D2558" s="5" t="s">
        <v>42</v>
      </c>
      <c r="E2558" s="5"/>
      <c r="G2558" s="5"/>
      <c r="H2558" s="5"/>
    </row>
    <row r="2559" spans="1:8" x14ac:dyDescent="0.2">
      <c r="A2559" s="5" t="s">
        <v>3123</v>
      </c>
      <c r="B2559" s="5" t="s">
        <v>3103</v>
      </c>
      <c r="C2559" s="8">
        <v>55</v>
      </c>
      <c r="D2559" s="5" t="s">
        <v>42</v>
      </c>
      <c r="E2559" s="5"/>
      <c r="G2559" s="5"/>
      <c r="H2559" s="5"/>
    </row>
    <row r="2560" spans="1:8" x14ac:dyDescent="0.2">
      <c r="A2560" s="5" t="s">
        <v>3124</v>
      </c>
      <c r="B2560" s="5" t="s">
        <v>3105</v>
      </c>
      <c r="C2560" s="8">
        <v>51</v>
      </c>
      <c r="D2560" s="5" t="s">
        <v>42</v>
      </c>
      <c r="E2560" s="5"/>
      <c r="G2560" s="5"/>
      <c r="H2560" s="5"/>
    </row>
    <row r="2561" spans="1:9" x14ac:dyDescent="0.2">
      <c r="A2561" s="5" t="s">
        <v>3125</v>
      </c>
      <c r="B2561" s="5" t="s">
        <v>3107</v>
      </c>
      <c r="C2561" s="8">
        <v>10</v>
      </c>
      <c r="D2561" s="5" t="s">
        <v>42</v>
      </c>
      <c r="E2561" s="5"/>
      <c r="G2561" s="5"/>
      <c r="H2561" s="5"/>
    </row>
    <row r="2562" spans="1:9" x14ac:dyDescent="0.2">
      <c r="B2562" s="6" t="s">
        <v>3126</v>
      </c>
      <c r="C2562" s="6"/>
      <c r="D2562" s="6"/>
      <c r="E2562" s="6"/>
      <c r="F2562" s="9">
        <f>SUM(H2504:H2562)</f>
        <v>0</v>
      </c>
      <c r="G2562" s="6"/>
      <c r="I2562" s="9">
        <f>PRODUCT(F2562,G2562)</f>
        <v>0</v>
      </c>
    </row>
    <row r="2564" spans="1:9" x14ac:dyDescent="0.2">
      <c r="A2564" s="6" t="s">
        <v>3127</v>
      </c>
      <c r="B2564" s="6" t="s">
        <v>3128</v>
      </c>
    </row>
    <row r="2565" spans="1:9" x14ac:dyDescent="0.2">
      <c r="A2565" s="5"/>
      <c r="B2565" s="5" t="s">
        <v>71</v>
      </c>
      <c r="C2565" s="5"/>
      <c r="D2565" s="5" t="s">
        <v>13</v>
      </c>
      <c r="E2565" s="5"/>
      <c r="G2565" s="5"/>
      <c r="H2565" s="5"/>
    </row>
    <row r="2566" spans="1:9" x14ac:dyDescent="0.2">
      <c r="A2566" s="5" t="s">
        <v>3129</v>
      </c>
      <c r="B2566" s="5" t="s">
        <v>3130</v>
      </c>
      <c r="C2566" s="5"/>
      <c r="D2566" s="5" t="s">
        <v>18</v>
      </c>
      <c r="E2566" s="5"/>
      <c r="G2566" s="5"/>
      <c r="H2566" s="5"/>
    </row>
    <row r="2567" spans="1:9" x14ac:dyDescent="0.2">
      <c r="A2567" s="5" t="s">
        <v>3131</v>
      </c>
      <c r="B2567" s="5" t="s">
        <v>269</v>
      </c>
      <c r="C2567" s="5"/>
      <c r="D2567" s="5" t="s">
        <v>18</v>
      </c>
      <c r="E2567" s="5"/>
      <c r="G2567" s="5"/>
      <c r="H2567" s="5"/>
    </row>
    <row r="2568" spans="1:9" x14ac:dyDescent="0.2">
      <c r="A2568" s="5" t="s">
        <v>3132</v>
      </c>
      <c r="B2568" s="5" t="s">
        <v>3133</v>
      </c>
      <c r="C2568" s="5"/>
      <c r="D2568" s="5" t="s">
        <v>18</v>
      </c>
      <c r="E2568" s="5"/>
      <c r="G2568" s="5"/>
      <c r="H2568" s="5"/>
    </row>
    <row r="2569" spans="1:9" x14ac:dyDescent="0.2">
      <c r="A2569" s="5" t="s">
        <v>3134</v>
      </c>
      <c r="B2569" s="5" t="s">
        <v>3135</v>
      </c>
      <c r="C2569" s="5"/>
      <c r="D2569" s="5" t="s">
        <v>18</v>
      </c>
      <c r="E2569" s="5"/>
      <c r="G2569" s="5"/>
      <c r="H2569" s="5"/>
    </row>
    <row r="2570" spans="1:9" x14ac:dyDescent="0.2">
      <c r="A2570" s="5"/>
      <c r="B2570" s="5" t="s">
        <v>135</v>
      </c>
      <c r="C2570" s="5"/>
      <c r="D2570" s="5" t="s">
        <v>13</v>
      </c>
      <c r="E2570" s="5"/>
      <c r="G2570" s="5"/>
      <c r="H2570" s="5"/>
    </row>
    <row r="2571" spans="1:9" x14ac:dyDescent="0.2">
      <c r="A2571" s="5" t="s">
        <v>3136</v>
      </c>
      <c r="B2571" s="5" t="s">
        <v>2218</v>
      </c>
      <c r="C2571" s="5"/>
      <c r="D2571" s="5" t="s">
        <v>18</v>
      </c>
      <c r="E2571" s="5"/>
      <c r="G2571" s="5"/>
      <c r="H2571" s="5"/>
    </row>
    <row r="2572" spans="1:9" x14ac:dyDescent="0.2">
      <c r="A2572" s="5"/>
      <c r="B2572" s="5" t="s">
        <v>38</v>
      </c>
      <c r="C2572" s="5"/>
      <c r="D2572" s="5" t="s">
        <v>13</v>
      </c>
      <c r="E2572" s="5"/>
      <c r="G2572" s="5"/>
      <c r="H2572" s="5"/>
    </row>
    <row r="2573" spans="1:9" x14ac:dyDescent="0.2">
      <c r="A2573" s="5"/>
      <c r="B2573" s="5" t="s">
        <v>3137</v>
      </c>
      <c r="C2573" s="5"/>
      <c r="D2573" s="5" t="s">
        <v>15</v>
      </c>
      <c r="E2573" s="5"/>
      <c r="G2573" s="5"/>
      <c r="H2573" s="5"/>
    </row>
    <row r="2574" spans="1:9" x14ac:dyDescent="0.2">
      <c r="A2574" s="5"/>
      <c r="B2574" s="5" t="s">
        <v>3138</v>
      </c>
      <c r="C2574" s="5"/>
      <c r="D2574" s="5" t="s">
        <v>322</v>
      </c>
      <c r="E2574" s="5"/>
      <c r="G2574" s="5"/>
      <c r="H2574" s="5"/>
    </row>
    <row r="2575" spans="1:9" x14ac:dyDescent="0.2">
      <c r="A2575" s="5" t="s">
        <v>3139</v>
      </c>
      <c r="B2575" s="5" t="s">
        <v>3140</v>
      </c>
      <c r="C2575" s="8">
        <v>372</v>
      </c>
      <c r="D2575" s="5" t="s">
        <v>42</v>
      </c>
      <c r="E2575" s="5"/>
      <c r="G2575" s="5"/>
      <c r="H2575" s="5"/>
    </row>
    <row r="2576" spans="1:9" x14ac:dyDescent="0.2">
      <c r="A2576" s="5" t="s">
        <v>3141</v>
      </c>
      <c r="B2576" s="5" t="s">
        <v>3142</v>
      </c>
      <c r="C2576" s="8">
        <v>561</v>
      </c>
      <c r="D2576" s="5" t="s">
        <v>42</v>
      </c>
      <c r="E2576" s="5"/>
      <c r="G2576" s="5"/>
      <c r="H2576" s="5"/>
    </row>
    <row r="2577" spans="1:8" x14ac:dyDescent="0.2">
      <c r="A2577" s="5" t="s">
        <v>3143</v>
      </c>
      <c r="B2577" s="5" t="s">
        <v>3144</v>
      </c>
      <c r="C2577" s="8">
        <v>203</v>
      </c>
      <c r="D2577" s="5" t="s">
        <v>42</v>
      </c>
      <c r="E2577" s="5"/>
      <c r="G2577" s="5"/>
      <c r="H2577" s="5"/>
    </row>
    <row r="2578" spans="1:8" x14ac:dyDescent="0.2">
      <c r="A2578" s="5" t="s">
        <v>3145</v>
      </c>
      <c r="B2578" s="5" t="s">
        <v>3146</v>
      </c>
      <c r="C2578" s="8">
        <v>47</v>
      </c>
      <c r="D2578" s="5" t="s">
        <v>155</v>
      </c>
      <c r="E2578" s="5"/>
      <c r="G2578" s="5"/>
      <c r="H2578" s="5"/>
    </row>
    <row r="2579" spans="1:8" x14ac:dyDescent="0.2">
      <c r="A2579" s="5" t="s">
        <v>3147</v>
      </c>
      <c r="B2579" s="5" t="s">
        <v>3148</v>
      </c>
      <c r="C2579" s="8">
        <v>11</v>
      </c>
      <c r="D2579" s="5" t="s">
        <v>155</v>
      </c>
      <c r="E2579" s="5"/>
      <c r="G2579" s="5"/>
      <c r="H2579" s="5"/>
    </row>
    <row r="2580" spans="1:8" x14ac:dyDescent="0.2">
      <c r="A2580" s="5"/>
      <c r="B2580" s="5" t="s">
        <v>3149</v>
      </c>
      <c r="C2580" s="5"/>
      <c r="D2580" s="5" t="s">
        <v>322</v>
      </c>
      <c r="E2580" s="5"/>
      <c r="G2580" s="5"/>
      <c r="H2580" s="5"/>
    </row>
    <row r="2581" spans="1:8" x14ac:dyDescent="0.2">
      <c r="A2581" s="5" t="s">
        <v>3150</v>
      </c>
      <c r="B2581" s="5" t="s">
        <v>3142</v>
      </c>
      <c r="C2581" s="8">
        <v>129</v>
      </c>
      <c r="D2581" s="5" t="s">
        <v>42</v>
      </c>
      <c r="E2581" s="5"/>
      <c r="G2581" s="5"/>
      <c r="H2581" s="5"/>
    </row>
    <row r="2582" spans="1:8" x14ac:dyDescent="0.2">
      <c r="A2582" s="5" t="s">
        <v>3151</v>
      </c>
      <c r="B2582" s="5" t="s">
        <v>3152</v>
      </c>
      <c r="C2582" s="8">
        <v>1206</v>
      </c>
      <c r="D2582" s="5" t="s">
        <v>42</v>
      </c>
      <c r="E2582" s="5"/>
      <c r="G2582" s="5"/>
      <c r="H2582" s="5"/>
    </row>
    <row r="2583" spans="1:8" x14ac:dyDescent="0.2">
      <c r="A2583" s="5" t="s">
        <v>3153</v>
      </c>
      <c r="B2583" s="5" t="s">
        <v>3144</v>
      </c>
      <c r="C2583" s="8">
        <v>101</v>
      </c>
      <c r="D2583" s="5" t="s">
        <v>42</v>
      </c>
      <c r="E2583" s="5"/>
      <c r="G2583" s="5"/>
      <c r="H2583" s="5"/>
    </row>
    <row r="2584" spans="1:8" x14ac:dyDescent="0.2">
      <c r="A2584" s="5" t="s">
        <v>3154</v>
      </c>
      <c r="B2584" s="5" t="s">
        <v>3146</v>
      </c>
      <c r="C2584" s="8">
        <v>39</v>
      </c>
      <c r="D2584" s="5" t="s">
        <v>155</v>
      </c>
      <c r="E2584" s="5"/>
      <c r="G2584" s="5"/>
      <c r="H2584" s="5"/>
    </row>
    <row r="2585" spans="1:8" x14ac:dyDescent="0.2">
      <c r="A2585" s="5" t="s">
        <v>3155</v>
      </c>
      <c r="B2585" s="5" t="s">
        <v>3148</v>
      </c>
      <c r="C2585" s="8">
        <v>21</v>
      </c>
      <c r="D2585" s="5" t="s">
        <v>155</v>
      </c>
      <c r="E2585" s="5"/>
      <c r="G2585" s="5"/>
      <c r="H2585" s="5"/>
    </row>
    <row r="2586" spans="1:8" x14ac:dyDescent="0.2">
      <c r="A2586" s="5"/>
      <c r="B2586" s="5" t="s">
        <v>3156</v>
      </c>
      <c r="C2586" s="5"/>
      <c r="D2586" s="5" t="s">
        <v>322</v>
      </c>
      <c r="E2586" s="5"/>
      <c r="G2586" s="5"/>
      <c r="H2586" s="5"/>
    </row>
    <row r="2587" spans="1:8" x14ac:dyDescent="0.2">
      <c r="A2587" s="5" t="s">
        <v>3157</v>
      </c>
      <c r="B2587" s="5" t="s">
        <v>3140</v>
      </c>
      <c r="C2587" s="8">
        <v>920</v>
      </c>
      <c r="D2587" s="5" t="s">
        <v>42</v>
      </c>
      <c r="E2587" s="5"/>
      <c r="G2587" s="5"/>
      <c r="H2587" s="5"/>
    </row>
    <row r="2588" spans="1:8" x14ac:dyDescent="0.2">
      <c r="A2588" s="5" t="s">
        <v>3158</v>
      </c>
      <c r="B2588" s="5" t="s">
        <v>3142</v>
      </c>
      <c r="C2588" s="8">
        <v>7</v>
      </c>
      <c r="D2588" s="5" t="s">
        <v>42</v>
      </c>
      <c r="E2588" s="5"/>
      <c r="G2588" s="5"/>
      <c r="H2588" s="5"/>
    </row>
    <row r="2589" spans="1:8" x14ac:dyDescent="0.2">
      <c r="A2589" s="5" t="s">
        <v>3159</v>
      </c>
      <c r="B2589" s="5" t="s">
        <v>3146</v>
      </c>
      <c r="C2589" s="8">
        <v>36</v>
      </c>
      <c r="D2589" s="5" t="s">
        <v>155</v>
      </c>
      <c r="E2589" s="5"/>
      <c r="G2589" s="5"/>
      <c r="H2589" s="5"/>
    </row>
    <row r="2590" spans="1:8" x14ac:dyDescent="0.2">
      <c r="A2590" s="5" t="s">
        <v>3160</v>
      </c>
      <c r="B2590" s="5" t="s">
        <v>3148</v>
      </c>
      <c r="C2590" s="8">
        <v>32</v>
      </c>
      <c r="D2590" s="5" t="s">
        <v>155</v>
      </c>
      <c r="E2590" s="5"/>
      <c r="G2590" s="5"/>
      <c r="H2590" s="5"/>
    </row>
    <row r="2591" spans="1:8" x14ac:dyDescent="0.2">
      <c r="A2591" s="5"/>
      <c r="B2591" s="5" t="s">
        <v>3161</v>
      </c>
      <c r="C2591" s="5"/>
      <c r="D2591" s="5" t="s">
        <v>322</v>
      </c>
      <c r="E2591" s="5"/>
      <c r="G2591" s="5"/>
      <c r="H2591" s="5"/>
    </row>
    <row r="2592" spans="1:8" x14ac:dyDescent="0.2">
      <c r="A2592" s="5" t="s">
        <v>3162</v>
      </c>
      <c r="B2592" s="5" t="s">
        <v>3142</v>
      </c>
      <c r="C2592" s="8">
        <v>1</v>
      </c>
      <c r="D2592" s="5" t="s">
        <v>3163</v>
      </c>
      <c r="E2592" s="5"/>
      <c r="G2592" s="5"/>
      <c r="H2592" s="5"/>
    </row>
    <row r="2593" spans="1:8" x14ac:dyDescent="0.2">
      <c r="A2593" s="5" t="s">
        <v>3164</v>
      </c>
      <c r="B2593" s="5" t="s">
        <v>3152</v>
      </c>
      <c r="C2593" s="8">
        <v>1</v>
      </c>
      <c r="D2593" s="5" t="s">
        <v>3163</v>
      </c>
      <c r="E2593" s="5"/>
      <c r="G2593" s="5"/>
      <c r="H2593" s="5"/>
    </row>
    <row r="2594" spans="1:8" x14ac:dyDescent="0.2">
      <c r="A2594" s="5" t="s">
        <v>3165</v>
      </c>
      <c r="B2594" s="5" t="s">
        <v>3144</v>
      </c>
      <c r="C2594" s="8">
        <v>1</v>
      </c>
      <c r="D2594" s="5" t="s">
        <v>3163</v>
      </c>
      <c r="E2594" s="5"/>
      <c r="G2594" s="5"/>
      <c r="H2594" s="5"/>
    </row>
    <row r="2595" spans="1:8" x14ac:dyDescent="0.2">
      <c r="A2595" s="5"/>
      <c r="B2595" s="5" t="s">
        <v>3166</v>
      </c>
      <c r="C2595" s="5"/>
      <c r="D2595" s="5" t="s">
        <v>322</v>
      </c>
      <c r="E2595" s="5"/>
      <c r="G2595" s="5"/>
      <c r="H2595" s="5"/>
    </row>
    <row r="2596" spans="1:8" x14ac:dyDescent="0.2">
      <c r="A2596" s="5" t="s">
        <v>3167</v>
      </c>
      <c r="B2596" s="5" t="s">
        <v>3140</v>
      </c>
      <c r="C2596" s="8">
        <v>13</v>
      </c>
      <c r="D2596" s="5" t="s">
        <v>42</v>
      </c>
      <c r="E2596" s="5"/>
      <c r="G2596" s="5"/>
      <c r="H2596" s="5"/>
    </row>
    <row r="2597" spans="1:8" x14ac:dyDescent="0.2">
      <c r="A2597" s="5"/>
      <c r="B2597" s="5" t="s">
        <v>3168</v>
      </c>
      <c r="C2597" s="5"/>
      <c r="D2597" s="5" t="s">
        <v>15</v>
      </c>
      <c r="E2597" s="5"/>
      <c r="G2597" s="5"/>
      <c r="H2597" s="5"/>
    </row>
    <row r="2598" spans="1:8" x14ac:dyDescent="0.2">
      <c r="A2598" s="5"/>
      <c r="B2598" s="5" t="s">
        <v>3169</v>
      </c>
      <c r="C2598" s="5"/>
      <c r="D2598" s="5" t="s">
        <v>322</v>
      </c>
      <c r="E2598" s="5"/>
      <c r="G2598" s="5"/>
      <c r="H2598" s="5"/>
    </row>
    <row r="2599" spans="1:8" x14ac:dyDescent="0.2">
      <c r="A2599" s="5" t="s">
        <v>3170</v>
      </c>
      <c r="B2599" s="5" t="s">
        <v>2520</v>
      </c>
      <c r="C2599" s="8">
        <v>1143</v>
      </c>
      <c r="D2599" s="5" t="s">
        <v>42</v>
      </c>
      <c r="E2599" s="5"/>
      <c r="G2599" s="5"/>
      <c r="H2599" s="5"/>
    </row>
    <row r="2600" spans="1:8" x14ac:dyDescent="0.2">
      <c r="A2600" s="5"/>
      <c r="B2600" s="5" t="s">
        <v>3171</v>
      </c>
      <c r="C2600" s="5"/>
      <c r="D2600" s="5" t="s">
        <v>15</v>
      </c>
      <c r="E2600" s="5"/>
      <c r="G2600" s="5"/>
      <c r="H2600" s="5"/>
    </row>
    <row r="2601" spans="1:8" x14ac:dyDescent="0.2">
      <c r="A2601" s="5"/>
      <c r="B2601" s="5" t="s">
        <v>2660</v>
      </c>
      <c r="C2601" s="5"/>
      <c r="D2601" s="5" t="s">
        <v>322</v>
      </c>
      <c r="E2601" s="5"/>
      <c r="G2601" s="5"/>
      <c r="H2601" s="5"/>
    </row>
    <row r="2602" spans="1:8" x14ac:dyDescent="0.2">
      <c r="A2602" s="5"/>
      <c r="B2602" s="5" t="s">
        <v>3172</v>
      </c>
      <c r="C2602" s="5"/>
      <c r="D2602" s="5" t="s">
        <v>366</v>
      </c>
      <c r="E2602" s="5"/>
      <c r="G2602" s="5"/>
      <c r="H2602" s="5"/>
    </row>
    <row r="2603" spans="1:8" x14ac:dyDescent="0.2">
      <c r="A2603" s="5" t="s">
        <v>3173</v>
      </c>
      <c r="B2603" s="5" t="s">
        <v>2225</v>
      </c>
      <c r="C2603" s="8">
        <v>81</v>
      </c>
      <c r="D2603" s="5" t="s">
        <v>42</v>
      </c>
      <c r="E2603" s="5"/>
      <c r="G2603" s="5"/>
      <c r="H2603" s="5"/>
    </row>
    <row r="2604" spans="1:8" x14ac:dyDescent="0.2">
      <c r="A2604" s="5"/>
      <c r="B2604" s="5" t="s">
        <v>3174</v>
      </c>
      <c r="C2604" s="5"/>
      <c r="D2604" s="5" t="s">
        <v>366</v>
      </c>
      <c r="E2604" s="5"/>
      <c r="G2604" s="5"/>
      <c r="H2604" s="5"/>
    </row>
    <row r="2605" spans="1:8" x14ac:dyDescent="0.2">
      <c r="A2605" s="5" t="s">
        <v>3175</v>
      </c>
      <c r="B2605" s="5" t="s">
        <v>2225</v>
      </c>
      <c r="C2605" s="8">
        <v>61</v>
      </c>
      <c r="D2605" s="5" t="s">
        <v>42</v>
      </c>
      <c r="E2605" s="5"/>
      <c r="G2605" s="5"/>
      <c r="H2605" s="5"/>
    </row>
    <row r="2606" spans="1:8" x14ac:dyDescent="0.2">
      <c r="A2606" s="5"/>
      <c r="B2606" s="5" t="s">
        <v>3176</v>
      </c>
      <c r="C2606" s="5"/>
      <c r="D2606" s="5" t="s">
        <v>366</v>
      </c>
      <c r="E2606" s="5"/>
      <c r="G2606" s="5"/>
      <c r="H2606" s="5"/>
    </row>
    <row r="2607" spans="1:8" x14ac:dyDescent="0.2">
      <c r="A2607" s="5" t="s">
        <v>3177</v>
      </c>
      <c r="B2607" s="5" t="s">
        <v>2225</v>
      </c>
      <c r="C2607" s="8">
        <v>5</v>
      </c>
      <c r="D2607" s="5" t="s">
        <v>42</v>
      </c>
      <c r="E2607" s="5"/>
      <c r="G2607" s="5"/>
      <c r="H2607" s="5"/>
    </row>
    <row r="2608" spans="1:8" x14ac:dyDescent="0.2">
      <c r="A2608" s="5"/>
      <c r="B2608" s="5" t="s">
        <v>3178</v>
      </c>
      <c r="C2608" s="5"/>
      <c r="D2608" s="5" t="s">
        <v>15</v>
      </c>
      <c r="E2608" s="5"/>
      <c r="G2608" s="5"/>
      <c r="H2608" s="5"/>
    </row>
    <row r="2609" spans="1:8" x14ac:dyDescent="0.2">
      <c r="A2609" s="5"/>
      <c r="B2609" s="5" t="s">
        <v>3179</v>
      </c>
      <c r="C2609" s="5"/>
      <c r="D2609" s="5" t="s">
        <v>322</v>
      </c>
      <c r="E2609" s="5"/>
      <c r="G2609" s="5"/>
      <c r="H2609" s="5"/>
    </row>
    <row r="2610" spans="1:8" x14ac:dyDescent="0.2">
      <c r="A2610" s="5"/>
      <c r="B2610" s="5" t="s">
        <v>3180</v>
      </c>
      <c r="C2610" s="5"/>
      <c r="D2610" s="5" t="s">
        <v>366</v>
      </c>
      <c r="E2610" s="5"/>
      <c r="G2610" s="5"/>
      <c r="H2610" s="5"/>
    </row>
    <row r="2611" spans="1:8" x14ac:dyDescent="0.2">
      <c r="A2611" s="5" t="s">
        <v>3181</v>
      </c>
      <c r="B2611" s="5" t="s">
        <v>3182</v>
      </c>
      <c r="C2611" s="8">
        <v>13</v>
      </c>
      <c r="D2611" s="5" t="s">
        <v>42</v>
      </c>
      <c r="E2611" s="5"/>
      <c r="G2611" s="5"/>
      <c r="H2611" s="5"/>
    </row>
    <row r="2612" spans="1:8" x14ac:dyDescent="0.2">
      <c r="A2612" s="5"/>
      <c r="B2612" s="5" t="s">
        <v>3183</v>
      </c>
      <c r="C2612" s="5"/>
      <c r="D2612" s="5" t="s">
        <v>366</v>
      </c>
      <c r="E2612" s="5"/>
      <c r="G2612" s="5"/>
      <c r="H2612" s="5"/>
    </row>
    <row r="2613" spans="1:8" x14ac:dyDescent="0.2">
      <c r="A2613" s="5" t="s">
        <v>3184</v>
      </c>
      <c r="B2613" s="5" t="s">
        <v>2225</v>
      </c>
      <c r="C2613" s="8">
        <v>106</v>
      </c>
      <c r="D2613" s="5" t="s">
        <v>42</v>
      </c>
      <c r="E2613" s="5"/>
      <c r="G2613" s="5"/>
      <c r="H2613" s="5"/>
    </row>
    <row r="2614" spans="1:8" x14ac:dyDescent="0.2">
      <c r="A2614" s="5"/>
      <c r="B2614" s="5" t="s">
        <v>3185</v>
      </c>
      <c r="C2614" s="5"/>
      <c r="D2614" s="5" t="s">
        <v>366</v>
      </c>
      <c r="E2614" s="5"/>
      <c r="G2614" s="5"/>
      <c r="H2614" s="5"/>
    </row>
    <row r="2615" spans="1:8" x14ac:dyDescent="0.2">
      <c r="A2615" s="5" t="s">
        <v>3186</v>
      </c>
      <c r="B2615" s="5" t="s">
        <v>3182</v>
      </c>
      <c r="C2615" s="8">
        <v>238</v>
      </c>
      <c r="D2615" s="5" t="s">
        <v>42</v>
      </c>
      <c r="E2615" s="5"/>
      <c r="G2615" s="5"/>
      <c r="H2615" s="5"/>
    </row>
    <row r="2616" spans="1:8" x14ac:dyDescent="0.2">
      <c r="A2616" s="5"/>
      <c r="B2616" s="5" t="s">
        <v>3187</v>
      </c>
      <c r="C2616" s="5"/>
      <c r="D2616" s="5" t="s">
        <v>366</v>
      </c>
      <c r="E2616" s="5"/>
      <c r="G2616" s="5"/>
      <c r="H2616" s="5"/>
    </row>
    <row r="2617" spans="1:8" x14ac:dyDescent="0.2">
      <c r="A2617" s="5" t="s">
        <v>3188</v>
      </c>
      <c r="B2617" s="5" t="s">
        <v>2225</v>
      </c>
      <c r="C2617" s="8">
        <v>119</v>
      </c>
      <c r="D2617" s="5" t="s">
        <v>42</v>
      </c>
      <c r="E2617" s="5"/>
      <c r="G2617" s="5"/>
      <c r="H2617" s="5"/>
    </row>
    <row r="2618" spans="1:8" x14ac:dyDescent="0.2">
      <c r="A2618" s="5" t="s">
        <v>3189</v>
      </c>
      <c r="B2618" s="5" t="s">
        <v>3182</v>
      </c>
      <c r="C2618" s="8">
        <v>18</v>
      </c>
      <c r="D2618" s="5" t="s">
        <v>42</v>
      </c>
      <c r="E2618" s="5"/>
      <c r="G2618" s="5"/>
      <c r="H2618" s="5"/>
    </row>
    <row r="2619" spans="1:8" x14ac:dyDescent="0.2">
      <c r="A2619" s="5" t="s">
        <v>3190</v>
      </c>
      <c r="B2619" s="5" t="s">
        <v>3191</v>
      </c>
      <c r="C2619" s="8">
        <v>22</v>
      </c>
      <c r="D2619" s="5" t="s">
        <v>42</v>
      </c>
      <c r="E2619" s="5"/>
      <c r="G2619" s="5"/>
      <c r="H2619" s="5"/>
    </row>
    <row r="2620" spans="1:8" x14ac:dyDescent="0.2">
      <c r="A2620" s="5"/>
      <c r="B2620" s="5" t="s">
        <v>3192</v>
      </c>
      <c r="C2620" s="5"/>
      <c r="D2620" s="5" t="s">
        <v>366</v>
      </c>
      <c r="E2620" s="5"/>
      <c r="G2620" s="5"/>
      <c r="H2620" s="5"/>
    </row>
    <row r="2621" spans="1:8" x14ac:dyDescent="0.2">
      <c r="A2621" s="5" t="s">
        <v>3193</v>
      </c>
      <c r="B2621" s="5" t="s">
        <v>3182</v>
      </c>
      <c r="C2621" s="8">
        <v>94</v>
      </c>
      <c r="D2621" s="5" t="s">
        <v>42</v>
      </c>
      <c r="E2621" s="5"/>
      <c r="G2621" s="5"/>
      <c r="H2621" s="5"/>
    </row>
    <row r="2622" spans="1:8" x14ac:dyDescent="0.2">
      <c r="A2622" s="5" t="s">
        <v>3194</v>
      </c>
      <c r="B2622" s="5" t="s">
        <v>3191</v>
      </c>
      <c r="C2622" s="8">
        <v>132</v>
      </c>
      <c r="D2622" s="5" t="s">
        <v>42</v>
      </c>
      <c r="E2622" s="5"/>
      <c r="G2622" s="5"/>
      <c r="H2622" s="5"/>
    </row>
    <row r="2623" spans="1:8" x14ac:dyDescent="0.2">
      <c r="A2623" s="5"/>
      <c r="B2623" s="5" t="s">
        <v>3195</v>
      </c>
      <c r="C2623" s="5"/>
      <c r="D2623" s="5" t="s">
        <v>366</v>
      </c>
      <c r="E2623" s="5"/>
      <c r="G2623" s="5"/>
      <c r="H2623" s="5"/>
    </row>
    <row r="2624" spans="1:8" x14ac:dyDescent="0.2">
      <c r="A2624" s="5" t="s">
        <v>3196</v>
      </c>
      <c r="B2624" s="5" t="s">
        <v>3197</v>
      </c>
      <c r="C2624" s="8">
        <v>230</v>
      </c>
      <c r="D2624" s="5" t="s">
        <v>42</v>
      </c>
      <c r="E2624" s="5"/>
      <c r="G2624" s="5"/>
      <c r="H2624" s="5"/>
    </row>
    <row r="2625" spans="1:8" x14ac:dyDescent="0.2">
      <c r="A2625" s="5"/>
      <c r="B2625" s="5" t="s">
        <v>3198</v>
      </c>
      <c r="C2625" s="5"/>
      <c r="D2625" s="5" t="s">
        <v>366</v>
      </c>
      <c r="E2625" s="5"/>
      <c r="G2625" s="5"/>
      <c r="H2625" s="5"/>
    </row>
    <row r="2626" spans="1:8" x14ac:dyDescent="0.2">
      <c r="A2626" s="5" t="s">
        <v>3199</v>
      </c>
      <c r="B2626" s="5" t="s">
        <v>3182</v>
      </c>
      <c r="C2626" s="8">
        <v>15</v>
      </c>
      <c r="D2626" s="5" t="s">
        <v>42</v>
      </c>
      <c r="E2626" s="5"/>
      <c r="G2626" s="5"/>
      <c r="H2626" s="5"/>
    </row>
    <row r="2627" spans="1:8" x14ac:dyDescent="0.2">
      <c r="A2627" s="5" t="s">
        <v>3200</v>
      </c>
      <c r="B2627" s="5" t="s">
        <v>3191</v>
      </c>
      <c r="C2627" s="8">
        <v>19</v>
      </c>
      <c r="D2627" s="5" t="s">
        <v>42</v>
      </c>
      <c r="E2627" s="5"/>
      <c r="G2627" s="5"/>
      <c r="H2627" s="5"/>
    </row>
    <row r="2628" spans="1:8" x14ac:dyDescent="0.2">
      <c r="A2628" s="5"/>
      <c r="B2628" s="5" t="s">
        <v>3201</v>
      </c>
      <c r="C2628" s="5"/>
      <c r="D2628" s="5" t="s">
        <v>322</v>
      </c>
      <c r="E2628" s="5"/>
      <c r="G2628" s="5"/>
      <c r="H2628" s="5"/>
    </row>
    <row r="2629" spans="1:8" x14ac:dyDescent="0.2">
      <c r="A2629" s="5"/>
      <c r="B2629" s="5" t="s">
        <v>3202</v>
      </c>
      <c r="C2629" s="5"/>
      <c r="D2629" s="5" t="s">
        <v>366</v>
      </c>
      <c r="E2629" s="5"/>
      <c r="G2629" s="5"/>
      <c r="H2629" s="5"/>
    </row>
    <row r="2630" spans="1:8" x14ac:dyDescent="0.2">
      <c r="A2630" s="5" t="s">
        <v>3203</v>
      </c>
      <c r="B2630" s="5" t="s">
        <v>3191</v>
      </c>
      <c r="C2630" s="8">
        <v>273</v>
      </c>
      <c r="D2630" s="5" t="s">
        <v>42</v>
      </c>
      <c r="E2630" s="5"/>
      <c r="G2630" s="5"/>
      <c r="H2630" s="5"/>
    </row>
    <row r="2631" spans="1:8" x14ac:dyDescent="0.2">
      <c r="A2631" s="5"/>
      <c r="B2631" s="5" t="s">
        <v>3204</v>
      </c>
      <c r="C2631" s="5"/>
      <c r="D2631" s="5" t="s">
        <v>15</v>
      </c>
      <c r="E2631" s="5"/>
      <c r="G2631" s="5"/>
      <c r="H2631" s="5"/>
    </row>
    <row r="2632" spans="1:8" x14ac:dyDescent="0.2">
      <c r="A2632" s="5"/>
      <c r="B2632" s="5" t="s">
        <v>3179</v>
      </c>
      <c r="C2632" s="5"/>
      <c r="D2632" s="5" t="s">
        <v>322</v>
      </c>
      <c r="E2632" s="5"/>
      <c r="G2632" s="5"/>
      <c r="H2632" s="5"/>
    </row>
    <row r="2633" spans="1:8" x14ac:dyDescent="0.2">
      <c r="A2633" s="5"/>
      <c r="B2633" s="5" t="s">
        <v>3205</v>
      </c>
      <c r="C2633" s="5"/>
      <c r="D2633" s="5" t="s">
        <v>366</v>
      </c>
      <c r="E2633" s="5"/>
      <c r="G2633" s="5"/>
      <c r="H2633" s="5"/>
    </row>
    <row r="2634" spans="1:8" x14ac:dyDescent="0.2">
      <c r="A2634" s="5" t="s">
        <v>3206</v>
      </c>
      <c r="B2634" s="5" t="s">
        <v>3182</v>
      </c>
      <c r="C2634" s="8">
        <v>15</v>
      </c>
      <c r="D2634" s="5" t="s">
        <v>42</v>
      </c>
      <c r="E2634" s="5"/>
      <c r="G2634" s="5"/>
      <c r="H2634" s="5"/>
    </row>
    <row r="2635" spans="1:8" x14ac:dyDescent="0.2">
      <c r="A2635" s="5" t="s">
        <v>3207</v>
      </c>
      <c r="B2635" s="5" t="s">
        <v>3191</v>
      </c>
      <c r="C2635" s="8">
        <v>95</v>
      </c>
      <c r="D2635" s="5" t="s">
        <v>42</v>
      </c>
      <c r="E2635" s="5"/>
      <c r="G2635" s="5"/>
      <c r="H2635" s="5"/>
    </row>
    <row r="2636" spans="1:8" x14ac:dyDescent="0.2">
      <c r="A2636" s="5"/>
      <c r="B2636" s="5" t="s">
        <v>3208</v>
      </c>
      <c r="C2636" s="5"/>
      <c r="D2636" s="5" t="s">
        <v>366</v>
      </c>
      <c r="E2636" s="5"/>
      <c r="G2636" s="5"/>
      <c r="H2636" s="5"/>
    </row>
    <row r="2637" spans="1:8" x14ac:dyDescent="0.2">
      <c r="A2637" s="5" t="s">
        <v>3209</v>
      </c>
      <c r="B2637" s="5" t="s">
        <v>3182</v>
      </c>
      <c r="C2637" s="8">
        <v>10</v>
      </c>
      <c r="D2637" s="5" t="s">
        <v>42</v>
      </c>
      <c r="E2637" s="5"/>
      <c r="G2637" s="5"/>
      <c r="H2637" s="5"/>
    </row>
    <row r="2638" spans="1:8" x14ac:dyDescent="0.2">
      <c r="A2638" s="5" t="s">
        <v>3210</v>
      </c>
      <c r="B2638" s="5" t="s">
        <v>3191</v>
      </c>
      <c r="C2638" s="8">
        <v>19</v>
      </c>
      <c r="D2638" s="5" t="s">
        <v>42</v>
      </c>
      <c r="E2638" s="5"/>
      <c r="G2638" s="5"/>
      <c r="H2638" s="5"/>
    </row>
    <row r="2639" spans="1:8" x14ac:dyDescent="0.2">
      <c r="A2639" s="5"/>
      <c r="B2639" s="5" t="s">
        <v>3211</v>
      </c>
      <c r="C2639" s="5"/>
      <c r="D2639" s="5" t="s">
        <v>366</v>
      </c>
      <c r="E2639" s="5"/>
      <c r="G2639" s="5"/>
      <c r="H2639" s="5"/>
    </row>
    <row r="2640" spans="1:8" x14ac:dyDescent="0.2">
      <c r="A2640" s="5" t="s">
        <v>3212</v>
      </c>
      <c r="B2640" s="5" t="s">
        <v>3182</v>
      </c>
      <c r="C2640" s="8">
        <v>53</v>
      </c>
      <c r="D2640" s="5" t="s">
        <v>42</v>
      </c>
      <c r="E2640" s="5"/>
      <c r="G2640" s="5"/>
      <c r="H2640" s="5"/>
    </row>
    <row r="2641" spans="1:8" x14ac:dyDescent="0.2">
      <c r="A2641" s="5"/>
      <c r="B2641" s="5" t="s">
        <v>3213</v>
      </c>
      <c r="C2641" s="5"/>
      <c r="D2641" s="5" t="s">
        <v>322</v>
      </c>
      <c r="E2641" s="5"/>
      <c r="G2641" s="5"/>
      <c r="H2641" s="5"/>
    </row>
    <row r="2642" spans="1:8" x14ac:dyDescent="0.2">
      <c r="A2642" s="5"/>
      <c r="B2642" s="5" t="s">
        <v>3214</v>
      </c>
      <c r="C2642" s="5"/>
      <c r="D2642" s="5" t="s">
        <v>366</v>
      </c>
      <c r="E2642" s="5"/>
      <c r="G2642" s="5"/>
      <c r="H2642" s="5"/>
    </row>
    <row r="2643" spans="1:8" x14ac:dyDescent="0.2">
      <c r="A2643" s="5" t="s">
        <v>3215</v>
      </c>
      <c r="B2643" s="5" t="s">
        <v>3182</v>
      </c>
      <c r="C2643" s="8">
        <v>149</v>
      </c>
      <c r="D2643" s="5" t="s">
        <v>42</v>
      </c>
      <c r="E2643" s="5"/>
      <c r="G2643" s="5"/>
      <c r="H2643" s="5"/>
    </row>
    <row r="2644" spans="1:8" x14ac:dyDescent="0.2">
      <c r="A2644" s="5" t="s">
        <v>3216</v>
      </c>
      <c r="B2644" s="5" t="s">
        <v>3191</v>
      </c>
      <c r="C2644" s="8">
        <v>60</v>
      </c>
      <c r="D2644" s="5" t="s">
        <v>42</v>
      </c>
      <c r="E2644" s="5"/>
      <c r="G2644" s="5"/>
      <c r="H2644" s="5"/>
    </row>
    <row r="2645" spans="1:8" x14ac:dyDescent="0.2">
      <c r="A2645" s="5"/>
      <c r="B2645" s="5" t="s">
        <v>3217</v>
      </c>
      <c r="C2645" s="5"/>
      <c r="D2645" s="5" t="s">
        <v>366</v>
      </c>
      <c r="E2645" s="5"/>
      <c r="G2645" s="5"/>
      <c r="H2645" s="5"/>
    </row>
    <row r="2646" spans="1:8" x14ac:dyDescent="0.2">
      <c r="A2646" s="5" t="s">
        <v>3218</v>
      </c>
      <c r="B2646" s="5" t="s">
        <v>3182</v>
      </c>
      <c r="C2646" s="8">
        <v>130</v>
      </c>
      <c r="D2646" s="5" t="s">
        <v>42</v>
      </c>
      <c r="E2646" s="5"/>
      <c r="G2646" s="5"/>
      <c r="H2646" s="5"/>
    </row>
    <row r="2647" spans="1:8" x14ac:dyDescent="0.2">
      <c r="A2647" s="5" t="s">
        <v>3219</v>
      </c>
      <c r="B2647" s="5" t="s">
        <v>3191</v>
      </c>
      <c r="C2647" s="8">
        <v>233</v>
      </c>
      <c r="D2647" s="5" t="s">
        <v>42</v>
      </c>
      <c r="E2647" s="5"/>
      <c r="G2647" s="5"/>
      <c r="H2647" s="5"/>
    </row>
    <row r="2648" spans="1:8" x14ac:dyDescent="0.2">
      <c r="A2648" s="5"/>
      <c r="B2648" s="5" t="s">
        <v>3220</v>
      </c>
      <c r="C2648" s="5"/>
      <c r="D2648" s="5" t="s">
        <v>366</v>
      </c>
      <c r="E2648" s="5"/>
      <c r="G2648" s="5"/>
      <c r="H2648" s="5"/>
    </row>
    <row r="2649" spans="1:8" x14ac:dyDescent="0.2">
      <c r="A2649" s="5" t="s">
        <v>3221</v>
      </c>
      <c r="B2649" s="5" t="s">
        <v>3182</v>
      </c>
      <c r="C2649" s="8">
        <v>31</v>
      </c>
      <c r="D2649" s="5" t="s">
        <v>42</v>
      </c>
      <c r="E2649" s="5"/>
      <c r="G2649" s="5"/>
      <c r="H2649" s="5"/>
    </row>
    <row r="2650" spans="1:8" x14ac:dyDescent="0.2">
      <c r="A2650" s="5"/>
      <c r="B2650" s="5" t="s">
        <v>3201</v>
      </c>
      <c r="C2650" s="5"/>
      <c r="D2650" s="5" t="s">
        <v>322</v>
      </c>
      <c r="E2650" s="5"/>
      <c r="G2650" s="5"/>
      <c r="H2650" s="5"/>
    </row>
    <row r="2651" spans="1:8" x14ac:dyDescent="0.2">
      <c r="A2651" s="5"/>
      <c r="B2651" s="5" t="s">
        <v>3222</v>
      </c>
      <c r="C2651" s="5"/>
      <c r="D2651" s="5" t="s">
        <v>366</v>
      </c>
      <c r="E2651" s="5"/>
      <c r="G2651" s="5"/>
      <c r="H2651" s="5"/>
    </row>
    <row r="2652" spans="1:8" x14ac:dyDescent="0.2">
      <c r="A2652" s="5" t="s">
        <v>3223</v>
      </c>
      <c r="B2652" s="5" t="s">
        <v>3182</v>
      </c>
      <c r="C2652" s="8">
        <v>67</v>
      </c>
      <c r="D2652" s="5" t="s">
        <v>42</v>
      </c>
      <c r="E2652" s="5"/>
      <c r="G2652" s="5"/>
      <c r="H2652" s="5"/>
    </row>
    <row r="2653" spans="1:8" x14ac:dyDescent="0.2">
      <c r="A2653" s="5" t="s">
        <v>3224</v>
      </c>
      <c r="B2653" s="5" t="s">
        <v>3191</v>
      </c>
      <c r="C2653" s="8">
        <v>58</v>
      </c>
      <c r="D2653" s="5" t="s">
        <v>42</v>
      </c>
      <c r="E2653" s="5"/>
      <c r="G2653" s="5"/>
      <c r="H2653" s="5"/>
    </row>
    <row r="2654" spans="1:8" x14ac:dyDescent="0.2">
      <c r="A2654" s="5" t="s">
        <v>3225</v>
      </c>
      <c r="B2654" s="5" t="s">
        <v>3197</v>
      </c>
      <c r="C2654" s="8">
        <v>43</v>
      </c>
      <c r="D2654" s="5" t="s">
        <v>42</v>
      </c>
      <c r="E2654" s="5"/>
      <c r="G2654" s="5"/>
      <c r="H2654" s="5"/>
    </row>
    <row r="2655" spans="1:8" x14ac:dyDescent="0.2">
      <c r="A2655" s="5"/>
      <c r="B2655" s="5" t="s">
        <v>3226</v>
      </c>
      <c r="C2655" s="5"/>
      <c r="D2655" s="5" t="s">
        <v>322</v>
      </c>
      <c r="E2655" s="5"/>
      <c r="G2655" s="5"/>
      <c r="H2655" s="5"/>
    </row>
    <row r="2656" spans="1:8" x14ac:dyDescent="0.2">
      <c r="A2656" s="5"/>
      <c r="B2656" s="5" t="s">
        <v>3227</v>
      </c>
      <c r="C2656" s="5"/>
      <c r="D2656" s="5" t="s">
        <v>366</v>
      </c>
      <c r="E2656" s="5"/>
      <c r="G2656" s="5"/>
      <c r="H2656" s="5"/>
    </row>
    <row r="2657" spans="1:8" x14ac:dyDescent="0.2">
      <c r="A2657" s="5" t="s">
        <v>3228</v>
      </c>
      <c r="B2657" s="5" t="s">
        <v>2225</v>
      </c>
      <c r="C2657" s="8">
        <v>73</v>
      </c>
      <c r="D2657" s="5" t="s">
        <v>42</v>
      </c>
      <c r="E2657" s="5"/>
      <c r="G2657" s="5"/>
      <c r="H2657" s="5"/>
    </row>
    <row r="2658" spans="1:8" x14ac:dyDescent="0.2">
      <c r="A2658" s="5" t="s">
        <v>3229</v>
      </c>
      <c r="B2658" s="5" t="s">
        <v>3182</v>
      </c>
      <c r="C2658" s="8">
        <v>51</v>
      </c>
      <c r="D2658" s="5" t="s">
        <v>42</v>
      </c>
      <c r="E2658" s="5"/>
      <c r="G2658" s="5"/>
      <c r="H2658" s="5"/>
    </row>
    <row r="2659" spans="1:8" x14ac:dyDescent="0.2">
      <c r="A2659" s="5" t="s">
        <v>3230</v>
      </c>
      <c r="B2659" s="5" t="s">
        <v>3191</v>
      </c>
      <c r="C2659" s="8">
        <v>96</v>
      </c>
      <c r="D2659" s="5" t="s">
        <v>42</v>
      </c>
      <c r="E2659" s="5"/>
      <c r="G2659" s="5"/>
      <c r="H2659" s="5"/>
    </row>
    <row r="2660" spans="1:8" x14ac:dyDescent="0.2">
      <c r="A2660" s="5" t="s">
        <v>3231</v>
      </c>
      <c r="B2660" s="5" t="s">
        <v>3197</v>
      </c>
      <c r="C2660" s="8">
        <v>48</v>
      </c>
      <c r="D2660" s="5" t="s">
        <v>42</v>
      </c>
      <c r="E2660" s="5"/>
      <c r="G2660" s="5"/>
      <c r="H2660" s="5"/>
    </row>
    <row r="2661" spans="1:8" x14ac:dyDescent="0.2">
      <c r="A2661" s="5"/>
      <c r="B2661" s="5" t="s">
        <v>3232</v>
      </c>
      <c r="C2661" s="5"/>
      <c r="D2661" s="5" t="s">
        <v>366</v>
      </c>
      <c r="E2661" s="5"/>
      <c r="G2661" s="5"/>
      <c r="H2661" s="5"/>
    </row>
    <row r="2662" spans="1:8" x14ac:dyDescent="0.2">
      <c r="A2662" s="5" t="s">
        <v>3233</v>
      </c>
      <c r="B2662" s="5" t="s">
        <v>2225</v>
      </c>
      <c r="C2662" s="8">
        <v>52</v>
      </c>
      <c r="D2662" s="5" t="s">
        <v>42</v>
      </c>
      <c r="E2662" s="5"/>
      <c r="G2662" s="5"/>
      <c r="H2662" s="5"/>
    </row>
    <row r="2663" spans="1:8" x14ac:dyDescent="0.2">
      <c r="A2663" s="5"/>
      <c r="B2663" s="5" t="s">
        <v>53</v>
      </c>
      <c r="C2663" s="5"/>
      <c r="D2663" s="5" t="s">
        <v>13</v>
      </c>
      <c r="E2663" s="5"/>
      <c r="G2663" s="5"/>
      <c r="H2663" s="5"/>
    </row>
    <row r="2664" spans="1:8" x14ac:dyDescent="0.2">
      <c r="A2664" s="5"/>
      <c r="B2664" s="5" t="s">
        <v>3137</v>
      </c>
      <c r="C2664" s="5"/>
      <c r="D2664" s="5" t="s">
        <v>15</v>
      </c>
      <c r="E2664" s="5"/>
      <c r="G2664" s="5"/>
      <c r="H2664" s="5"/>
    </row>
    <row r="2665" spans="1:8" x14ac:dyDescent="0.2">
      <c r="A2665" s="5"/>
      <c r="B2665" s="5" t="s">
        <v>3138</v>
      </c>
      <c r="C2665" s="5"/>
      <c r="D2665" s="5" t="s">
        <v>322</v>
      </c>
      <c r="E2665" s="5"/>
      <c r="G2665" s="5"/>
      <c r="H2665" s="5"/>
    </row>
    <row r="2666" spans="1:8" x14ac:dyDescent="0.2">
      <c r="A2666" s="5" t="s">
        <v>3234</v>
      </c>
      <c r="B2666" s="5" t="s">
        <v>3235</v>
      </c>
      <c r="C2666" s="8">
        <v>584</v>
      </c>
      <c r="D2666" s="5" t="s">
        <v>42</v>
      </c>
      <c r="E2666" s="5"/>
      <c r="G2666" s="5"/>
      <c r="H2666" s="5"/>
    </row>
    <row r="2667" spans="1:8" x14ac:dyDescent="0.2">
      <c r="A2667" s="5" t="s">
        <v>3236</v>
      </c>
      <c r="B2667" s="5" t="s">
        <v>3237</v>
      </c>
      <c r="C2667" s="8">
        <v>501</v>
      </c>
      <c r="D2667" s="5" t="s">
        <v>42</v>
      </c>
      <c r="E2667" s="5"/>
      <c r="G2667" s="5"/>
      <c r="H2667" s="5"/>
    </row>
    <row r="2668" spans="1:8" x14ac:dyDescent="0.2">
      <c r="A2668" s="5" t="s">
        <v>3238</v>
      </c>
      <c r="B2668" s="5" t="s">
        <v>3239</v>
      </c>
      <c r="C2668" s="8">
        <v>212</v>
      </c>
      <c r="D2668" s="5" t="s">
        <v>42</v>
      </c>
      <c r="E2668" s="5"/>
      <c r="G2668" s="5"/>
      <c r="H2668" s="5"/>
    </row>
    <row r="2669" spans="1:8" x14ac:dyDescent="0.2">
      <c r="A2669" s="5" t="s">
        <v>3240</v>
      </c>
      <c r="B2669" s="5" t="s">
        <v>3146</v>
      </c>
      <c r="C2669" s="8">
        <v>156</v>
      </c>
      <c r="D2669" s="5" t="s">
        <v>155</v>
      </c>
      <c r="E2669" s="5"/>
      <c r="G2669" s="5"/>
      <c r="H2669" s="5"/>
    </row>
    <row r="2670" spans="1:8" x14ac:dyDescent="0.2">
      <c r="A2670" s="5" t="s">
        <v>3241</v>
      </c>
      <c r="B2670" s="5" t="s">
        <v>3148</v>
      </c>
      <c r="C2670" s="8">
        <v>31</v>
      </c>
      <c r="D2670" s="5" t="s">
        <v>155</v>
      </c>
      <c r="E2670" s="5"/>
      <c r="G2670" s="5"/>
      <c r="H2670" s="5"/>
    </row>
    <row r="2671" spans="1:8" x14ac:dyDescent="0.2">
      <c r="A2671" s="5"/>
      <c r="B2671" s="5" t="s">
        <v>3149</v>
      </c>
      <c r="C2671" s="5"/>
      <c r="D2671" s="5" t="s">
        <v>322</v>
      </c>
      <c r="E2671" s="5"/>
      <c r="G2671" s="5"/>
      <c r="H2671" s="5"/>
    </row>
    <row r="2672" spans="1:8" x14ac:dyDescent="0.2">
      <c r="A2672" s="5" t="s">
        <v>3242</v>
      </c>
      <c r="B2672" s="5" t="s">
        <v>3235</v>
      </c>
      <c r="C2672" s="8">
        <v>159</v>
      </c>
      <c r="D2672" s="5" t="s">
        <v>42</v>
      </c>
      <c r="E2672" s="5"/>
      <c r="G2672" s="5"/>
      <c r="H2672" s="5"/>
    </row>
    <row r="2673" spans="1:8" x14ac:dyDescent="0.2">
      <c r="A2673" s="5" t="s">
        <v>3243</v>
      </c>
      <c r="B2673" s="5" t="s">
        <v>3244</v>
      </c>
      <c r="C2673" s="8">
        <v>842</v>
      </c>
      <c r="D2673" s="5" t="s">
        <v>42</v>
      </c>
      <c r="E2673" s="5"/>
      <c r="G2673" s="5"/>
      <c r="H2673" s="5"/>
    </row>
    <row r="2674" spans="1:8" x14ac:dyDescent="0.2">
      <c r="A2674" s="5" t="s">
        <v>3245</v>
      </c>
      <c r="B2674" s="5" t="s">
        <v>3239</v>
      </c>
      <c r="C2674" s="8">
        <v>95</v>
      </c>
      <c r="D2674" s="5" t="s">
        <v>42</v>
      </c>
      <c r="E2674" s="5"/>
      <c r="G2674" s="5"/>
      <c r="H2674" s="5"/>
    </row>
    <row r="2675" spans="1:8" x14ac:dyDescent="0.2">
      <c r="A2675" s="5" t="s">
        <v>3246</v>
      </c>
      <c r="B2675" s="5" t="s">
        <v>3146</v>
      </c>
      <c r="C2675" s="8">
        <v>95</v>
      </c>
      <c r="D2675" s="5" t="s">
        <v>155</v>
      </c>
      <c r="E2675" s="5"/>
      <c r="G2675" s="5"/>
      <c r="H2675" s="5"/>
    </row>
    <row r="2676" spans="1:8" x14ac:dyDescent="0.2">
      <c r="A2676" s="5" t="s">
        <v>3247</v>
      </c>
      <c r="B2676" s="5" t="s">
        <v>3148</v>
      </c>
      <c r="C2676" s="8">
        <v>30</v>
      </c>
      <c r="D2676" s="5" t="s">
        <v>155</v>
      </c>
      <c r="E2676" s="5"/>
      <c r="G2676" s="5"/>
      <c r="H2676" s="5"/>
    </row>
    <row r="2677" spans="1:8" x14ac:dyDescent="0.2">
      <c r="A2677" s="5"/>
      <c r="B2677" s="5" t="s">
        <v>3156</v>
      </c>
      <c r="C2677" s="5"/>
      <c r="D2677" s="5" t="s">
        <v>322</v>
      </c>
      <c r="E2677" s="5"/>
      <c r="G2677" s="5"/>
      <c r="H2677" s="5"/>
    </row>
    <row r="2678" spans="1:8" x14ac:dyDescent="0.2">
      <c r="A2678" s="5" t="s">
        <v>3248</v>
      </c>
      <c r="B2678" s="5" t="s">
        <v>3235</v>
      </c>
      <c r="C2678" s="8">
        <v>161</v>
      </c>
      <c r="D2678" s="5" t="s">
        <v>42</v>
      </c>
      <c r="E2678" s="5"/>
      <c r="G2678" s="5"/>
      <c r="H2678" s="5"/>
    </row>
    <row r="2679" spans="1:8" x14ac:dyDescent="0.2">
      <c r="A2679" s="5" t="s">
        <v>3249</v>
      </c>
      <c r="B2679" s="5" t="s">
        <v>3148</v>
      </c>
      <c r="C2679" s="8">
        <v>17</v>
      </c>
      <c r="D2679" s="5" t="s">
        <v>155</v>
      </c>
      <c r="E2679" s="5"/>
      <c r="G2679" s="5"/>
      <c r="H2679" s="5"/>
    </row>
    <row r="2680" spans="1:8" x14ac:dyDescent="0.2">
      <c r="A2680" s="5"/>
      <c r="B2680" s="5" t="s">
        <v>3161</v>
      </c>
      <c r="C2680" s="5"/>
      <c r="D2680" s="5" t="s">
        <v>322</v>
      </c>
      <c r="E2680" s="5"/>
      <c r="G2680" s="5"/>
      <c r="H2680" s="5"/>
    </row>
    <row r="2681" spans="1:8" x14ac:dyDescent="0.2">
      <c r="A2681" s="5" t="s">
        <v>3250</v>
      </c>
      <c r="B2681" s="5" t="s">
        <v>3237</v>
      </c>
      <c r="C2681" s="8">
        <v>1</v>
      </c>
      <c r="D2681" s="5" t="s">
        <v>3163</v>
      </c>
      <c r="E2681" s="5"/>
      <c r="G2681" s="5"/>
      <c r="H2681" s="5"/>
    </row>
    <row r="2682" spans="1:8" x14ac:dyDescent="0.2">
      <c r="A2682" s="5" t="s">
        <v>3251</v>
      </c>
      <c r="B2682" s="5" t="s">
        <v>3244</v>
      </c>
      <c r="C2682" s="8">
        <v>1</v>
      </c>
      <c r="D2682" s="5" t="s">
        <v>3163</v>
      </c>
      <c r="E2682" s="5"/>
      <c r="G2682" s="5"/>
      <c r="H2682" s="5"/>
    </row>
    <row r="2683" spans="1:8" x14ac:dyDescent="0.2">
      <c r="A2683" s="5" t="s">
        <v>3252</v>
      </c>
      <c r="B2683" s="5" t="s">
        <v>3239</v>
      </c>
      <c r="C2683" s="8">
        <v>1</v>
      </c>
      <c r="D2683" s="5" t="s">
        <v>3163</v>
      </c>
      <c r="E2683" s="5"/>
      <c r="G2683" s="5"/>
      <c r="H2683" s="5"/>
    </row>
    <row r="2684" spans="1:8" x14ac:dyDescent="0.2">
      <c r="A2684" s="5"/>
      <c r="B2684" s="5" t="s">
        <v>3168</v>
      </c>
      <c r="C2684" s="5"/>
      <c r="D2684" s="5" t="s">
        <v>15</v>
      </c>
      <c r="E2684" s="5"/>
      <c r="G2684" s="5"/>
      <c r="H2684" s="5"/>
    </row>
    <row r="2685" spans="1:8" x14ac:dyDescent="0.2">
      <c r="A2685" s="5"/>
      <c r="B2685" s="5" t="s">
        <v>3169</v>
      </c>
      <c r="C2685" s="5"/>
      <c r="D2685" s="5" t="s">
        <v>322</v>
      </c>
      <c r="E2685" s="5"/>
      <c r="G2685" s="5"/>
      <c r="H2685" s="5"/>
    </row>
    <row r="2686" spans="1:8" x14ac:dyDescent="0.2">
      <c r="A2686" s="5" t="s">
        <v>3253</v>
      </c>
      <c r="B2686" s="5" t="s">
        <v>2572</v>
      </c>
      <c r="C2686" s="8">
        <v>107</v>
      </c>
      <c r="D2686" s="5" t="s">
        <v>42</v>
      </c>
      <c r="E2686" s="5"/>
      <c r="G2686" s="5"/>
      <c r="H2686" s="5"/>
    </row>
    <row r="2687" spans="1:8" x14ac:dyDescent="0.2">
      <c r="A2687" s="5" t="s">
        <v>3254</v>
      </c>
      <c r="B2687" s="5" t="s">
        <v>2574</v>
      </c>
      <c r="C2687" s="8">
        <v>152</v>
      </c>
      <c r="D2687" s="5" t="s">
        <v>42</v>
      </c>
      <c r="E2687" s="5"/>
      <c r="G2687" s="5"/>
      <c r="H2687" s="5"/>
    </row>
    <row r="2688" spans="1:8" x14ac:dyDescent="0.2">
      <c r="A2688" s="5"/>
      <c r="B2688" s="5" t="s">
        <v>3171</v>
      </c>
      <c r="C2688" s="5"/>
      <c r="D2688" s="5" t="s">
        <v>15</v>
      </c>
      <c r="E2688" s="5"/>
      <c r="G2688" s="5"/>
      <c r="H2688" s="5"/>
    </row>
    <row r="2689" spans="1:8" x14ac:dyDescent="0.2">
      <c r="A2689" s="5"/>
      <c r="B2689" s="5" t="s">
        <v>2660</v>
      </c>
      <c r="C2689" s="5"/>
      <c r="D2689" s="5" t="s">
        <v>322</v>
      </c>
      <c r="E2689" s="5"/>
      <c r="G2689" s="5"/>
      <c r="H2689" s="5"/>
    </row>
    <row r="2690" spans="1:8" x14ac:dyDescent="0.2">
      <c r="A2690" s="5"/>
      <c r="B2690" s="5" t="s">
        <v>3176</v>
      </c>
      <c r="C2690" s="5"/>
      <c r="D2690" s="5" t="s">
        <v>366</v>
      </c>
      <c r="E2690" s="5"/>
      <c r="G2690" s="5"/>
      <c r="H2690" s="5"/>
    </row>
    <row r="2691" spans="1:8" x14ac:dyDescent="0.2">
      <c r="A2691" s="5" t="s">
        <v>3255</v>
      </c>
      <c r="B2691" s="5" t="s">
        <v>2683</v>
      </c>
      <c r="C2691" s="8">
        <v>7</v>
      </c>
      <c r="D2691" s="5" t="s">
        <v>42</v>
      </c>
      <c r="E2691" s="5"/>
      <c r="G2691" s="5"/>
      <c r="H2691" s="5"/>
    </row>
    <row r="2692" spans="1:8" x14ac:dyDescent="0.2">
      <c r="A2692" s="5"/>
      <c r="B2692" s="5" t="s">
        <v>2684</v>
      </c>
      <c r="C2692" s="5"/>
      <c r="D2692" s="5" t="s">
        <v>322</v>
      </c>
      <c r="E2692" s="5"/>
      <c r="G2692" s="5"/>
      <c r="H2692" s="5"/>
    </row>
    <row r="2693" spans="1:8" x14ac:dyDescent="0.2">
      <c r="A2693" s="5"/>
      <c r="B2693" s="5" t="s">
        <v>3256</v>
      </c>
      <c r="C2693" s="5"/>
      <c r="D2693" s="5" t="s">
        <v>366</v>
      </c>
      <c r="E2693" s="5"/>
      <c r="G2693" s="5"/>
      <c r="H2693" s="5"/>
    </row>
    <row r="2694" spans="1:8" x14ac:dyDescent="0.2">
      <c r="A2694" s="5" t="s">
        <v>3257</v>
      </c>
      <c r="B2694" s="5" t="s">
        <v>2683</v>
      </c>
      <c r="C2694" s="8">
        <v>96</v>
      </c>
      <c r="D2694" s="5" t="s">
        <v>42</v>
      </c>
      <c r="E2694" s="5"/>
      <c r="G2694" s="5"/>
      <c r="H2694" s="5"/>
    </row>
    <row r="2695" spans="1:8" x14ac:dyDescent="0.2">
      <c r="A2695" s="5" t="s">
        <v>3258</v>
      </c>
      <c r="B2695" s="5" t="s">
        <v>2689</v>
      </c>
      <c r="C2695" s="8">
        <v>65</v>
      </c>
      <c r="D2695" s="5" t="s">
        <v>42</v>
      </c>
      <c r="E2695" s="5"/>
      <c r="G2695" s="5"/>
      <c r="H2695" s="5"/>
    </row>
    <row r="2696" spans="1:8" x14ac:dyDescent="0.2">
      <c r="A2696" s="5"/>
      <c r="B2696" s="5" t="s">
        <v>2690</v>
      </c>
      <c r="C2696" s="5"/>
      <c r="D2696" s="5" t="s">
        <v>322</v>
      </c>
      <c r="E2696" s="5"/>
      <c r="G2696" s="5"/>
      <c r="H2696" s="5"/>
    </row>
    <row r="2697" spans="1:8" x14ac:dyDescent="0.2">
      <c r="A2697" s="5"/>
      <c r="B2697" s="5" t="s">
        <v>3259</v>
      </c>
      <c r="C2697" s="5"/>
      <c r="D2697" s="5" t="s">
        <v>366</v>
      </c>
      <c r="E2697" s="5"/>
      <c r="G2697" s="5"/>
      <c r="H2697" s="5"/>
    </row>
    <row r="2698" spans="1:8" x14ac:dyDescent="0.2">
      <c r="A2698" s="5" t="s">
        <v>3260</v>
      </c>
      <c r="B2698" s="5" t="s">
        <v>2683</v>
      </c>
      <c r="C2698" s="8">
        <v>113</v>
      </c>
      <c r="D2698" s="5" t="s">
        <v>42</v>
      </c>
      <c r="E2698" s="5"/>
      <c r="G2698" s="5"/>
      <c r="H2698" s="5"/>
    </row>
    <row r="2699" spans="1:8" x14ac:dyDescent="0.2">
      <c r="A2699" s="5"/>
      <c r="B2699" s="5" t="s">
        <v>3178</v>
      </c>
      <c r="C2699" s="5"/>
      <c r="D2699" s="5" t="s">
        <v>15</v>
      </c>
      <c r="E2699" s="5"/>
      <c r="G2699" s="5"/>
      <c r="H2699" s="5"/>
    </row>
    <row r="2700" spans="1:8" x14ac:dyDescent="0.2">
      <c r="A2700" s="5"/>
      <c r="B2700" s="5" t="s">
        <v>3179</v>
      </c>
      <c r="C2700" s="5"/>
      <c r="D2700" s="5" t="s">
        <v>322</v>
      </c>
      <c r="E2700" s="5"/>
      <c r="G2700" s="5"/>
      <c r="H2700" s="5"/>
    </row>
    <row r="2701" spans="1:8" x14ac:dyDescent="0.2">
      <c r="A2701" s="5"/>
      <c r="B2701" s="5" t="s">
        <v>3180</v>
      </c>
      <c r="C2701" s="5"/>
      <c r="D2701" s="5" t="s">
        <v>366</v>
      </c>
      <c r="E2701" s="5"/>
      <c r="G2701" s="5"/>
      <c r="H2701" s="5"/>
    </row>
    <row r="2702" spans="1:8" x14ac:dyDescent="0.2">
      <c r="A2702" s="5" t="s">
        <v>3261</v>
      </c>
      <c r="B2702" s="5" t="s">
        <v>2683</v>
      </c>
      <c r="C2702" s="8">
        <v>12</v>
      </c>
      <c r="D2702" s="5" t="s">
        <v>42</v>
      </c>
      <c r="E2702" s="5"/>
      <c r="G2702" s="5"/>
      <c r="H2702" s="5"/>
    </row>
    <row r="2703" spans="1:8" x14ac:dyDescent="0.2">
      <c r="A2703" s="5"/>
      <c r="B2703" s="5" t="s">
        <v>3183</v>
      </c>
      <c r="C2703" s="5"/>
      <c r="D2703" s="5" t="s">
        <v>366</v>
      </c>
      <c r="E2703" s="5"/>
      <c r="G2703" s="5"/>
      <c r="H2703" s="5"/>
    </row>
    <row r="2704" spans="1:8" x14ac:dyDescent="0.2">
      <c r="A2704" s="5" t="s">
        <v>3262</v>
      </c>
      <c r="B2704" s="5" t="s">
        <v>2683</v>
      </c>
      <c r="C2704" s="8">
        <v>313</v>
      </c>
      <c r="D2704" s="5" t="s">
        <v>42</v>
      </c>
      <c r="E2704" s="5"/>
      <c r="G2704" s="5"/>
      <c r="H2704" s="5"/>
    </row>
    <row r="2705" spans="1:8" x14ac:dyDescent="0.2">
      <c r="A2705" s="5" t="s">
        <v>3263</v>
      </c>
      <c r="B2705" s="5" t="s">
        <v>2693</v>
      </c>
      <c r="C2705" s="8">
        <v>53</v>
      </c>
      <c r="D2705" s="5" t="s">
        <v>42</v>
      </c>
      <c r="E2705" s="5"/>
      <c r="G2705" s="5"/>
      <c r="H2705" s="5"/>
    </row>
    <row r="2706" spans="1:8" x14ac:dyDescent="0.2">
      <c r="A2706" s="5" t="s">
        <v>3264</v>
      </c>
      <c r="B2706" s="5" t="s">
        <v>2689</v>
      </c>
      <c r="C2706" s="8">
        <v>65</v>
      </c>
      <c r="D2706" s="5" t="s">
        <v>42</v>
      </c>
      <c r="E2706" s="5"/>
      <c r="G2706" s="5"/>
      <c r="H2706" s="5"/>
    </row>
    <row r="2707" spans="1:8" x14ac:dyDescent="0.2">
      <c r="A2707" s="5"/>
      <c r="B2707" s="5" t="s">
        <v>3185</v>
      </c>
      <c r="C2707" s="5"/>
      <c r="D2707" s="5" t="s">
        <v>366</v>
      </c>
      <c r="E2707" s="5"/>
      <c r="G2707" s="5"/>
      <c r="H2707" s="5"/>
    </row>
    <row r="2708" spans="1:8" x14ac:dyDescent="0.2">
      <c r="A2708" s="5" t="s">
        <v>3265</v>
      </c>
      <c r="B2708" s="5" t="s">
        <v>2693</v>
      </c>
      <c r="C2708" s="8">
        <v>232</v>
      </c>
      <c r="D2708" s="5" t="s">
        <v>42</v>
      </c>
      <c r="E2708" s="5"/>
      <c r="G2708" s="5"/>
      <c r="H2708" s="5"/>
    </row>
    <row r="2709" spans="1:8" x14ac:dyDescent="0.2">
      <c r="A2709" s="5"/>
      <c r="B2709" s="5" t="s">
        <v>3187</v>
      </c>
      <c r="C2709" s="5"/>
      <c r="D2709" s="5" t="s">
        <v>366</v>
      </c>
      <c r="E2709" s="5"/>
      <c r="G2709" s="5"/>
      <c r="H2709" s="5"/>
    </row>
    <row r="2710" spans="1:8" x14ac:dyDescent="0.2">
      <c r="A2710" s="5" t="s">
        <v>3266</v>
      </c>
      <c r="B2710" s="5" t="s">
        <v>2683</v>
      </c>
      <c r="C2710" s="8">
        <v>45</v>
      </c>
      <c r="D2710" s="5" t="s">
        <v>42</v>
      </c>
      <c r="E2710" s="5"/>
      <c r="G2710" s="5"/>
      <c r="H2710" s="5"/>
    </row>
    <row r="2711" spans="1:8" x14ac:dyDescent="0.2">
      <c r="A2711" s="5"/>
      <c r="B2711" s="5" t="s">
        <v>3267</v>
      </c>
      <c r="C2711" s="5"/>
      <c r="D2711" s="5" t="s">
        <v>366</v>
      </c>
      <c r="E2711" s="5"/>
      <c r="G2711" s="5"/>
      <c r="H2711" s="5"/>
    </row>
    <row r="2712" spans="1:8" x14ac:dyDescent="0.2">
      <c r="A2712" s="5" t="s">
        <v>3268</v>
      </c>
      <c r="B2712" s="5" t="s">
        <v>2693</v>
      </c>
      <c r="C2712" s="8">
        <v>20</v>
      </c>
      <c r="D2712" s="5" t="s">
        <v>42</v>
      </c>
      <c r="E2712" s="5"/>
      <c r="G2712" s="5"/>
      <c r="H2712" s="5"/>
    </row>
    <row r="2713" spans="1:8" x14ac:dyDescent="0.2">
      <c r="A2713" s="5" t="s">
        <v>3269</v>
      </c>
      <c r="B2713" s="5" t="s">
        <v>2689</v>
      </c>
      <c r="C2713" s="8">
        <v>15</v>
      </c>
      <c r="D2713" s="5" t="s">
        <v>42</v>
      </c>
      <c r="E2713" s="5"/>
      <c r="G2713" s="5"/>
      <c r="H2713" s="5"/>
    </row>
    <row r="2714" spans="1:8" x14ac:dyDescent="0.2">
      <c r="A2714" s="5"/>
      <c r="B2714" s="5" t="s">
        <v>3192</v>
      </c>
      <c r="C2714" s="5"/>
      <c r="D2714" s="5" t="s">
        <v>366</v>
      </c>
      <c r="E2714" s="5"/>
      <c r="G2714" s="5"/>
      <c r="H2714" s="5"/>
    </row>
    <row r="2715" spans="1:8" x14ac:dyDescent="0.2">
      <c r="A2715" s="5" t="s">
        <v>3270</v>
      </c>
      <c r="B2715" s="5" t="s">
        <v>2693</v>
      </c>
      <c r="C2715" s="8">
        <v>57</v>
      </c>
      <c r="D2715" s="5" t="s">
        <v>42</v>
      </c>
      <c r="E2715" s="5"/>
      <c r="G2715" s="5"/>
      <c r="H2715" s="5"/>
    </row>
    <row r="2716" spans="1:8" x14ac:dyDescent="0.2">
      <c r="A2716" s="5" t="s">
        <v>3271</v>
      </c>
      <c r="B2716" s="5" t="s">
        <v>2689</v>
      </c>
      <c r="C2716" s="8">
        <v>48</v>
      </c>
      <c r="D2716" s="5" t="s">
        <v>42</v>
      </c>
      <c r="E2716" s="5"/>
      <c r="G2716" s="5"/>
      <c r="H2716" s="5"/>
    </row>
    <row r="2717" spans="1:8" x14ac:dyDescent="0.2">
      <c r="A2717" s="5"/>
      <c r="B2717" s="5" t="s">
        <v>3195</v>
      </c>
      <c r="C2717" s="5"/>
      <c r="D2717" s="5" t="s">
        <v>366</v>
      </c>
      <c r="E2717" s="5"/>
      <c r="G2717" s="5"/>
      <c r="H2717" s="5"/>
    </row>
    <row r="2718" spans="1:8" x14ac:dyDescent="0.2">
      <c r="A2718" s="5" t="s">
        <v>3272</v>
      </c>
      <c r="B2718" s="5" t="s">
        <v>3273</v>
      </c>
      <c r="C2718" s="8">
        <v>142</v>
      </c>
      <c r="D2718" s="5" t="s">
        <v>42</v>
      </c>
      <c r="E2718" s="5"/>
      <c r="G2718" s="5"/>
      <c r="H2718" s="5"/>
    </row>
    <row r="2719" spans="1:8" x14ac:dyDescent="0.2">
      <c r="A2719" s="5"/>
      <c r="B2719" s="5" t="s">
        <v>3201</v>
      </c>
      <c r="C2719" s="5"/>
      <c r="D2719" s="5" t="s">
        <v>322</v>
      </c>
      <c r="E2719" s="5"/>
      <c r="G2719" s="5"/>
      <c r="H2719" s="5"/>
    </row>
    <row r="2720" spans="1:8" x14ac:dyDescent="0.2">
      <c r="A2720" s="5"/>
      <c r="B2720" s="5" t="s">
        <v>3202</v>
      </c>
      <c r="C2720" s="5"/>
      <c r="D2720" s="5" t="s">
        <v>366</v>
      </c>
      <c r="E2720" s="5"/>
      <c r="G2720" s="5"/>
      <c r="H2720" s="5"/>
    </row>
    <row r="2721" spans="1:8" x14ac:dyDescent="0.2">
      <c r="A2721" s="5" t="s">
        <v>3274</v>
      </c>
      <c r="B2721" s="5" t="s">
        <v>2689</v>
      </c>
      <c r="C2721" s="8">
        <v>185</v>
      </c>
      <c r="D2721" s="5" t="s">
        <v>42</v>
      </c>
      <c r="E2721" s="5"/>
      <c r="G2721" s="5"/>
      <c r="H2721" s="5"/>
    </row>
    <row r="2722" spans="1:8" x14ac:dyDescent="0.2">
      <c r="A2722" s="5"/>
      <c r="B2722" s="5" t="s">
        <v>3204</v>
      </c>
      <c r="C2722" s="5"/>
      <c r="D2722" s="5" t="s">
        <v>15</v>
      </c>
      <c r="E2722" s="5"/>
      <c r="G2722" s="5"/>
      <c r="H2722" s="5"/>
    </row>
    <row r="2723" spans="1:8" x14ac:dyDescent="0.2">
      <c r="A2723" s="5"/>
      <c r="B2723" s="5" t="s">
        <v>3213</v>
      </c>
      <c r="C2723" s="5"/>
      <c r="D2723" s="5" t="s">
        <v>322</v>
      </c>
      <c r="E2723" s="5"/>
      <c r="G2723" s="5"/>
      <c r="H2723" s="5"/>
    </row>
    <row r="2724" spans="1:8" x14ac:dyDescent="0.2">
      <c r="A2724" s="5"/>
      <c r="B2724" s="5" t="s">
        <v>3214</v>
      </c>
      <c r="C2724" s="5"/>
      <c r="D2724" s="5" t="s">
        <v>366</v>
      </c>
      <c r="E2724" s="5"/>
      <c r="G2724" s="5"/>
      <c r="H2724" s="5"/>
    </row>
    <row r="2725" spans="1:8" x14ac:dyDescent="0.2">
      <c r="A2725" s="5" t="s">
        <v>3275</v>
      </c>
      <c r="B2725" s="5" t="s">
        <v>2693</v>
      </c>
      <c r="C2725" s="8">
        <v>21</v>
      </c>
      <c r="D2725" s="5" t="s">
        <v>42</v>
      </c>
      <c r="E2725" s="5"/>
      <c r="G2725" s="5"/>
      <c r="H2725" s="5"/>
    </row>
    <row r="2726" spans="1:8" x14ac:dyDescent="0.2">
      <c r="A2726" s="5" t="s">
        <v>3276</v>
      </c>
      <c r="B2726" s="5" t="s">
        <v>2689</v>
      </c>
      <c r="C2726" s="8">
        <v>26</v>
      </c>
      <c r="D2726" s="5" t="s">
        <v>42</v>
      </c>
      <c r="E2726" s="5"/>
      <c r="G2726" s="5"/>
      <c r="H2726" s="5"/>
    </row>
    <row r="2727" spans="1:8" x14ac:dyDescent="0.2">
      <c r="A2727" s="5"/>
      <c r="B2727" s="5" t="s">
        <v>3217</v>
      </c>
      <c r="C2727" s="5"/>
      <c r="D2727" s="5" t="s">
        <v>366</v>
      </c>
      <c r="E2727" s="5"/>
      <c r="G2727" s="5"/>
      <c r="H2727" s="5"/>
    </row>
    <row r="2728" spans="1:8" x14ac:dyDescent="0.2">
      <c r="A2728" s="5" t="s">
        <v>3277</v>
      </c>
      <c r="B2728" s="5" t="s">
        <v>3182</v>
      </c>
      <c r="C2728" s="8">
        <v>328</v>
      </c>
      <c r="D2728" s="5" t="s">
        <v>42</v>
      </c>
      <c r="E2728" s="5"/>
      <c r="G2728" s="5"/>
      <c r="H2728" s="5"/>
    </row>
    <row r="2729" spans="1:8" x14ac:dyDescent="0.2">
      <c r="A2729" s="5" t="s">
        <v>3278</v>
      </c>
      <c r="B2729" s="5" t="s">
        <v>2689</v>
      </c>
      <c r="C2729" s="8">
        <v>291</v>
      </c>
      <c r="D2729" s="5" t="s">
        <v>42</v>
      </c>
      <c r="E2729" s="5"/>
      <c r="G2729" s="5"/>
      <c r="H2729" s="5"/>
    </row>
    <row r="2730" spans="1:8" x14ac:dyDescent="0.2">
      <c r="A2730" s="5"/>
      <c r="B2730" s="5" t="s">
        <v>3279</v>
      </c>
      <c r="C2730" s="5"/>
      <c r="D2730" s="5" t="s">
        <v>366</v>
      </c>
      <c r="E2730" s="5"/>
      <c r="G2730" s="5"/>
      <c r="H2730" s="5"/>
    </row>
    <row r="2731" spans="1:8" x14ac:dyDescent="0.2">
      <c r="A2731" s="5" t="s">
        <v>3280</v>
      </c>
      <c r="B2731" s="5" t="s">
        <v>2683</v>
      </c>
      <c r="C2731" s="8">
        <v>16</v>
      </c>
      <c r="D2731" s="5" t="s">
        <v>42</v>
      </c>
      <c r="E2731" s="5"/>
      <c r="G2731" s="5"/>
      <c r="H2731" s="5"/>
    </row>
    <row r="2732" spans="1:8" x14ac:dyDescent="0.2">
      <c r="A2732" s="5"/>
      <c r="B2732" s="5" t="s">
        <v>3281</v>
      </c>
      <c r="C2732" s="5"/>
      <c r="D2732" s="5" t="s">
        <v>366</v>
      </c>
      <c r="E2732" s="5"/>
      <c r="G2732" s="5"/>
      <c r="H2732" s="5"/>
    </row>
    <row r="2733" spans="1:8" x14ac:dyDescent="0.2">
      <c r="A2733" s="5" t="s">
        <v>3282</v>
      </c>
      <c r="B2733" s="5" t="s">
        <v>2683</v>
      </c>
      <c r="C2733" s="8">
        <v>17</v>
      </c>
      <c r="D2733" s="5" t="s">
        <v>42</v>
      </c>
      <c r="E2733" s="5"/>
      <c r="G2733" s="5"/>
      <c r="H2733" s="5"/>
    </row>
    <row r="2734" spans="1:8" x14ac:dyDescent="0.2">
      <c r="A2734" s="5"/>
      <c r="B2734" s="5" t="s">
        <v>3281</v>
      </c>
      <c r="C2734" s="5"/>
      <c r="D2734" s="5" t="s">
        <v>366</v>
      </c>
      <c r="E2734" s="5"/>
      <c r="G2734" s="5"/>
      <c r="H2734" s="5"/>
    </row>
    <row r="2735" spans="1:8" x14ac:dyDescent="0.2">
      <c r="A2735" s="5" t="s">
        <v>3283</v>
      </c>
      <c r="B2735" s="5" t="s">
        <v>2683</v>
      </c>
      <c r="C2735" s="8">
        <v>5</v>
      </c>
      <c r="D2735" s="5" t="s">
        <v>42</v>
      </c>
      <c r="E2735" s="5"/>
      <c r="G2735" s="5"/>
      <c r="H2735" s="5"/>
    </row>
    <row r="2736" spans="1:8" x14ac:dyDescent="0.2">
      <c r="A2736" s="5"/>
      <c r="B2736" s="5" t="s">
        <v>3284</v>
      </c>
      <c r="C2736" s="5"/>
      <c r="D2736" s="5" t="s">
        <v>366</v>
      </c>
      <c r="E2736" s="5"/>
      <c r="G2736" s="5"/>
      <c r="H2736" s="5"/>
    </row>
    <row r="2737" spans="1:8" x14ac:dyDescent="0.2">
      <c r="A2737" s="5" t="s">
        <v>3285</v>
      </c>
      <c r="B2737" s="5" t="s">
        <v>2683</v>
      </c>
      <c r="C2737" s="8">
        <v>26</v>
      </c>
      <c r="D2737" s="5" t="s">
        <v>42</v>
      </c>
      <c r="E2737" s="5"/>
      <c r="G2737" s="5"/>
      <c r="H2737" s="5"/>
    </row>
    <row r="2738" spans="1:8" x14ac:dyDescent="0.2">
      <c r="A2738" s="5"/>
      <c r="B2738" s="5" t="s">
        <v>3201</v>
      </c>
      <c r="C2738" s="5"/>
      <c r="D2738" s="5" t="s">
        <v>322</v>
      </c>
      <c r="E2738" s="5"/>
      <c r="G2738" s="5"/>
      <c r="H2738" s="5"/>
    </row>
    <row r="2739" spans="1:8" x14ac:dyDescent="0.2">
      <c r="A2739" s="5"/>
      <c r="B2739" s="5" t="s">
        <v>3222</v>
      </c>
      <c r="C2739" s="5"/>
      <c r="D2739" s="5" t="s">
        <v>366</v>
      </c>
      <c r="E2739" s="5"/>
      <c r="G2739" s="5"/>
      <c r="H2739" s="5"/>
    </row>
    <row r="2740" spans="1:8" x14ac:dyDescent="0.2">
      <c r="A2740" s="5" t="s">
        <v>3286</v>
      </c>
      <c r="B2740" s="5" t="s">
        <v>3182</v>
      </c>
      <c r="C2740" s="8">
        <v>54</v>
      </c>
      <c r="D2740" s="5" t="s">
        <v>42</v>
      </c>
      <c r="E2740" s="5"/>
      <c r="G2740" s="5"/>
      <c r="H2740" s="5"/>
    </row>
    <row r="2741" spans="1:8" x14ac:dyDescent="0.2">
      <c r="A2741" s="5" t="s">
        <v>3287</v>
      </c>
      <c r="B2741" s="5" t="s">
        <v>2689</v>
      </c>
      <c r="C2741" s="8">
        <v>57</v>
      </c>
      <c r="D2741" s="5" t="s">
        <v>42</v>
      </c>
      <c r="E2741" s="5"/>
      <c r="G2741" s="5"/>
      <c r="H2741" s="5"/>
    </row>
    <row r="2742" spans="1:8" x14ac:dyDescent="0.2">
      <c r="A2742" s="5" t="s">
        <v>3288</v>
      </c>
      <c r="B2742" s="5" t="s">
        <v>3273</v>
      </c>
      <c r="C2742" s="8">
        <v>23</v>
      </c>
      <c r="D2742" s="5" t="s">
        <v>42</v>
      </c>
      <c r="E2742" s="5"/>
      <c r="G2742" s="5"/>
      <c r="H2742" s="5"/>
    </row>
    <row r="2743" spans="1:8" x14ac:dyDescent="0.2">
      <c r="A2743" s="5"/>
      <c r="B2743" s="5" t="s">
        <v>3226</v>
      </c>
      <c r="C2743" s="5"/>
      <c r="D2743" s="5" t="s">
        <v>322</v>
      </c>
      <c r="E2743" s="5"/>
      <c r="G2743" s="5"/>
      <c r="H2743" s="5"/>
    </row>
    <row r="2744" spans="1:8" x14ac:dyDescent="0.2">
      <c r="A2744" s="5"/>
      <c r="B2744" s="5" t="s">
        <v>3227</v>
      </c>
      <c r="C2744" s="5"/>
      <c r="D2744" s="5" t="s">
        <v>366</v>
      </c>
      <c r="E2744" s="5"/>
      <c r="G2744" s="5"/>
      <c r="H2744" s="5"/>
    </row>
    <row r="2745" spans="1:8" x14ac:dyDescent="0.2">
      <c r="A2745" s="5" t="s">
        <v>3289</v>
      </c>
      <c r="B2745" s="5" t="s">
        <v>2225</v>
      </c>
      <c r="C2745" s="8">
        <v>104</v>
      </c>
      <c r="D2745" s="5" t="s">
        <v>42</v>
      </c>
      <c r="E2745" s="5"/>
      <c r="G2745" s="5"/>
      <c r="H2745" s="5"/>
    </row>
    <row r="2746" spans="1:8" x14ac:dyDescent="0.2">
      <c r="A2746" s="5" t="s">
        <v>3290</v>
      </c>
      <c r="B2746" s="5" t="s">
        <v>3182</v>
      </c>
      <c r="C2746" s="8">
        <v>55</v>
      </c>
      <c r="D2746" s="5" t="s">
        <v>42</v>
      </c>
      <c r="E2746" s="5"/>
      <c r="G2746" s="5"/>
      <c r="H2746" s="5"/>
    </row>
    <row r="2747" spans="1:8" x14ac:dyDescent="0.2">
      <c r="A2747" s="5" t="s">
        <v>3291</v>
      </c>
      <c r="B2747" s="5" t="s">
        <v>3191</v>
      </c>
      <c r="C2747" s="8">
        <v>55</v>
      </c>
      <c r="D2747" s="5" t="s">
        <v>42</v>
      </c>
      <c r="E2747" s="5"/>
      <c r="G2747" s="5"/>
      <c r="H2747" s="5"/>
    </row>
    <row r="2748" spans="1:8" x14ac:dyDescent="0.2">
      <c r="A2748" s="5" t="s">
        <v>3292</v>
      </c>
      <c r="B2748" s="5" t="s">
        <v>3197</v>
      </c>
      <c r="C2748" s="8">
        <v>52</v>
      </c>
      <c r="D2748" s="5" t="s">
        <v>42</v>
      </c>
      <c r="E2748" s="5"/>
      <c r="G2748" s="5"/>
      <c r="H2748" s="5"/>
    </row>
    <row r="2749" spans="1:8" x14ac:dyDescent="0.2">
      <c r="A2749" s="5"/>
      <c r="B2749" s="5" t="s">
        <v>3232</v>
      </c>
      <c r="C2749" s="5"/>
      <c r="D2749" s="5" t="s">
        <v>366</v>
      </c>
      <c r="E2749" s="5"/>
      <c r="G2749" s="5"/>
      <c r="H2749" s="5"/>
    </row>
    <row r="2750" spans="1:8" x14ac:dyDescent="0.2">
      <c r="A2750" s="5" t="s">
        <v>3293</v>
      </c>
      <c r="B2750" s="5" t="s">
        <v>2225</v>
      </c>
      <c r="C2750" s="8">
        <v>14</v>
      </c>
      <c r="D2750" s="5" t="s">
        <v>42</v>
      </c>
      <c r="E2750" s="5"/>
      <c r="G2750" s="5"/>
      <c r="H2750" s="5"/>
    </row>
    <row r="2751" spans="1:8" x14ac:dyDescent="0.2">
      <c r="A2751" s="5" t="s">
        <v>3294</v>
      </c>
      <c r="B2751" s="5" t="s">
        <v>3182</v>
      </c>
      <c r="C2751" s="8">
        <v>15</v>
      </c>
      <c r="D2751" s="5" t="s">
        <v>42</v>
      </c>
      <c r="E2751" s="5"/>
      <c r="G2751" s="5"/>
      <c r="H2751" s="5"/>
    </row>
    <row r="2752" spans="1:8" x14ac:dyDescent="0.2">
      <c r="A2752" s="5" t="s">
        <v>3295</v>
      </c>
      <c r="B2752" s="5" t="s">
        <v>3191</v>
      </c>
      <c r="C2752" s="8">
        <v>54</v>
      </c>
      <c r="D2752" s="5" t="s">
        <v>42</v>
      </c>
      <c r="E2752" s="5"/>
      <c r="G2752" s="5"/>
      <c r="H2752" s="5"/>
    </row>
    <row r="2753" spans="1:9" x14ac:dyDescent="0.2">
      <c r="B2753" s="6" t="s">
        <v>3296</v>
      </c>
      <c r="C2753" s="6"/>
      <c r="D2753" s="6"/>
      <c r="E2753" s="6"/>
      <c r="F2753" s="9">
        <f>SUM(H2565:H2753)</f>
        <v>0</v>
      </c>
      <c r="G2753" s="6"/>
      <c r="I2753" s="9">
        <f>PRODUCT(F2753,G2753)</f>
        <v>0</v>
      </c>
    </row>
    <row r="2755" spans="1:9" x14ac:dyDescent="0.2">
      <c r="A2755" s="5" t="s">
        <v>3297</v>
      </c>
      <c r="B2755" s="5" t="s">
        <v>3298</v>
      </c>
      <c r="C2755" s="5"/>
      <c r="D2755" s="5"/>
      <c r="E2755" s="5"/>
      <c r="F2755" s="8">
        <v>0</v>
      </c>
      <c r="G2755" s="5"/>
      <c r="I2755" s="8">
        <f>PRODUCT(F2755,G2755)</f>
        <v>0</v>
      </c>
    </row>
    <row r="2757" spans="1:9" x14ac:dyDescent="0.2">
      <c r="A2757" s="6" t="s">
        <v>3299</v>
      </c>
      <c r="B2757" s="6" t="s">
        <v>3300</v>
      </c>
    </row>
    <row r="2758" spans="1:9" x14ac:dyDescent="0.2">
      <c r="A2758" s="5"/>
      <c r="B2758" s="5" t="s">
        <v>64</v>
      </c>
      <c r="C2758" s="5"/>
      <c r="D2758" s="5" t="s">
        <v>13</v>
      </c>
      <c r="E2758" s="5"/>
      <c r="G2758" s="5"/>
      <c r="H2758" s="5"/>
    </row>
    <row r="2759" spans="1:9" x14ac:dyDescent="0.2">
      <c r="A2759" s="5" t="s">
        <v>3301</v>
      </c>
      <c r="B2759" s="5" t="s">
        <v>66</v>
      </c>
      <c r="C2759" s="5"/>
      <c r="D2759" s="5" t="s">
        <v>18</v>
      </c>
      <c r="E2759" s="5"/>
      <c r="G2759" s="5"/>
      <c r="H2759" s="5"/>
    </row>
    <row r="2760" spans="1:9" x14ac:dyDescent="0.2">
      <c r="A2760" s="5" t="s">
        <v>3302</v>
      </c>
      <c r="B2760" s="5" t="s">
        <v>68</v>
      </c>
      <c r="C2760" s="5"/>
      <c r="D2760" s="5" t="s">
        <v>18</v>
      </c>
      <c r="E2760" s="5"/>
      <c r="G2760" s="5"/>
      <c r="H2760" s="5"/>
    </row>
    <row r="2761" spans="1:9" x14ac:dyDescent="0.2">
      <c r="A2761" s="5"/>
      <c r="B2761" s="5" t="s">
        <v>71</v>
      </c>
      <c r="C2761" s="5"/>
      <c r="D2761" s="5" t="s">
        <v>13</v>
      </c>
      <c r="E2761" s="5"/>
      <c r="G2761" s="5"/>
      <c r="H2761" s="5"/>
    </row>
    <row r="2762" spans="1:9" x14ac:dyDescent="0.2">
      <c r="A2762" s="5" t="s">
        <v>3303</v>
      </c>
      <c r="B2762" s="5" t="s">
        <v>269</v>
      </c>
      <c r="C2762" s="5"/>
      <c r="D2762" s="5" t="s">
        <v>18</v>
      </c>
      <c r="E2762" s="5"/>
      <c r="G2762" s="5"/>
      <c r="H2762" s="5"/>
    </row>
    <row r="2763" spans="1:9" x14ac:dyDescent="0.2">
      <c r="A2763" s="5" t="s">
        <v>3304</v>
      </c>
      <c r="B2763" s="5" t="s">
        <v>3305</v>
      </c>
      <c r="C2763" s="5"/>
      <c r="D2763" s="5" t="s">
        <v>18</v>
      </c>
      <c r="E2763" s="5"/>
      <c r="G2763" s="5"/>
      <c r="H2763" s="5"/>
    </row>
    <row r="2764" spans="1:9" x14ac:dyDescent="0.2">
      <c r="A2764" s="5" t="s">
        <v>3306</v>
      </c>
      <c r="B2764" s="5" t="s">
        <v>2191</v>
      </c>
      <c r="C2764" s="5"/>
      <c r="D2764" s="5" t="s">
        <v>18</v>
      </c>
      <c r="E2764" s="5"/>
      <c r="G2764" s="5"/>
      <c r="H2764" s="5"/>
    </row>
    <row r="2765" spans="1:9" x14ac:dyDescent="0.2">
      <c r="A2765" s="5"/>
      <c r="B2765" s="5" t="s">
        <v>76</v>
      </c>
      <c r="C2765" s="5"/>
      <c r="D2765" s="5" t="s">
        <v>13</v>
      </c>
      <c r="E2765" s="5"/>
      <c r="G2765" s="5"/>
      <c r="H2765" s="5"/>
    </row>
    <row r="2766" spans="1:9" x14ac:dyDescent="0.2">
      <c r="A2766" s="5"/>
      <c r="B2766" s="5" t="s">
        <v>77</v>
      </c>
      <c r="C2766" s="5"/>
      <c r="D2766" s="5" t="s">
        <v>15</v>
      </c>
      <c r="E2766" s="5"/>
      <c r="G2766" s="5"/>
      <c r="H2766" s="5"/>
    </row>
    <row r="2767" spans="1:9" x14ac:dyDescent="0.2">
      <c r="A2767" s="5" t="s">
        <v>3307</v>
      </c>
      <c r="B2767" s="5" t="s">
        <v>3308</v>
      </c>
      <c r="C2767" s="5"/>
      <c r="D2767" s="5" t="s">
        <v>18</v>
      </c>
      <c r="E2767" s="5"/>
      <c r="G2767" s="5"/>
      <c r="H2767" s="5"/>
    </row>
    <row r="2768" spans="1:9" x14ac:dyDescent="0.2">
      <c r="A2768" s="5" t="s">
        <v>3309</v>
      </c>
      <c r="B2768" s="5" t="s">
        <v>299</v>
      </c>
      <c r="C2768" s="5"/>
      <c r="D2768" s="5" t="s">
        <v>18</v>
      </c>
      <c r="E2768" s="5"/>
      <c r="G2768" s="5"/>
      <c r="H2768" s="5"/>
    </row>
    <row r="2769" spans="1:8" x14ac:dyDescent="0.2">
      <c r="A2769" s="5"/>
      <c r="B2769" s="5" t="s">
        <v>3310</v>
      </c>
      <c r="C2769" s="5"/>
      <c r="D2769" s="5" t="s">
        <v>322</v>
      </c>
      <c r="E2769" s="5"/>
      <c r="G2769" s="5"/>
      <c r="H2769" s="5"/>
    </row>
    <row r="2770" spans="1:8" x14ac:dyDescent="0.2">
      <c r="A2770" s="5" t="s">
        <v>3311</v>
      </c>
      <c r="B2770" s="5" t="s">
        <v>2284</v>
      </c>
      <c r="C2770" s="5"/>
      <c r="D2770" s="5" t="s">
        <v>18</v>
      </c>
      <c r="E2770" s="5"/>
      <c r="G2770" s="5"/>
      <c r="H2770" s="5"/>
    </row>
    <row r="2771" spans="1:8" x14ac:dyDescent="0.2">
      <c r="A2771" s="5" t="s">
        <v>3312</v>
      </c>
      <c r="B2771" s="5" t="s">
        <v>2286</v>
      </c>
      <c r="C2771" s="5"/>
      <c r="D2771" s="5" t="s">
        <v>18</v>
      </c>
      <c r="E2771" s="5"/>
      <c r="G2771" s="5"/>
      <c r="H2771" s="5"/>
    </row>
    <row r="2772" spans="1:8" x14ac:dyDescent="0.2">
      <c r="A2772" s="5" t="s">
        <v>3313</v>
      </c>
      <c r="B2772" s="5" t="s">
        <v>2288</v>
      </c>
      <c r="C2772" s="5"/>
      <c r="D2772" s="5" t="s">
        <v>18</v>
      </c>
      <c r="E2772" s="5"/>
      <c r="G2772" s="5"/>
      <c r="H2772" s="5"/>
    </row>
    <row r="2773" spans="1:8" x14ac:dyDescent="0.2">
      <c r="A2773" s="5" t="s">
        <v>3314</v>
      </c>
      <c r="B2773" s="5" t="s">
        <v>2292</v>
      </c>
      <c r="C2773" s="5"/>
      <c r="D2773" s="5" t="s">
        <v>18</v>
      </c>
      <c r="E2773" s="5"/>
      <c r="G2773" s="5"/>
      <c r="H2773" s="5"/>
    </row>
    <row r="2774" spans="1:8" x14ac:dyDescent="0.2">
      <c r="A2774" s="5" t="s">
        <v>3315</v>
      </c>
      <c r="B2774" s="5" t="s">
        <v>3316</v>
      </c>
      <c r="C2774" s="5"/>
      <c r="D2774" s="5" t="s">
        <v>18</v>
      </c>
      <c r="E2774" s="5"/>
      <c r="G2774" s="5"/>
      <c r="H2774" s="5"/>
    </row>
    <row r="2775" spans="1:8" x14ac:dyDescent="0.2">
      <c r="A2775" s="5"/>
      <c r="B2775" s="5" t="s">
        <v>3317</v>
      </c>
      <c r="C2775" s="5"/>
      <c r="D2775" s="5" t="s">
        <v>322</v>
      </c>
      <c r="E2775" s="5"/>
      <c r="G2775" s="5"/>
      <c r="H2775" s="5"/>
    </row>
    <row r="2776" spans="1:8" x14ac:dyDescent="0.2">
      <c r="A2776" s="5" t="s">
        <v>3318</v>
      </c>
      <c r="B2776" s="5" t="s">
        <v>3319</v>
      </c>
      <c r="C2776" s="5"/>
      <c r="D2776" s="5" t="s">
        <v>18</v>
      </c>
      <c r="E2776" s="5"/>
      <c r="G2776" s="5"/>
      <c r="H2776" s="5"/>
    </row>
    <row r="2777" spans="1:8" x14ac:dyDescent="0.2">
      <c r="A2777" s="5" t="s">
        <v>3320</v>
      </c>
      <c r="B2777" s="5" t="s">
        <v>3321</v>
      </c>
      <c r="C2777" s="5"/>
      <c r="D2777" s="5" t="s">
        <v>18</v>
      </c>
      <c r="E2777" s="5"/>
      <c r="G2777" s="5"/>
      <c r="H2777" s="5"/>
    </row>
    <row r="2778" spans="1:8" x14ac:dyDescent="0.2">
      <c r="A2778" s="5" t="s">
        <v>3322</v>
      </c>
      <c r="B2778" s="5" t="s">
        <v>3323</v>
      </c>
      <c r="C2778" s="5"/>
      <c r="D2778" s="5" t="s">
        <v>18</v>
      </c>
      <c r="E2778" s="5"/>
      <c r="G2778" s="5"/>
      <c r="H2778" s="5"/>
    </row>
    <row r="2779" spans="1:8" x14ac:dyDescent="0.2">
      <c r="A2779" s="5" t="s">
        <v>3324</v>
      </c>
      <c r="B2779" s="5" t="s">
        <v>3325</v>
      </c>
      <c r="C2779" s="5"/>
      <c r="D2779" s="5" t="s">
        <v>18</v>
      </c>
      <c r="E2779" s="5"/>
      <c r="G2779" s="5"/>
      <c r="H2779" s="5"/>
    </row>
    <row r="2780" spans="1:8" x14ac:dyDescent="0.2">
      <c r="A2780" s="5" t="s">
        <v>3326</v>
      </c>
      <c r="B2780" s="5" t="s">
        <v>3327</v>
      </c>
      <c r="C2780" s="5"/>
      <c r="D2780" s="5" t="s">
        <v>18</v>
      </c>
      <c r="E2780" s="5"/>
      <c r="G2780" s="5"/>
      <c r="H2780" s="5"/>
    </row>
    <row r="2781" spans="1:8" x14ac:dyDescent="0.2">
      <c r="A2781" s="5" t="s">
        <v>3328</v>
      </c>
      <c r="B2781" s="5" t="s">
        <v>2972</v>
      </c>
      <c r="C2781" s="5"/>
      <c r="D2781" s="5" t="s">
        <v>18</v>
      </c>
      <c r="E2781" s="5"/>
      <c r="G2781" s="5"/>
      <c r="H2781" s="5"/>
    </row>
    <row r="2782" spans="1:8" x14ac:dyDescent="0.2">
      <c r="A2782" s="5"/>
      <c r="B2782" s="5" t="s">
        <v>94</v>
      </c>
      <c r="C2782" s="5"/>
      <c r="D2782" s="5" t="s">
        <v>13</v>
      </c>
      <c r="E2782" s="5"/>
      <c r="G2782" s="5"/>
      <c r="H2782" s="5"/>
    </row>
    <row r="2783" spans="1:8" x14ac:dyDescent="0.2">
      <c r="A2783" s="5" t="s">
        <v>3329</v>
      </c>
      <c r="B2783" s="5" t="s">
        <v>3330</v>
      </c>
      <c r="C2783" s="8">
        <v>1</v>
      </c>
      <c r="D2783" s="5" t="s">
        <v>97</v>
      </c>
      <c r="E2783" s="5"/>
      <c r="G2783" s="5"/>
      <c r="H2783" s="5"/>
    </row>
    <row r="2784" spans="1:8" x14ac:dyDescent="0.2">
      <c r="A2784" s="5" t="s">
        <v>3331</v>
      </c>
      <c r="B2784" s="5" t="s">
        <v>3332</v>
      </c>
      <c r="C2784" s="8">
        <v>1</v>
      </c>
      <c r="D2784" s="5" t="s">
        <v>97</v>
      </c>
      <c r="E2784" s="5"/>
      <c r="G2784" s="5"/>
      <c r="H2784" s="5"/>
    </row>
    <row r="2785" spans="1:8" x14ac:dyDescent="0.2">
      <c r="A2785" s="5" t="s">
        <v>3333</v>
      </c>
      <c r="B2785" s="5" t="s">
        <v>305</v>
      </c>
      <c r="C2785" s="8">
        <v>1</v>
      </c>
      <c r="D2785" s="5" t="s">
        <v>97</v>
      </c>
      <c r="E2785" s="5"/>
      <c r="G2785" s="5"/>
      <c r="H2785" s="5"/>
    </row>
    <row r="2786" spans="1:8" x14ac:dyDescent="0.2">
      <c r="A2786" s="5" t="s">
        <v>3334</v>
      </c>
      <c r="B2786" s="5" t="s">
        <v>2000</v>
      </c>
      <c r="C2786" s="8">
        <v>1</v>
      </c>
      <c r="D2786" s="5" t="s">
        <v>97</v>
      </c>
      <c r="E2786" s="5"/>
      <c r="G2786" s="5"/>
      <c r="H2786" s="5"/>
    </row>
    <row r="2787" spans="1:8" x14ac:dyDescent="0.2">
      <c r="A2787" s="5" t="s">
        <v>3335</v>
      </c>
      <c r="B2787" s="5" t="s">
        <v>111</v>
      </c>
      <c r="C2787" s="8">
        <v>1</v>
      </c>
      <c r="D2787" s="5" t="s">
        <v>97</v>
      </c>
      <c r="E2787" s="5"/>
      <c r="G2787" s="5"/>
      <c r="H2787" s="5"/>
    </row>
    <row r="2788" spans="1:8" x14ac:dyDescent="0.2">
      <c r="A2788" s="5" t="s">
        <v>3336</v>
      </c>
      <c r="B2788" s="5" t="s">
        <v>3337</v>
      </c>
      <c r="C2788" s="8">
        <v>1</v>
      </c>
      <c r="D2788" s="5" t="s">
        <v>97</v>
      </c>
      <c r="E2788" s="5"/>
      <c r="G2788" s="5"/>
      <c r="H2788" s="5"/>
    </row>
    <row r="2789" spans="1:8" x14ac:dyDescent="0.2">
      <c r="A2789" s="5" t="s">
        <v>3338</v>
      </c>
      <c r="B2789" s="5" t="s">
        <v>2756</v>
      </c>
      <c r="C2789" s="8">
        <v>1</v>
      </c>
      <c r="D2789" s="5" t="s">
        <v>97</v>
      </c>
      <c r="E2789" s="5"/>
      <c r="G2789" s="5"/>
      <c r="H2789" s="5"/>
    </row>
    <row r="2790" spans="1:8" x14ac:dyDescent="0.2">
      <c r="A2790" s="5" t="s">
        <v>3339</v>
      </c>
      <c r="B2790" s="5" t="s">
        <v>2758</v>
      </c>
      <c r="C2790" s="8">
        <v>1</v>
      </c>
      <c r="D2790" s="5" t="s">
        <v>97</v>
      </c>
      <c r="E2790" s="5"/>
      <c r="G2790" s="5"/>
      <c r="H2790" s="5"/>
    </row>
    <row r="2791" spans="1:8" x14ac:dyDescent="0.2">
      <c r="A2791" s="5" t="s">
        <v>3340</v>
      </c>
      <c r="B2791" s="5" t="s">
        <v>2979</v>
      </c>
      <c r="C2791" s="8">
        <v>1</v>
      </c>
      <c r="D2791" s="5" t="s">
        <v>97</v>
      </c>
      <c r="E2791" s="5"/>
      <c r="G2791" s="5"/>
      <c r="H2791" s="5"/>
    </row>
    <row r="2792" spans="1:8" x14ac:dyDescent="0.2">
      <c r="A2792" s="5" t="s">
        <v>3341</v>
      </c>
      <c r="B2792" s="5" t="s">
        <v>3342</v>
      </c>
      <c r="C2792" s="8">
        <v>1</v>
      </c>
      <c r="D2792" s="5" t="s">
        <v>97</v>
      </c>
      <c r="E2792" s="5"/>
      <c r="G2792" s="5"/>
      <c r="H2792" s="5"/>
    </row>
    <row r="2793" spans="1:8" x14ac:dyDescent="0.2">
      <c r="A2793" s="5" t="s">
        <v>3343</v>
      </c>
      <c r="B2793" s="5" t="s">
        <v>2761</v>
      </c>
      <c r="C2793" s="8">
        <v>1</v>
      </c>
      <c r="D2793" s="5" t="s">
        <v>97</v>
      </c>
      <c r="E2793" s="5"/>
      <c r="G2793" s="5"/>
      <c r="H2793" s="5"/>
    </row>
    <row r="2794" spans="1:8" x14ac:dyDescent="0.2">
      <c r="A2794" s="5"/>
      <c r="B2794" s="5" t="s">
        <v>135</v>
      </c>
      <c r="C2794" s="5"/>
      <c r="D2794" s="5" t="s">
        <v>13</v>
      </c>
      <c r="E2794" s="5"/>
      <c r="G2794" s="5"/>
      <c r="H2794" s="5"/>
    </row>
    <row r="2795" spans="1:8" x14ac:dyDescent="0.2">
      <c r="A2795" s="5" t="s">
        <v>3344</v>
      </c>
      <c r="B2795" s="5" t="s">
        <v>3345</v>
      </c>
      <c r="C2795" s="5"/>
      <c r="D2795" s="5" t="s">
        <v>18</v>
      </c>
      <c r="E2795" s="5"/>
      <c r="G2795" s="5"/>
      <c r="H2795" s="5"/>
    </row>
    <row r="2796" spans="1:8" x14ac:dyDescent="0.2">
      <c r="A2796" s="5" t="s">
        <v>3346</v>
      </c>
      <c r="B2796" s="5" t="s">
        <v>2218</v>
      </c>
      <c r="C2796" s="5"/>
      <c r="D2796" s="5" t="s">
        <v>18</v>
      </c>
      <c r="E2796" s="5"/>
      <c r="G2796" s="5"/>
      <c r="H2796" s="5"/>
    </row>
    <row r="2797" spans="1:8" x14ac:dyDescent="0.2">
      <c r="A2797" s="5"/>
      <c r="B2797" s="5" t="s">
        <v>38</v>
      </c>
      <c r="C2797" s="5"/>
      <c r="D2797" s="5" t="s">
        <v>13</v>
      </c>
      <c r="E2797" s="5"/>
      <c r="G2797" s="5"/>
      <c r="H2797" s="5"/>
    </row>
    <row r="2798" spans="1:8" x14ac:dyDescent="0.2">
      <c r="A2798" s="5"/>
      <c r="B2798" s="5" t="s">
        <v>3347</v>
      </c>
      <c r="C2798" s="5"/>
      <c r="D2798" s="5" t="s">
        <v>15</v>
      </c>
      <c r="E2798" s="5"/>
      <c r="G2798" s="5"/>
      <c r="H2798" s="5"/>
    </row>
    <row r="2799" spans="1:8" x14ac:dyDescent="0.2">
      <c r="A2799" s="5"/>
      <c r="B2799" s="5" t="s">
        <v>3348</v>
      </c>
      <c r="C2799" s="5"/>
      <c r="D2799" s="5" t="s">
        <v>322</v>
      </c>
      <c r="E2799" s="5"/>
      <c r="G2799" s="5"/>
      <c r="H2799" s="5"/>
    </row>
    <row r="2800" spans="1:8" x14ac:dyDescent="0.2">
      <c r="A2800" s="5"/>
      <c r="B2800" s="5" t="s">
        <v>3349</v>
      </c>
      <c r="C2800" s="5"/>
      <c r="D2800" s="5" t="s">
        <v>366</v>
      </c>
      <c r="E2800" s="5"/>
      <c r="G2800" s="5"/>
      <c r="H2800" s="5"/>
    </row>
    <row r="2801" spans="1:8" x14ac:dyDescent="0.2">
      <c r="A2801" s="5" t="s">
        <v>3350</v>
      </c>
      <c r="B2801" s="5" t="s">
        <v>2225</v>
      </c>
      <c r="C2801" s="8">
        <v>23</v>
      </c>
      <c r="D2801" s="5" t="s">
        <v>42</v>
      </c>
      <c r="E2801" s="5"/>
      <c r="G2801" s="5"/>
      <c r="H2801" s="5"/>
    </row>
    <row r="2802" spans="1:8" x14ac:dyDescent="0.2">
      <c r="A2802" s="5"/>
      <c r="B2802" s="5" t="s">
        <v>3351</v>
      </c>
      <c r="C2802" s="5"/>
      <c r="D2802" s="5" t="s">
        <v>366</v>
      </c>
      <c r="E2802" s="5"/>
      <c r="G2802" s="5"/>
      <c r="H2802" s="5"/>
    </row>
    <row r="2803" spans="1:8" x14ac:dyDescent="0.2">
      <c r="A2803" s="5" t="s">
        <v>3352</v>
      </c>
      <c r="B2803" s="5" t="s">
        <v>2225</v>
      </c>
      <c r="C2803" s="8">
        <v>83</v>
      </c>
      <c r="D2803" s="5" t="s">
        <v>42</v>
      </c>
      <c r="E2803" s="5"/>
      <c r="G2803" s="5"/>
      <c r="H2803" s="5"/>
    </row>
    <row r="2804" spans="1:8" x14ac:dyDescent="0.2">
      <c r="A2804" s="5"/>
      <c r="B2804" s="5" t="s">
        <v>3353</v>
      </c>
      <c r="C2804" s="5"/>
      <c r="D2804" s="5" t="s">
        <v>366</v>
      </c>
      <c r="E2804" s="5"/>
      <c r="G2804" s="5"/>
      <c r="H2804" s="5"/>
    </row>
    <row r="2805" spans="1:8" x14ac:dyDescent="0.2">
      <c r="A2805" s="5" t="s">
        <v>3354</v>
      </c>
      <c r="B2805" s="5" t="s">
        <v>3182</v>
      </c>
      <c r="C2805" s="8">
        <v>222</v>
      </c>
      <c r="D2805" s="5" t="s">
        <v>42</v>
      </c>
      <c r="E2805" s="5"/>
      <c r="G2805" s="5"/>
      <c r="H2805" s="5"/>
    </row>
    <row r="2806" spans="1:8" x14ac:dyDescent="0.2">
      <c r="A2806" s="5"/>
      <c r="B2806" s="5" t="s">
        <v>3355</v>
      </c>
      <c r="C2806" s="5"/>
      <c r="D2806" s="5" t="s">
        <v>366</v>
      </c>
      <c r="E2806" s="5"/>
      <c r="G2806" s="5"/>
      <c r="H2806" s="5"/>
    </row>
    <row r="2807" spans="1:8" x14ac:dyDescent="0.2">
      <c r="A2807" s="5" t="s">
        <v>3356</v>
      </c>
      <c r="B2807" s="5" t="s">
        <v>3182</v>
      </c>
      <c r="C2807" s="8">
        <v>16</v>
      </c>
      <c r="D2807" s="5" t="s">
        <v>42</v>
      </c>
      <c r="E2807" s="5"/>
      <c r="G2807" s="5"/>
      <c r="H2807" s="5"/>
    </row>
    <row r="2808" spans="1:8" x14ac:dyDescent="0.2">
      <c r="A2808" s="5"/>
      <c r="B2808" s="5" t="s">
        <v>3357</v>
      </c>
      <c r="C2808" s="5"/>
      <c r="D2808" s="5" t="s">
        <v>366</v>
      </c>
      <c r="E2808" s="5"/>
      <c r="G2808" s="5"/>
      <c r="H2808" s="5"/>
    </row>
    <row r="2809" spans="1:8" x14ac:dyDescent="0.2">
      <c r="A2809" s="5" t="s">
        <v>3358</v>
      </c>
      <c r="B2809" s="5" t="s">
        <v>2225</v>
      </c>
      <c r="C2809" s="8">
        <v>119</v>
      </c>
      <c r="D2809" s="5" t="s">
        <v>42</v>
      </c>
      <c r="E2809" s="5"/>
      <c r="G2809" s="5"/>
      <c r="H2809" s="5"/>
    </row>
    <row r="2810" spans="1:8" x14ac:dyDescent="0.2">
      <c r="A2810" s="5" t="s">
        <v>3359</v>
      </c>
      <c r="B2810" s="5" t="s">
        <v>3182</v>
      </c>
      <c r="C2810" s="8">
        <v>18</v>
      </c>
      <c r="D2810" s="5" t="s">
        <v>42</v>
      </c>
      <c r="E2810" s="5"/>
      <c r="G2810" s="5"/>
      <c r="H2810" s="5"/>
    </row>
    <row r="2811" spans="1:8" x14ac:dyDescent="0.2">
      <c r="A2811" s="5" t="s">
        <v>3360</v>
      </c>
      <c r="B2811" s="5" t="s">
        <v>3191</v>
      </c>
      <c r="C2811" s="8">
        <v>22</v>
      </c>
      <c r="D2811" s="5" t="s">
        <v>42</v>
      </c>
      <c r="E2811" s="5"/>
      <c r="G2811" s="5"/>
      <c r="H2811" s="5"/>
    </row>
    <row r="2812" spans="1:8" x14ac:dyDescent="0.2">
      <c r="A2812" s="5"/>
      <c r="B2812" s="5" t="s">
        <v>3361</v>
      </c>
      <c r="C2812" s="5"/>
      <c r="D2812" s="5" t="s">
        <v>366</v>
      </c>
      <c r="E2812" s="5"/>
      <c r="G2812" s="5"/>
      <c r="H2812" s="5"/>
    </row>
    <row r="2813" spans="1:8" x14ac:dyDescent="0.2">
      <c r="A2813" s="5" t="s">
        <v>3362</v>
      </c>
      <c r="B2813" s="5" t="s">
        <v>3182</v>
      </c>
      <c r="C2813" s="8">
        <v>68</v>
      </c>
      <c r="D2813" s="5" t="s">
        <v>42</v>
      </c>
      <c r="E2813" s="5"/>
      <c r="G2813" s="5"/>
      <c r="H2813" s="5"/>
    </row>
    <row r="2814" spans="1:8" x14ac:dyDescent="0.2">
      <c r="A2814" s="5" t="s">
        <v>3363</v>
      </c>
      <c r="B2814" s="5" t="s">
        <v>3191</v>
      </c>
      <c r="C2814" s="8">
        <v>105</v>
      </c>
      <c r="D2814" s="5" t="s">
        <v>42</v>
      </c>
      <c r="E2814" s="5"/>
      <c r="G2814" s="5"/>
      <c r="H2814" s="5"/>
    </row>
    <row r="2815" spans="1:8" x14ac:dyDescent="0.2">
      <c r="A2815" s="5"/>
      <c r="B2815" s="5" t="s">
        <v>3364</v>
      </c>
      <c r="C2815" s="5"/>
      <c r="D2815" s="5" t="s">
        <v>366</v>
      </c>
      <c r="E2815" s="5"/>
      <c r="G2815" s="5"/>
      <c r="H2815" s="5"/>
    </row>
    <row r="2816" spans="1:8" x14ac:dyDescent="0.2">
      <c r="A2816" s="5" t="s">
        <v>3365</v>
      </c>
      <c r="B2816" s="5" t="s">
        <v>3182</v>
      </c>
      <c r="C2816" s="8">
        <v>20</v>
      </c>
      <c r="D2816" s="5" t="s">
        <v>42</v>
      </c>
      <c r="E2816" s="5"/>
      <c r="G2816" s="5"/>
      <c r="H2816" s="5"/>
    </row>
    <row r="2817" spans="1:8" x14ac:dyDescent="0.2">
      <c r="A2817" s="5" t="s">
        <v>3366</v>
      </c>
      <c r="B2817" s="5" t="s">
        <v>3191</v>
      </c>
      <c r="C2817" s="8">
        <v>21</v>
      </c>
      <c r="D2817" s="5" t="s">
        <v>42</v>
      </c>
      <c r="E2817" s="5"/>
      <c r="G2817" s="5"/>
      <c r="H2817" s="5"/>
    </row>
    <row r="2818" spans="1:8" x14ac:dyDescent="0.2">
      <c r="A2818" s="5"/>
      <c r="B2818" s="5" t="s">
        <v>3367</v>
      </c>
      <c r="C2818" s="5"/>
      <c r="D2818" s="5" t="s">
        <v>366</v>
      </c>
      <c r="E2818" s="5"/>
      <c r="G2818" s="5"/>
      <c r="H2818" s="5"/>
    </row>
    <row r="2819" spans="1:8" x14ac:dyDescent="0.2">
      <c r="A2819" s="5" t="s">
        <v>3368</v>
      </c>
      <c r="B2819" s="5" t="s">
        <v>3182</v>
      </c>
      <c r="C2819" s="8">
        <v>6</v>
      </c>
      <c r="D2819" s="5" t="s">
        <v>42</v>
      </c>
      <c r="E2819" s="5"/>
      <c r="G2819" s="5"/>
      <c r="H2819" s="5"/>
    </row>
    <row r="2820" spans="1:8" x14ac:dyDescent="0.2">
      <c r="A2820" s="5" t="s">
        <v>3369</v>
      </c>
      <c r="B2820" s="5" t="s">
        <v>3191</v>
      </c>
      <c r="C2820" s="8">
        <v>6</v>
      </c>
      <c r="D2820" s="5" t="s">
        <v>42</v>
      </c>
      <c r="E2820" s="5"/>
      <c r="G2820" s="5"/>
      <c r="H2820" s="5"/>
    </row>
    <row r="2821" spans="1:8" x14ac:dyDescent="0.2">
      <c r="A2821" s="5"/>
      <c r="B2821" s="5" t="s">
        <v>3370</v>
      </c>
      <c r="C2821" s="5"/>
      <c r="D2821" s="5" t="s">
        <v>366</v>
      </c>
      <c r="E2821" s="5"/>
      <c r="G2821" s="5"/>
      <c r="H2821" s="5"/>
    </row>
    <row r="2822" spans="1:8" x14ac:dyDescent="0.2">
      <c r="A2822" s="5" t="s">
        <v>3371</v>
      </c>
      <c r="B2822" s="5" t="s">
        <v>3182</v>
      </c>
      <c r="C2822" s="8">
        <v>167</v>
      </c>
      <c r="D2822" s="5" t="s">
        <v>42</v>
      </c>
      <c r="E2822" s="5"/>
      <c r="G2822" s="5"/>
      <c r="H2822" s="5"/>
    </row>
    <row r="2823" spans="1:8" x14ac:dyDescent="0.2">
      <c r="A2823" s="5" t="s">
        <v>3372</v>
      </c>
      <c r="B2823" s="5" t="s">
        <v>3191</v>
      </c>
      <c r="C2823" s="8">
        <v>194</v>
      </c>
      <c r="D2823" s="5" t="s">
        <v>42</v>
      </c>
      <c r="E2823" s="5"/>
      <c r="G2823" s="5"/>
      <c r="H2823" s="5"/>
    </row>
    <row r="2824" spans="1:8" x14ac:dyDescent="0.2">
      <c r="A2824" s="5"/>
      <c r="B2824" s="5" t="s">
        <v>3373</v>
      </c>
      <c r="C2824" s="5"/>
      <c r="D2824" s="5" t="s">
        <v>366</v>
      </c>
      <c r="E2824" s="5"/>
      <c r="G2824" s="5"/>
      <c r="H2824" s="5"/>
    </row>
    <row r="2825" spans="1:8" x14ac:dyDescent="0.2">
      <c r="A2825" s="5" t="s">
        <v>3374</v>
      </c>
      <c r="B2825" s="5" t="s">
        <v>3197</v>
      </c>
      <c r="C2825" s="8">
        <v>167</v>
      </c>
      <c r="D2825" s="5" t="s">
        <v>42</v>
      </c>
      <c r="E2825" s="5"/>
      <c r="G2825" s="5"/>
      <c r="H2825" s="5"/>
    </row>
    <row r="2826" spans="1:8" x14ac:dyDescent="0.2">
      <c r="A2826" s="5"/>
      <c r="B2826" s="5" t="s">
        <v>3375</v>
      </c>
      <c r="C2826" s="5"/>
      <c r="D2826" s="5" t="s">
        <v>366</v>
      </c>
      <c r="E2826" s="5"/>
      <c r="G2826" s="5"/>
      <c r="H2826" s="5"/>
    </row>
    <row r="2827" spans="1:8" x14ac:dyDescent="0.2">
      <c r="A2827" s="5" t="s">
        <v>3376</v>
      </c>
      <c r="B2827" s="5" t="s">
        <v>3197</v>
      </c>
      <c r="C2827" s="8">
        <v>35</v>
      </c>
      <c r="D2827" s="5" t="s">
        <v>42</v>
      </c>
      <c r="E2827" s="5"/>
      <c r="G2827" s="5"/>
      <c r="H2827" s="5"/>
    </row>
    <row r="2828" spans="1:8" x14ac:dyDescent="0.2">
      <c r="A2828" s="5" t="s">
        <v>3377</v>
      </c>
      <c r="B2828" s="5" t="s">
        <v>3378</v>
      </c>
      <c r="C2828" s="8">
        <v>5</v>
      </c>
      <c r="D2828" s="5" t="s">
        <v>155</v>
      </c>
      <c r="E2828" s="5"/>
      <c r="G2828" s="5"/>
      <c r="H2828" s="5"/>
    </row>
    <row r="2829" spans="1:8" x14ac:dyDescent="0.2">
      <c r="A2829" s="5"/>
      <c r="B2829" s="5" t="s">
        <v>3379</v>
      </c>
      <c r="C2829" s="5"/>
      <c r="D2829" s="5" t="s">
        <v>366</v>
      </c>
      <c r="E2829" s="5"/>
      <c r="G2829" s="5"/>
      <c r="H2829" s="5"/>
    </row>
    <row r="2830" spans="1:8" x14ac:dyDescent="0.2">
      <c r="A2830" s="5" t="s">
        <v>3380</v>
      </c>
      <c r="B2830" s="5" t="s">
        <v>3197</v>
      </c>
      <c r="C2830" s="8">
        <v>28</v>
      </c>
      <c r="D2830" s="5" t="s">
        <v>42</v>
      </c>
      <c r="E2830" s="5"/>
      <c r="G2830" s="5"/>
      <c r="H2830" s="5"/>
    </row>
    <row r="2831" spans="1:8" x14ac:dyDescent="0.2">
      <c r="A2831" s="5"/>
      <c r="B2831" s="5" t="s">
        <v>3381</v>
      </c>
      <c r="C2831" s="5"/>
      <c r="D2831" s="5" t="s">
        <v>366</v>
      </c>
      <c r="E2831" s="5"/>
      <c r="G2831" s="5"/>
      <c r="H2831" s="5"/>
    </row>
    <row r="2832" spans="1:8" x14ac:dyDescent="0.2">
      <c r="A2832" s="5" t="s">
        <v>3382</v>
      </c>
      <c r="B2832" s="5" t="s">
        <v>3197</v>
      </c>
      <c r="C2832" s="8">
        <v>125</v>
      </c>
      <c r="D2832" s="5" t="s">
        <v>42</v>
      </c>
      <c r="E2832" s="5"/>
      <c r="G2832" s="5"/>
      <c r="H2832" s="5"/>
    </row>
    <row r="2833" spans="1:8" x14ac:dyDescent="0.2">
      <c r="A2833" s="5" t="s">
        <v>3383</v>
      </c>
      <c r="B2833" s="5" t="s">
        <v>3378</v>
      </c>
      <c r="C2833" s="8">
        <v>13</v>
      </c>
      <c r="D2833" s="5" t="s">
        <v>155</v>
      </c>
      <c r="E2833" s="5"/>
      <c r="G2833" s="5"/>
      <c r="H2833" s="5"/>
    </row>
    <row r="2834" spans="1:8" x14ac:dyDescent="0.2">
      <c r="A2834" s="5" t="s">
        <v>3384</v>
      </c>
      <c r="B2834" s="5" t="s">
        <v>3385</v>
      </c>
      <c r="C2834" s="8">
        <v>9</v>
      </c>
      <c r="D2834" s="5" t="s">
        <v>155</v>
      </c>
      <c r="E2834" s="5"/>
      <c r="G2834" s="5"/>
      <c r="H2834" s="5"/>
    </row>
    <row r="2835" spans="1:8" x14ac:dyDescent="0.2">
      <c r="A2835" s="5"/>
      <c r="B2835" s="5" t="s">
        <v>3386</v>
      </c>
      <c r="C2835" s="5"/>
      <c r="D2835" s="5" t="s">
        <v>366</v>
      </c>
      <c r="E2835" s="5"/>
      <c r="G2835" s="5"/>
      <c r="H2835" s="5"/>
    </row>
    <row r="2836" spans="1:8" x14ac:dyDescent="0.2">
      <c r="A2836" s="5" t="s">
        <v>3387</v>
      </c>
      <c r="B2836" s="5" t="s">
        <v>3197</v>
      </c>
      <c r="C2836" s="8">
        <v>17</v>
      </c>
      <c r="D2836" s="5" t="s">
        <v>42</v>
      </c>
      <c r="E2836" s="5"/>
      <c r="G2836" s="5"/>
      <c r="H2836" s="5"/>
    </row>
    <row r="2837" spans="1:8" x14ac:dyDescent="0.2">
      <c r="A2837" s="5"/>
      <c r="B2837" s="5" t="s">
        <v>3388</v>
      </c>
      <c r="C2837" s="5"/>
      <c r="D2837" s="5" t="s">
        <v>366</v>
      </c>
      <c r="E2837" s="5"/>
      <c r="G2837" s="5"/>
      <c r="H2837" s="5"/>
    </row>
    <row r="2838" spans="1:8" x14ac:dyDescent="0.2">
      <c r="A2838" s="5" t="s">
        <v>3389</v>
      </c>
      <c r="B2838" s="5" t="s">
        <v>3197</v>
      </c>
      <c r="C2838" s="8">
        <v>10</v>
      </c>
      <c r="D2838" s="5" t="s">
        <v>42</v>
      </c>
      <c r="E2838" s="5"/>
      <c r="G2838" s="5"/>
      <c r="H2838" s="5"/>
    </row>
    <row r="2839" spans="1:8" x14ac:dyDescent="0.2">
      <c r="A2839" s="5" t="s">
        <v>3390</v>
      </c>
      <c r="B2839" s="5" t="s">
        <v>3378</v>
      </c>
      <c r="C2839" s="8">
        <v>5</v>
      </c>
      <c r="D2839" s="5" t="s">
        <v>155</v>
      </c>
      <c r="E2839" s="5"/>
      <c r="G2839" s="5"/>
      <c r="H2839" s="5"/>
    </row>
    <row r="2840" spans="1:8" x14ac:dyDescent="0.2">
      <c r="A2840" s="5"/>
      <c r="B2840" s="5" t="s">
        <v>3391</v>
      </c>
      <c r="C2840" s="5"/>
      <c r="D2840" s="5" t="s">
        <v>366</v>
      </c>
      <c r="E2840" s="5"/>
      <c r="G2840" s="5"/>
      <c r="H2840" s="5"/>
    </row>
    <row r="2841" spans="1:8" x14ac:dyDescent="0.2">
      <c r="A2841" s="5" t="s">
        <v>3392</v>
      </c>
      <c r="B2841" s="5" t="s">
        <v>3182</v>
      </c>
      <c r="C2841" s="8">
        <v>15</v>
      </c>
      <c r="D2841" s="5" t="s">
        <v>42</v>
      </c>
      <c r="E2841" s="5"/>
      <c r="G2841" s="5"/>
      <c r="H2841" s="5"/>
    </row>
    <row r="2842" spans="1:8" x14ac:dyDescent="0.2">
      <c r="A2842" s="5" t="s">
        <v>3393</v>
      </c>
      <c r="B2842" s="5" t="s">
        <v>3191</v>
      </c>
      <c r="C2842" s="8">
        <v>19</v>
      </c>
      <c r="D2842" s="5" t="s">
        <v>42</v>
      </c>
      <c r="E2842" s="5"/>
      <c r="G2842" s="5"/>
      <c r="H2842" s="5"/>
    </row>
    <row r="2843" spans="1:8" x14ac:dyDescent="0.2">
      <c r="A2843" s="5"/>
      <c r="B2843" s="5" t="s">
        <v>3394</v>
      </c>
      <c r="C2843" s="5"/>
      <c r="D2843" s="5" t="s">
        <v>366</v>
      </c>
      <c r="E2843" s="5"/>
      <c r="G2843" s="5"/>
      <c r="H2843" s="5"/>
    </row>
    <row r="2844" spans="1:8" x14ac:dyDescent="0.2">
      <c r="A2844" s="5" t="s">
        <v>3395</v>
      </c>
      <c r="B2844" s="5" t="s">
        <v>3191</v>
      </c>
      <c r="C2844" s="8">
        <v>14</v>
      </c>
      <c r="D2844" s="5" t="s">
        <v>42</v>
      </c>
      <c r="E2844" s="5"/>
      <c r="G2844" s="5"/>
      <c r="H2844" s="5"/>
    </row>
    <row r="2845" spans="1:8" x14ac:dyDescent="0.2">
      <c r="A2845" s="5" t="s">
        <v>3396</v>
      </c>
      <c r="B2845" s="5" t="s">
        <v>3197</v>
      </c>
      <c r="C2845" s="8">
        <v>32</v>
      </c>
      <c r="D2845" s="5" t="s">
        <v>42</v>
      </c>
      <c r="E2845" s="5"/>
      <c r="G2845" s="5"/>
      <c r="H2845" s="5"/>
    </row>
    <row r="2846" spans="1:8" x14ac:dyDescent="0.2">
      <c r="A2846" s="5"/>
      <c r="B2846" s="5" t="s">
        <v>3397</v>
      </c>
      <c r="C2846" s="5"/>
      <c r="D2846" s="5" t="s">
        <v>366</v>
      </c>
      <c r="E2846" s="5"/>
      <c r="G2846" s="5"/>
      <c r="H2846" s="5"/>
    </row>
    <row r="2847" spans="1:8" x14ac:dyDescent="0.2">
      <c r="A2847" s="5" t="s">
        <v>3398</v>
      </c>
      <c r="B2847" s="5" t="s">
        <v>3182</v>
      </c>
      <c r="C2847" s="8">
        <v>20</v>
      </c>
      <c r="D2847" s="5" t="s">
        <v>42</v>
      </c>
      <c r="E2847" s="5"/>
      <c r="G2847" s="5"/>
      <c r="H2847" s="5"/>
    </row>
    <row r="2848" spans="1:8" x14ac:dyDescent="0.2">
      <c r="A2848" s="5" t="s">
        <v>3399</v>
      </c>
      <c r="B2848" s="5" t="s">
        <v>3191</v>
      </c>
      <c r="C2848" s="8">
        <v>15</v>
      </c>
      <c r="D2848" s="5" t="s">
        <v>42</v>
      </c>
      <c r="E2848" s="5"/>
      <c r="G2848" s="5"/>
      <c r="H2848" s="5"/>
    </row>
    <row r="2849" spans="1:8" x14ac:dyDescent="0.2">
      <c r="A2849" s="5" t="s">
        <v>3400</v>
      </c>
      <c r="B2849" s="5" t="s">
        <v>3197</v>
      </c>
      <c r="C2849" s="8">
        <v>9</v>
      </c>
      <c r="D2849" s="5" t="s">
        <v>42</v>
      </c>
      <c r="E2849" s="5"/>
      <c r="G2849" s="5"/>
      <c r="H2849" s="5"/>
    </row>
    <row r="2850" spans="1:8" x14ac:dyDescent="0.2">
      <c r="A2850" s="5"/>
      <c r="B2850" s="5" t="s">
        <v>3401</v>
      </c>
      <c r="C2850" s="5"/>
      <c r="D2850" s="5" t="s">
        <v>366</v>
      </c>
      <c r="E2850" s="5"/>
      <c r="G2850" s="5"/>
      <c r="H2850" s="5"/>
    </row>
    <row r="2851" spans="1:8" x14ac:dyDescent="0.2">
      <c r="A2851" s="5" t="s">
        <v>3402</v>
      </c>
      <c r="B2851" s="5" t="s">
        <v>2225</v>
      </c>
      <c r="C2851" s="8">
        <v>77</v>
      </c>
      <c r="D2851" s="5" t="s">
        <v>42</v>
      </c>
      <c r="E2851" s="5"/>
      <c r="G2851" s="5"/>
      <c r="H2851" s="5"/>
    </row>
    <row r="2852" spans="1:8" x14ac:dyDescent="0.2">
      <c r="A2852" s="5"/>
      <c r="B2852" s="5" t="s">
        <v>3403</v>
      </c>
      <c r="C2852" s="5"/>
      <c r="D2852" s="5" t="s">
        <v>322</v>
      </c>
      <c r="E2852" s="5"/>
      <c r="G2852" s="5"/>
      <c r="H2852" s="5"/>
    </row>
    <row r="2853" spans="1:8" x14ac:dyDescent="0.2">
      <c r="A2853" s="5"/>
      <c r="B2853" s="5" t="s">
        <v>3404</v>
      </c>
      <c r="C2853" s="5"/>
      <c r="D2853" s="5" t="s">
        <v>366</v>
      </c>
      <c r="E2853" s="5"/>
      <c r="G2853" s="5"/>
      <c r="H2853" s="5"/>
    </row>
    <row r="2854" spans="1:8" x14ac:dyDescent="0.2">
      <c r="A2854" s="5" t="s">
        <v>3405</v>
      </c>
      <c r="B2854" s="5" t="s">
        <v>2225</v>
      </c>
      <c r="C2854" s="8">
        <v>35</v>
      </c>
      <c r="D2854" s="5" t="s">
        <v>42</v>
      </c>
      <c r="E2854" s="5"/>
      <c r="G2854" s="5"/>
      <c r="H2854" s="5"/>
    </row>
    <row r="2855" spans="1:8" x14ac:dyDescent="0.2">
      <c r="A2855" s="5"/>
      <c r="B2855" s="5" t="s">
        <v>3406</v>
      </c>
      <c r="C2855" s="5"/>
      <c r="D2855" s="5" t="s">
        <v>366</v>
      </c>
      <c r="E2855" s="5"/>
      <c r="G2855" s="5"/>
      <c r="H2855" s="5"/>
    </row>
    <row r="2856" spans="1:8" x14ac:dyDescent="0.2">
      <c r="A2856" s="5" t="s">
        <v>3407</v>
      </c>
      <c r="B2856" s="5" t="s">
        <v>2225</v>
      </c>
      <c r="C2856" s="8">
        <v>47</v>
      </c>
      <c r="D2856" s="5" t="s">
        <v>42</v>
      </c>
      <c r="E2856" s="5"/>
      <c r="G2856" s="5"/>
      <c r="H2856" s="5"/>
    </row>
    <row r="2857" spans="1:8" x14ac:dyDescent="0.2">
      <c r="A2857" s="5"/>
      <c r="B2857" s="5" t="s">
        <v>3408</v>
      </c>
      <c r="C2857" s="5"/>
      <c r="D2857" s="5" t="s">
        <v>366</v>
      </c>
      <c r="E2857" s="5"/>
      <c r="G2857" s="5"/>
      <c r="H2857" s="5"/>
    </row>
    <row r="2858" spans="1:8" x14ac:dyDescent="0.2">
      <c r="A2858" s="5" t="s">
        <v>3409</v>
      </c>
      <c r="B2858" s="5" t="s">
        <v>2225</v>
      </c>
      <c r="C2858" s="8">
        <v>22</v>
      </c>
      <c r="D2858" s="5" t="s">
        <v>42</v>
      </c>
      <c r="E2858" s="5"/>
      <c r="G2858" s="5"/>
      <c r="H2858" s="5"/>
    </row>
    <row r="2859" spans="1:8" x14ac:dyDescent="0.2">
      <c r="A2859" s="5"/>
      <c r="B2859" s="5" t="s">
        <v>3410</v>
      </c>
      <c r="C2859" s="5"/>
      <c r="D2859" s="5" t="s">
        <v>366</v>
      </c>
      <c r="E2859" s="5"/>
      <c r="G2859" s="5"/>
      <c r="H2859" s="5"/>
    </row>
    <row r="2860" spans="1:8" x14ac:dyDescent="0.2">
      <c r="A2860" s="5" t="s">
        <v>3411</v>
      </c>
      <c r="B2860" s="5" t="s">
        <v>2225</v>
      </c>
      <c r="C2860" s="8">
        <v>39</v>
      </c>
      <c r="D2860" s="5" t="s">
        <v>42</v>
      </c>
      <c r="E2860" s="5"/>
      <c r="G2860" s="5"/>
      <c r="H2860" s="5"/>
    </row>
    <row r="2861" spans="1:8" x14ac:dyDescent="0.2">
      <c r="A2861" s="5"/>
      <c r="B2861" s="5" t="s">
        <v>3412</v>
      </c>
      <c r="C2861" s="5"/>
      <c r="D2861" s="5" t="s">
        <v>322</v>
      </c>
      <c r="E2861" s="5"/>
      <c r="G2861" s="5"/>
      <c r="H2861" s="5"/>
    </row>
    <row r="2862" spans="1:8" x14ac:dyDescent="0.2">
      <c r="A2862" s="5"/>
      <c r="B2862" s="5" t="s">
        <v>3413</v>
      </c>
      <c r="C2862" s="5"/>
      <c r="D2862" s="5" t="s">
        <v>366</v>
      </c>
      <c r="E2862" s="5"/>
      <c r="G2862" s="5"/>
      <c r="H2862" s="5"/>
    </row>
    <row r="2863" spans="1:8" x14ac:dyDescent="0.2">
      <c r="A2863" s="5" t="s">
        <v>3414</v>
      </c>
      <c r="B2863" s="5" t="s">
        <v>3191</v>
      </c>
      <c r="C2863" s="8">
        <v>257</v>
      </c>
      <c r="D2863" s="5" t="s">
        <v>42</v>
      </c>
      <c r="E2863" s="5"/>
      <c r="G2863" s="5"/>
      <c r="H2863" s="5"/>
    </row>
    <row r="2864" spans="1:8" x14ac:dyDescent="0.2">
      <c r="A2864" s="5"/>
      <c r="B2864" s="5" t="s">
        <v>3415</v>
      </c>
      <c r="C2864" s="5"/>
      <c r="D2864" s="5" t="s">
        <v>366</v>
      </c>
      <c r="E2864" s="5"/>
      <c r="G2864" s="5"/>
      <c r="H2864" s="5"/>
    </row>
    <row r="2865" spans="1:8" x14ac:dyDescent="0.2">
      <c r="A2865" s="5" t="s">
        <v>3416</v>
      </c>
      <c r="B2865" s="5" t="s">
        <v>3191</v>
      </c>
      <c r="C2865" s="8">
        <v>16</v>
      </c>
      <c r="D2865" s="5" t="s">
        <v>42</v>
      </c>
      <c r="E2865" s="5"/>
      <c r="G2865" s="5"/>
      <c r="H2865" s="5"/>
    </row>
    <row r="2866" spans="1:8" x14ac:dyDescent="0.2">
      <c r="A2866" s="5"/>
      <c r="B2866" s="5" t="s">
        <v>3417</v>
      </c>
      <c r="C2866" s="5"/>
      <c r="D2866" s="5" t="s">
        <v>15</v>
      </c>
      <c r="E2866" s="5"/>
      <c r="G2866" s="5"/>
      <c r="H2866" s="5"/>
    </row>
    <row r="2867" spans="1:8" x14ac:dyDescent="0.2">
      <c r="A2867" s="5"/>
      <c r="B2867" s="5" t="s">
        <v>3348</v>
      </c>
      <c r="C2867" s="5"/>
      <c r="D2867" s="5" t="s">
        <v>322</v>
      </c>
      <c r="E2867" s="5"/>
      <c r="G2867" s="5"/>
      <c r="H2867" s="5"/>
    </row>
    <row r="2868" spans="1:8" x14ac:dyDescent="0.2">
      <c r="A2868" s="5"/>
      <c r="B2868" s="5" t="s">
        <v>3418</v>
      </c>
      <c r="C2868" s="5"/>
      <c r="D2868" s="5" t="s">
        <v>366</v>
      </c>
      <c r="E2868" s="5"/>
      <c r="G2868" s="5"/>
      <c r="H2868" s="5"/>
    </row>
    <row r="2869" spans="1:8" x14ac:dyDescent="0.2">
      <c r="A2869" s="5" t="s">
        <v>3419</v>
      </c>
      <c r="B2869" s="5" t="s">
        <v>2225</v>
      </c>
      <c r="C2869" s="8">
        <v>3</v>
      </c>
      <c r="D2869" s="5" t="s">
        <v>42</v>
      </c>
      <c r="E2869" s="5"/>
      <c r="G2869" s="5"/>
      <c r="H2869" s="5"/>
    </row>
    <row r="2870" spans="1:8" x14ac:dyDescent="0.2">
      <c r="A2870" s="5" t="s">
        <v>3420</v>
      </c>
      <c r="B2870" s="5" t="s">
        <v>3182</v>
      </c>
      <c r="C2870" s="8">
        <v>124</v>
      </c>
      <c r="D2870" s="5" t="s">
        <v>42</v>
      </c>
      <c r="E2870" s="5"/>
      <c r="G2870" s="5"/>
      <c r="H2870" s="5"/>
    </row>
    <row r="2871" spans="1:8" x14ac:dyDescent="0.2">
      <c r="A2871" s="5" t="s">
        <v>3421</v>
      </c>
      <c r="B2871" s="5" t="s">
        <v>3191</v>
      </c>
      <c r="C2871" s="8">
        <v>101</v>
      </c>
      <c r="D2871" s="5" t="s">
        <v>42</v>
      </c>
      <c r="E2871" s="5"/>
      <c r="G2871" s="5"/>
      <c r="H2871" s="5"/>
    </row>
    <row r="2872" spans="1:8" x14ac:dyDescent="0.2">
      <c r="A2872" s="5" t="s">
        <v>3422</v>
      </c>
      <c r="B2872" s="5" t="s">
        <v>3197</v>
      </c>
      <c r="C2872" s="8">
        <v>25</v>
      </c>
      <c r="D2872" s="5" t="s">
        <v>42</v>
      </c>
      <c r="E2872" s="5"/>
      <c r="G2872" s="5"/>
      <c r="H2872" s="5"/>
    </row>
    <row r="2873" spans="1:8" x14ac:dyDescent="0.2">
      <c r="A2873" s="5" t="s">
        <v>3423</v>
      </c>
      <c r="B2873" s="5" t="s">
        <v>3424</v>
      </c>
      <c r="C2873" s="8">
        <v>14</v>
      </c>
      <c r="D2873" s="5" t="s">
        <v>155</v>
      </c>
      <c r="E2873" s="5"/>
      <c r="G2873" s="5"/>
      <c r="H2873" s="5"/>
    </row>
    <row r="2874" spans="1:8" x14ac:dyDescent="0.2">
      <c r="A2874" s="5" t="s">
        <v>3425</v>
      </c>
      <c r="B2874" s="5" t="s">
        <v>3426</v>
      </c>
      <c r="C2874" s="8">
        <v>3</v>
      </c>
      <c r="D2874" s="5" t="s">
        <v>155</v>
      </c>
      <c r="E2874" s="5"/>
      <c r="G2874" s="5"/>
      <c r="H2874" s="5"/>
    </row>
    <row r="2875" spans="1:8" x14ac:dyDescent="0.2">
      <c r="A2875" s="5"/>
      <c r="B2875" s="5" t="s">
        <v>3427</v>
      </c>
      <c r="C2875" s="5"/>
      <c r="D2875" s="5" t="s">
        <v>366</v>
      </c>
      <c r="E2875" s="5"/>
      <c r="G2875" s="5"/>
      <c r="H2875" s="5"/>
    </row>
    <row r="2876" spans="1:8" x14ac:dyDescent="0.2">
      <c r="A2876" s="5" t="s">
        <v>3428</v>
      </c>
      <c r="B2876" s="5" t="s">
        <v>2225</v>
      </c>
      <c r="C2876" s="8">
        <v>13</v>
      </c>
      <c r="D2876" s="5" t="s">
        <v>42</v>
      </c>
      <c r="E2876" s="5"/>
      <c r="G2876" s="5"/>
      <c r="H2876" s="5"/>
    </row>
    <row r="2877" spans="1:8" x14ac:dyDescent="0.2">
      <c r="A2877" s="5"/>
      <c r="B2877" s="5" t="s">
        <v>3429</v>
      </c>
      <c r="C2877" s="5"/>
      <c r="D2877" s="5" t="s">
        <v>366</v>
      </c>
      <c r="E2877" s="5"/>
      <c r="G2877" s="5"/>
      <c r="H2877" s="5"/>
    </row>
    <row r="2878" spans="1:8" x14ac:dyDescent="0.2">
      <c r="A2878" s="5" t="s">
        <v>3430</v>
      </c>
      <c r="B2878" s="5" t="s">
        <v>3182</v>
      </c>
      <c r="C2878" s="8">
        <v>120</v>
      </c>
      <c r="D2878" s="5" t="s">
        <v>42</v>
      </c>
      <c r="E2878" s="5"/>
      <c r="G2878" s="5"/>
      <c r="H2878" s="5"/>
    </row>
    <row r="2879" spans="1:8" x14ac:dyDescent="0.2">
      <c r="A2879" s="5" t="s">
        <v>3431</v>
      </c>
      <c r="B2879" s="5" t="s">
        <v>3191</v>
      </c>
      <c r="C2879" s="8">
        <v>84</v>
      </c>
      <c r="D2879" s="5" t="s">
        <v>42</v>
      </c>
      <c r="E2879" s="5"/>
      <c r="G2879" s="5"/>
      <c r="H2879" s="5"/>
    </row>
    <row r="2880" spans="1:8" x14ac:dyDescent="0.2">
      <c r="A2880" s="5" t="s">
        <v>3432</v>
      </c>
      <c r="B2880" s="5" t="s">
        <v>3197</v>
      </c>
      <c r="C2880" s="8">
        <v>75</v>
      </c>
      <c r="D2880" s="5" t="s">
        <v>42</v>
      </c>
      <c r="E2880" s="5"/>
      <c r="G2880" s="5"/>
      <c r="H2880" s="5"/>
    </row>
    <row r="2881" spans="1:8" x14ac:dyDescent="0.2">
      <c r="A2881" s="5" t="s">
        <v>3433</v>
      </c>
      <c r="B2881" s="5" t="s">
        <v>3434</v>
      </c>
      <c r="C2881" s="8">
        <v>11</v>
      </c>
      <c r="D2881" s="5" t="s">
        <v>155</v>
      </c>
      <c r="E2881" s="5"/>
      <c r="G2881" s="5"/>
      <c r="H2881" s="5"/>
    </row>
    <row r="2882" spans="1:8" x14ac:dyDescent="0.2">
      <c r="A2882" s="5" t="s">
        <v>3435</v>
      </c>
      <c r="B2882" s="5" t="s">
        <v>3424</v>
      </c>
      <c r="C2882" s="8">
        <v>14</v>
      </c>
      <c r="D2882" s="5" t="s">
        <v>155</v>
      </c>
      <c r="E2882" s="5"/>
      <c r="G2882" s="5"/>
      <c r="H2882" s="5"/>
    </row>
    <row r="2883" spans="1:8" x14ac:dyDescent="0.2">
      <c r="A2883" s="5"/>
      <c r="B2883" s="5" t="s">
        <v>3436</v>
      </c>
      <c r="C2883" s="5"/>
      <c r="D2883" s="5" t="s">
        <v>366</v>
      </c>
      <c r="E2883" s="5"/>
      <c r="G2883" s="5"/>
      <c r="H2883" s="5"/>
    </row>
    <row r="2884" spans="1:8" x14ac:dyDescent="0.2">
      <c r="A2884" s="5" t="s">
        <v>3437</v>
      </c>
      <c r="B2884" s="5" t="s">
        <v>3182</v>
      </c>
      <c r="C2884" s="8">
        <v>15</v>
      </c>
      <c r="D2884" s="5" t="s">
        <v>42</v>
      </c>
      <c r="E2884" s="5"/>
      <c r="G2884" s="5"/>
      <c r="H2884" s="5"/>
    </row>
    <row r="2885" spans="1:8" x14ac:dyDescent="0.2">
      <c r="A2885" s="5" t="s">
        <v>3438</v>
      </c>
      <c r="B2885" s="5" t="s">
        <v>3191</v>
      </c>
      <c r="C2885" s="8">
        <v>95</v>
      </c>
      <c r="D2885" s="5" t="s">
        <v>42</v>
      </c>
      <c r="E2885" s="5"/>
      <c r="G2885" s="5"/>
      <c r="H2885" s="5"/>
    </row>
    <row r="2886" spans="1:8" x14ac:dyDescent="0.2">
      <c r="A2886" s="5"/>
      <c r="B2886" s="5" t="s">
        <v>3439</v>
      </c>
      <c r="C2886" s="5"/>
      <c r="D2886" s="5" t="s">
        <v>366</v>
      </c>
      <c r="E2886" s="5"/>
      <c r="G2886" s="5"/>
      <c r="H2886" s="5"/>
    </row>
    <row r="2887" spans="1:8" x14ac:dyDescent="0.2">
      <c r="A2887" s="5" t="s">
        <v>3440</v>
      </c>
      <c r="B2887" s="5" t="s">
        <v>2225</v>
      </c>
      <c r="C2887" s="8">
        <v>5</v>
      </c>
      <c r="D2887" s="5" t="s">
        <v>42</v>
      </c>
      <c r="E2887" s="5"/>
      <c r="G2887" s="5"/>
      <c r="H2887" s="5"/>
    </row>
    <row r="2888" spans="1:8" x14ac:dyDescent="0.2">
      <c r="A2888" s="5"/>
      <c r="B2888" s="5" t="s">
        <v>3441</v>
      </c>
      <c r="C2888" s="5"/>
      <c r="D2888" s="5" t="s">
        <v>366</v>
      </c>
      <c r="E2888" s="5"/>
      <c r="G2888" s="5"/>
      <c r="H2888" s="5"/>
    </row>
    <row r="2889" spans="1:8" x14ac:dyDescent="0.2">
      <c r="A2889" s="5" t="s">
        <v>3442</v>
      </c>
      <c r="B2889" s="5" t="s">
        <v>3182</v>
      </c>
      <c r="C2889" s="8">
        <v>10</v>
      </c>
      <c r="D2889" s="5" t="s">
        <v>42</v>
      </c>
      <c r="E2889" s="5"/>
      <c r="G2889" s="5"/>
      <c r="H2889" s="5"/>
    </row>
    <row r="2890" spans="1:8" x14ac:dyDescent="0.2">
      <c r="A2890" s="5" t="s">
        <v>3443</v>
      </c>
      <c r="B2890" s="5" t="s">
        <v>3191</v>
      </c>
      <c r="C2890" s="8">
        <v>64</v>
      </c>
      <c r="D2890" s="5" t="s">
        <v>42</v>
      </c>
      <c r="E2890" s="5"/>
      <c r="G2890" s="5"/>
      <c r="H2890" s="5"/>
    </row>
    <row r="2891" spans="1:8" x14ac:dyDescent="0.2">
      <c r="A2891" s="5" t="s">
        <v>3444</v>
      </c>
      <c r="B2891" s="5" t="s">
        <v>3197</v>
      </c>
      <c r="C2891" s="8">
        <v>19</v>
      </c>
      <c r="D2891" s="5" t="s">
        <v>42</v>
      </c>
      <c r="E2891" s="5"/>
      <c r="G2891" s="5"/>
      <c r="H2891" s="5"/>
    </row>
    <row r="2892" spans="1:8" x14ac:dyDescent="0.2">
      <c r="A2892" s="5"/>
      <c r="B2892" s="5" t="s">
        <v>3445</v>
      </c>
      <c r="C2892" s="5"/>
      <c r="D2892" s="5" t="s">
        <v>366</v>
      </c>
      <c r="E2892" s="5"/>
      <c r="G2892" s="5"/>
      <c r="H2892" s="5"/>
    </row>
    <row r="2893" spans="1:8" x14ac:dyDescent="0.2">
      <c r="A2893" s="5" t="s">
        <v>3446</v>
      </c>
      <c r="B2893" s="5" t="s">
        <v>2225</v>
      </c>
      <c r="C2893" s="8">
        <v>9</v>
      </c>
      <c r="D2893" s="5" t="s">
        <v>42</v>
      </c>
      <c r="E2893" s="5"/>
      <c r="G2893" s="5"/>
      <c r="H2893" s="5"/>
    </row>
    <row r="2894" spans="1:8" x14ac:dyDescent="0.2">
      <c r="A2894" s="5" t="s">
        <v>3447</v>
      </c>
      <c r="B2894" s="5" t="s">
        <v>3182</v>
      </c>
      <c r="C2894" s="8">
        <v>38</v>
      </c>
      <c r="D2894" s="5" t="s">
        <v>42</v>
      </c>
      <c r="E2894" s="5"/>
      <c r="G2894" s="5"/>
      <c r="H2894" s="5"/>
    </row>
    <row r="2895" spans="1:8" x14ac:dyDescent="0.2">
      <c r="A2895" s="5" t="s">
        <v>3448</v>
      </c>
      <c r="B2895" s="5" t="s">
        <v>3191</v>
      </c>
      <c r="C2895" s="8">
        <v>7</v>
      </c>
      <c r="D2895" s="5" t="s">
        <v>42</v>
      </c>
      <c r="E2895" s="5"/>
      <c r="G2895" s="5"/>
      <c r="H2895" s="5"/>
    </row>
    <row r="2896" spans="1:8" x14ac:dyDescent="0.2">
      <c r="A2896" s="5" t="s">
        <v>3449</v>
      </c>
      <c r="B2896" s="5" t="s">
        <v>3197</v>
      </c>
      <c r="C2896" s="8">
        <v>5</v>
      </c>
      <c r="D2896" s="5" t="s">
        <v>42</v>
      </c>
      <c r="E2896" s="5"/>
      <c r="G2896" s="5"/>
      <c r="H2896" s="5"/>
    </row>
    <row r="2897" spans="1:8" x14ac:dyDescent="0.2">
      <c r="A2897" s="5"/>
      <c r="B2897" s="5" t="s">
        <v>3450</v>
      </c>
      <c r="C2897" s="5"/>
      <c r="D2897" s="5" t="s">
        <v>366</v>
      </c>
      <c r="E2897" s="5"/>
      <c r="G2897" s="5"/>
      <c r="H2897" s="5"/>
    </row>
    <row r="2898" spans="1:8" x14ac:dyDescent="0.2">
      <c r="A2898" s="5" t="s">
        <v>3451</v>
      </c>
      <c r="B2898" s="5" t="s">
        <v>3191</v>
      </c>
      <c r="C2898" s="8">
        <v>44</v>
      </c>
      <c r="D2898" s="5" t="s">
        <v>42</v>
      </c>
      <c r="E2898" s="5"/>
      <c r="G2898" s="5"/>
      <c r="H2898" s="5"/>
    </row>
    <row r="2899" spans="1:8" x14ac:dyDescent="0.2">
      <c r="A2899" s="5" t="s">
        <v>3452</v>
      </c>
      <c r="B2899" s="5" t="s">
        <v>3197</v>
      </c>
      <c r="C2899" s="8">
        <v>13</v>
      </c>
      <c r="D2899" s="5" t="s">
        <v>42</v>
      </c>
      <c r="E2899" s="5"/>
      <c r="G2899" s="5"/>
      <c r="H2899" s="5"/>
    </row>
    <row r="2900" spans="1:8" x14ac:dyDescent="0.2">
      <c r="A2900" s="5"/>
      <c r="B2900" s="5" t="s">
        <v>3453</v>
      </c>
      <c r="C2900" s="5"/>
      <c r="D2900" s="5" t="s">
        <v>366</v>
      </c>
      <c r="E2900" s="5"/>
      <c r="G2900" s="5"/>
      <c r="H2900" s="5"/>
    </row>
    <row r="2901" spans="1:8" x14ac:dyDescent="0.2">
      <c r="A2901" s="5" t="s">
        <v>3454</v>
      </c>
      <c r="B2901" s="5" t="s">
        <v>2225</v>
      </c>
      <c r="C2901" s="8">
        <v>35</v>
      </c>
      <c r="D2901" s="5" t="s">
        <v>42</v>
      </c>
      <c r="E2901" s="5"/>
      <c r="G2901" s="5"/>
      <c r="H2901" s="5"/>
    </row>
    <row r="2902" spans="1:8" x14ac:dyDescent="0.2">
      <c r="A2902" s="5" t="s">
        <v>3455</v>
      </c>
      <c r="B2902" s="5" t="s">
        <v>3182</v>
      </c>
      <c r="C2902" s="8">
        <v>10</v>
      </c>
      <c r="D2902" s="5" t="s">
        <v>42</v>
      </c>
      <c r="E2902" s="5"/>
      <c r="G2902" s="5"/>
      <c r="H2902" s="5"/>
    </row>
    <row r="2903" spans="1:8" x14ac:dyDescent="0.2">
      <c r="A2903" s="5" t="s">
        <v>3456</v>
      </c>
      <c r="B2903" s="5" t="s">
        <v>3191</v>
      </c>
      <c r="C2903" s="8">
        <v>19</v>
      </c>
      <c r="D2903" s="5" t="s">
        <v>42</v>
      </c>
      <c r="E2903" s="5"/>
      <c r="G2903" s="5"/>
      <c r="H2903" s="5"/>
    </row>
    <row r="2904" spans="1:8" x14ac:dyDescent="0.2">
      <c r="A2904" s="5" t="s">
        <v>3457</v>
      </c>
      <c r="B2904" s="5" t="s">
        <v>3197</v>
      </c>
      <c r="C2904" s="8">
        <v>10</v>
      </c>
      <c r="D2904" s="5" t="s">
        <v>42</v>
      </c>
      <c r="E2904" s="5"/>
      <c r="G2904" s="5"/>
      <c r="H2904" s="5"/>
    </row>
    <row r="2905" spans="1:8" x14ac:dyDescent="0.2">
      <c r="A2905" s="5"/>
      <c r="B2905" s="5" t="s">
        <v>3458</v>
      </c>
      <c r="C2905" s="5"/>
      <c r="D2905" s="5" t="s">
        <v>366</v>
      </c>
      <c r="E2905" s="5"/>
      <c r="G2905" s="5"/>
      <c r="H2905" s="5"/>
    </row>
    <row r="2906" spans="1:8" x14ac:dyDescent="0.2">
      <c r="A2906" s="5" t="s">
        <v>3459</v>
      </c>
      <c r="B2906" s="5" t="s">
        <v>3182</v>
      </c>
      <c r="C2906" s="8">
        <v>10</v>
      </c>
      <c r="D2906" s="5" t="s">
        <v>42</v>
      </c>
      <c r="E2906" s="5"/>
      <c r="G2906" s="5"/>
      <c r="H2906" s="5"/>
    </row>
    <row r="2907" spans="1:8" x14ac:dyDescent="0.2">
      <c r="A2907" s="5" t="s">
        <v>3460</v>
      </c>
      <c r="B2907" s="5" t="s">
        <v>3191</v>
      </c>
      <c r="C2907" s="8">
        <v>19</v>
      </c>
      <c r="D2907" s="5" t="s">
        <v>42</v>
      </c>
      <c r="E2907" s="5"/>
      <c r="G2907" s="5"/>
      <c r="H2907" s="5"/>
    </row>
    <row r="2908" spans="1:8" x14ac:dyDescent="0.2">
      <c r="A2908" s="5"/>
      <c r="B2908" s="5" t="s">
        <v>3461</v>
      </c>
      <c r="C2908" s="5"/>
      <c r="D2908" s="5" t="s">
        <v>366</v>
      </c>
      <c r="E2908" s="5"/>
      <c r="G2908" s="5"/>
      <c r="H2908" s="5"/>
    </row>
    <row r="2909" spans="1:8" x14ac:dyDescent="0.2">
      <c r="A2909" s="5" t="s">
        <v>3462</v>
      </c>
      <c r="B2909" s="5" t="s">
        <v>3182</v>
      </c>
      <c r="C2909" s="8">
        <v>53</v>
      </c>
      <c r="D2909" s="5" t="s">
        <v>42</v>
      </c>
      <c r="E2909" s="5"/>
      <c r="G2909" s="5"/>
      <c r="H2909" s="5"/>
    </row>
    <row r="2910" spans="1:8" x14ac:dyDescent="0.2">
      <c r="A2910" s="5"/>
      <c r="B2910" s="5" t="s">
        <v>3463</v>
      </c>
      <c r="C2910" s="5"/>
      <c r="D2910" s="5" t="s">
        <v>322</v>
      </c>
      <c r="E2910" s="5"/>
      <c r="G2910" s="5"/>
      <c r="H2910" s="5"/>
    </row>
    <row r="2911" spans="1:8" x14ac:dyDescent="0.2">
      <c r="A2911" s="5"/>
      <c r="B2911" s="5" t="s">
        <v>3464</v>
      </c>
      <c r="C2911" s="5"/>
      <c r="D2911" s="5" t="s">
        <v>366</v>
      </c>
      <c r="E2911" s="5"/>
      <c r="G2911" s="5"/>
      <c r="H2911" s="5"/>
    </row>
    <row r="2912" spans="1:8" x14ac:dyDescent="0.2">
      <c r="A2912" s="5" t="s">
        <v>3465</v>
      </c>
      <c r="B2912" s="5" t="s">
        <v>2225</v>
      </c>
      <c r="C2912" s="8">
        <v>14</v>
      </c>
      <c r="D2912" s="5" t="s">
        <v>42</v>
      </c>
      <c r="E2912" s="5"/>
      <c r="G2912" s="5"/>
      <c r="H2912" s="5"/>
    </row>
    <row r="2913" spans="1:8" x14ac:dyDescent="0.2">
      <c r="A2913" s="5" t="s">
        <v>3466</v>
      </c>
      <c r="B2913" s="5" t="s">
        <v>3182</v>
      </c>
      <c r="C2913" s="8">
        <v>140</v>
      </c>
      <c r="D2913" s="5" t="s">
        <v>42</v>
      </c>
      <c r="E2913" s="5"/>
      <c r="G2913" s="5"/>
      <c r="H2913" s="5"/>
    </row>
    <row r="2914" spans="1:8" x14ac:dyDescent="0.2">
      <c r="A2914" s="5" t="s">
        <v>3467</v>
      </c>
      <c r="B2914" s="5" t="s">
        <v>3191</v>
      </c>
      <c r="C2914" s="8">
        <v>169</v>
      </c>
      <c r="D2914" s="5" t="s">
        <v>42</v>
      </c>
      <c r="E2914" s="5"/>
      <c r="G2914" s="5"/>
      <c r="H2914" s="5"/>
    </row>
    <row r="2915" spans="1:8" x14ac:dyDescent="0.2">
      <c r="A2915" s="5" t="s">
        <v>3468</v>
      </c>
      <c r="B2915" s="5" t="s">
        <v>3197</v>
      </c>
      <c r="C2915" s="8">
        <v>46</v>
      </c>
      <c r="D2915" s="5" t="s">
        <v>42</v>
      </c>
      <c r="E2915" s="5"/>
      <c r="G2915" s="5"/>
      <c r="H2915" s="5"/>
    </row>
    <row r="2916" spans="1:8" x14ac:dyDescent="0.2">
      <c r="A2916" s="5"/>
      <c r="B2916" s="5" t="s">
        <v>3469</v>
      </c>
      <c r="C2916" s="5"/>
      <c r="D2916" s="5" t="s">
        <v>366</v>
      </c>
      <c r="E2916" s="5"/>
      <c r="G2916" s="5"/>
      <c r="H2916" s="5"/>
    </row>
    <row r="2917" spans="1:8" x14ac:dyDescent="0.2">
      <c r="A2917" s="5" t="s">
        <v>3470</v>
      </c>
      <c r="B2917" s="5" t="s">
        <v>3197</v>
      </c>
      <c r="C2917" s="8">
        <v>2</v>
      </c>
      <c r="D2917" s="5" t="s">
        <v>42</v>
      </c>
      <c r="E2917" s="5"/>
      <c r="G2917" s="5"/>
      <c r="H2917" s="5"/>
    </row>
    <row r="2918" spans="1:8" x14ac:dyDescent="0.2">
      <c r="A2918" s="5"/>
      <c r="B2918" s="5" t="s">
        <v>3471</v>
      </c>
      <c r="C2918" s="5"/>
      <c r="D2918" s="5" t="s">
        <v>322</v>
      </c>
      <c r="E2918" s="5"/>
      <c r="G2918" s="5"/>
      <c r="H2918" s="5"/>
    </row>
    <row r="2919" spans="1:8" x14ac:dyDescent="0.2">
      <c r="A2919" s="5"/>
      <c r="B2919" s="5" t="s">
        <v>3472</v>
      </c>
      <c r="C2919" s="5"/>
      <c r="D2919" s="5" t="s">
        <v>366</v>
      </c>
      <c r="E2919" s="5"/>
      <c r="G2919" s="5"/>
      <c r="H2919" s="5"/>
    </row>
    <row r="2920" spans="1:8" x14ac:dyDescent="0.2">
      <c r="A2920" s="5" t="s">
        <v>3473</v>
      </c>
      <c r="B2920" s="5" t="s">
        <v>3182</v>
      </c>
      <c r="C2920" s="8">
        <v>149</v>
      </c>
      <c r="D2920" s="5" t="s">
        <v>42</v>
      </c>
      <c r="E2920" s="5"/>
      <c r="G2920" s="5"/>
      <c r="H2920" s="5"/>
    </row>
    <row r="2921" spans="1:8" x14ac:dyDescent="0.2">
      <c r="A2921" s="5" t="s">
        <v>3474</v>
      </c>
      <c r="B2921" s="5" t="s">
        <v>3191</v>
      </c>
      <c r="C2921" s="8">
        <v>60</v>
      </c>
      <c r="D2921" s="5" t="s">
        <v>42</v>
      </c>
      <c r="E2921" s="5"/>
      <c r="G2921" s="5"/>
      <c r="H2921" s="5"/>
    </row>
    <row r="2922" spans="1:8" x14ac:dyDescent="0.2">
      <c r="A2922" s="5"/>
      <c r="B2922" s="5" t="s">
        <v>3475</v>
      </c>
      <c r="C2922" s="5"/>
      <c r="D2922" s="5" t="s">
        <v>366</v>
      </c>
      <c r="E2922" s="5"/>
      <c r="G2922" s="5"/>
      <c r="H2922" s="5"/>
    </row>
    <row r="2923" spans="1:8" x14ac:dyDescent="0.2">
      <c r="A2923" s="5" t="s">
        <v>3476</v>
      </c>
      <c r="B2923" s="5" t="s">
        <v>3182</v>
      </c>
      <c r="C2923" s="8">
        <v>130</v>
      </c>
      <c r="D2923" s="5" t="s">
        <v>42</v>
      </c>
      <c r="E2923" s="5"/>
      <c r="G2923" s="5"/>
      <c r="H2923" s="5"/>
    </row>
    <row r="2924" spans="1:8" x14ac:dyDescent="0.2">
      <c r="A2924" s="5" t="s">
        <v>3477</v>
      </c>
      <c r="B2924" s="5" t="s">
        <v>3191</v>
      </c>
      <c r="C2924" s="8">
        <v>233</v>
      </c>
      <c r="D2924" s="5" t="s">
        <v>42</v>
      </c>
      <c r="E2924" s="5"/>
      <c r="G2924" s="5"/>
      <c r="H2924" s="5"/>
    </row>
    <row r="2925" spans="1:8" x14ac:dyDescent="0.2">
      <c r="A2925" s="5" t="s">
        <v>3478</v>
      </c>
      <c r="B2925" s="5" t="s">
        <v>3479</v>
      </c>
      <c r="C2925" s="8">
        <v>4</v>
      </c>
      <c r="D2925" s="5" t="s">
        <v>155</v>
      </c>
      <c r="E2925" s="5"/>
      <c r="G2925" s="5"/>
      <c r="H2925" s="5"/>
    </row>
    <row r="2926" spans="1:8" x14ac:dyDescent="0.2">
      <c r="A2926" s="5"/>
      <c r="B2926" s="5" t="s">
        <v>3480</v>
      </c>
      <c r="C2926" s="5"/>
      <c r="D2926" s="5" t="s">
        <v>366</v>
      </c>
      <c r="E2926" s="5"/>
      <c r="G2926" s="5"/>
      <c r="H2926" s="5"/>
    </row>
    <row r="2927" spans="1:8" x14ac:dyDescent="0.2">
      <c r="A2927" s="5" t="s">
        <v>3481</v>
      </c>
      <c r="B2927" s="5" t="s">
        <v>3182</v>
      </c>
      <c r="C2927" s="8">
        <v>31</v>
      </c>
      <c r="D2927" s="5" t="s">
        <v>42</v>
      </c>
      <c r="E2927" s="5"/>
      <c r="G2927" s="5"/>
      <c r="H2927" s="5"/>
    </row>
    <row r="2928" spans="1:8" x14ac:dyDescent="0.2">
      <c r="A2928" s="5"/>
      <c r="B2928" s="5" t="s">
        <v>3412</v>
      </c>
      <c r="C2928" s="5"/>
      <c r="D2928" s="5" t="s">
        <v>322</v>
      </c>
      <c r="E2928" s="5"/>
      <c r="G2928" s="5"/>
      <c r="H2928" s="5"/>
    </row>
    <row r="2929" spans="1:8" x14ac:dyDescent="0.2">
      <c r="A2929" s="5"/>
      <c r="B2929" s="5" t="s">
        <v>3482</v>
      </c>
      <c r="C2929" s="5"/>
      <c r="D2929" s="5" t="s">
        <v>366</v>
      </c>
      <c r="E2929" s="5"/>
      <c r="G2929" s="5"/>
      <c r="H2929" s="5"/>
    </row>
    <row r="2930" spans="1:8" x14ac:dyDescent="0.2">
      <c r="A2930" s="5" t="s">
        <v>3483</v>
      </c>
      <c r="B2930" s="5" t="s">
        <v>3182</v>
      </c>
      <c r="C2930" s="8">
        <v>62</v>
      </c>
      <c r="D2930" s="5" t="s">
        <v>42</v>
      </c>
      <c r="E2930" s="5"/>
      <c r="G2930" s="5"/>
      <c r="H2930" s="5"/>
    </row>
    <row r="2931" spans="1:8" x14ac:dyDescent="0.2">
      <c r="A2931" s="5" t="s">
        <v>3484</v>
      </c>
      <c r="B2931" s="5" t="s">
        <v>3191</v>
      </c>
      <c r="C2931" s="8">
        <v>53</v>
      </c>
      <c r="D2931" s="5" t="s">
        <v>42</v>
      </c>
      <c r="E2931" s="5"/>
      <c r="G2931" s="5"/>
      <c r="H2931" s="5"/>
    </row>
    <row r="2932" spans="1:8" x14ac:dyDescent="0.2">
      <c r="A2932" s="5" t="s">
        <v>3485</v>
      </c>
      <c r="B2932" s="5" t="s">
        <v>3197</v>
      </c>
      <c r="C2932" s="8">
        <v>23</v>
      </c>
      <c r="D2932" s="5" t="s">
        <v>42</v>
      </c>
      <c r="E2932" s="5"/>
      <c r="G2932" s="5"/>
      <c r="H2932" s="5"/>
    </row>
    <row r="2933" spans="1:8" x14ac:dyDescent="0.2">
      <c r="A2933" s="5"/>
      <c r="B2933" s="5" t="s">
        <v>3486</v>
      </c>
      <c r="C2933" s="5"/>
      <c r="D2933" s="5" t="s">
        <v>366</v>
      </c>
      <c r="E2933" s="5"/>
      <c r="G2933" s="5"/>
      <c r="H2933" s="5"/>
    </row>
    <row r="2934" spans="1:8" x14ac:dyDescent="0.2">
      <c r="A2934" s="5" t="s">
        <v>3487</v>
      </c>
      <c r="B2934" s="5" t="s">
        <v>3182</v>
      </c>
      <c r="C2934" s="8">
        <v>5</v>
      </c>
      <c r="D2934" s="5" t="s">
        <v>42</v>
      </c>
      <c r="E2934" s="5"/>
      <c r="G2934" s="5"/>
      <c r="H2934" s="5"/>
    </row>
    <row r="2935" spans="1:8" x14ac:dyDescent="0.2">
      <c r="A2935" s="5" t="s">
        <v>3488</v>
      </c>
      <c r="B2935" s="5" t="s">
        <v>3191</v>
      </c>
      <c r="C2935" s="8">
        <v>5</v>
      </c>
      <c r="D2935" s="5" t="s">
        <v>42</v>
      </c>
      <c r="E2935" s="5"/>
      <c r="G2935" s="5"/>
      <c r="H2935" s="5"/>
    </row>
    <row r="2936" spans="1:8" x14ac:dyDescent="0.2">
      <c r="A2936" s="5" t="s">
        <v>3489</v>
      </c>
      <c r="B2936" s="5" t="s">
        <v>3197</v>
      </c>
      <c r="C2936" s="8">
        <v>15</v>
      </c>
      <c r="D2936" s="5" t="s">
        <v>42</v>
      </c>
      <c r="E2936" s="5"/>
      <c r="G2936" s="5"/>
      <c r="H2936" s="5"/>
    </row>
    <row r="2937" spans="1:8" x14ac:dyDescent="0.2">
      <c r="A2937" s="5"/>
      <c r="B2937" s="5" t="s">
        <v>3490</v>
      </c>
      <c r="C2937" s="5"/>
      <c r="D2937" s="5" t="s">
        <v>366</v>
      </c>
      <c r="E2937" s="5"/>
      <c r="G2937" s="5"/>
      <c r="H2937" s="5"/>
    </row>
    <row r="2938" spans="1:8" x14ac:dyDescent="0.2">
      <c r="A2938" s="5" t="s">
        <v>3491</v>
      </c>
      <c r="B2938" s="5" t="s">
        <v>3197</v>
      </c>
      <c r="C2938" s="8">
        <v>5</v>
      </c>
      <c r="D2938" s="5" t="s">
        <v>42</v>
      </c>
      <c r="E2938" s="5"/>
      <c r="G2938" s="5"/>
      <c r="H2938" s="5"/>
    </row>
    <row r="2939" spans="1:8" x14ac:dyDescent="0.2">
      <c r="A2939" s="5"/>
      <c r="B2939" s="5" t="s">
        <v>3492</v>
      </c>
      <c r="C2939" s="5"/>
      <c r="D2939" s="5" t="s">
        <v>322</v>
      </c>
      <c r="E2939" s="5"/>
      <c r="G2939" s="5"/>
      <c r="H2939" s="5"/>
    </row>
    <row r="2940" spans="1:8" x14ac:dyDescent="0.2">
      <c r="A2940" s="5"/>
      <c r="B2940" s="5" t="s">
        <v>3493</v>
      </c>
      <c r="C2940" s="5"/>
      <c r="D2940" s="5" t="s">
        <v>366</v>
      </c>
      <c r="E2940" s="5"/>
      <c r="G2940" s="5"/>
      <c r="H2940" s="5"/>
    </row>
    <row r="2941" spans="1:8" x14ac:dyDescent="0.2">
      <c r="A2941" s="5" t="s">
        <v>3494</v>
      </c>
      <c r="B2941" s="5" t="s">
        <v>2225</v>
      </c>
      <c r="C2941" s="8">
        <v>21</v>
      </c>
      <c r="D2941" s="5" t="s">
        <v>42</v>
      </c>
      <c r="E2941" s="5"/>
      <c r="G2941" s="5"/>
      <c r="H2941" s="5"/>
    </row>
    <row r="2942" spans="1:8" x14ac:dyDescent="0.2">
      <c r="A2942" s="5"/>
      <c r="B2942" s="5" t="s">
        <v>3495</v>
      </c>
      <c r="C2942" s="5"/>
      <c r="D2942" s="5" t="s">
        <v>366</v>
      </c>
      <c r="E2942" s="5"/>
      <c r="G2942" s="5"/>
      <c r="H2942" s="5"/>
    </row>
    <row r="2943" spans="1:8" x14ac:dyDescent="0.2">
      <c r="A2943" s="5" t="s">
        <v>3496</v>
      </c>
      <c r="B2943" s="5" t="s">
        <v>2225</v>
      </c>
      <c r="C2943" s="8">
        <v>146</v>
      </c>
      <c r="D2943" s="5" t="s">
        <v>42</v>
      </c>
      <c r="E2943" s="5"/>
      <c r="G2943" s="5"/>
      <c r="H2943" s="5"/>
    </row>
    <row r="2944" spans="1:8" x14ac:dyDescent="0.2">
      <c r="A2944" s="5" t="s">
        <v>3497</v>
      </c>
      <c r="B2944" s="5" t="s">
        <v>3182</v>
      </c>
      <c r="C2944" s="8">
        <v>165</v>
      </c>
      <c r="D2944" s="5" t="s">
        <v>42</v>
      </c>
      <c r="E2944" s="5"/>
      <c r="G2944" s="5"/>
      <c r="H2944" s="5"/>
    </row>
    <row r="2945" spans="1:8" x14ac:dyDescent="0.2">
      <c r="A2945" s="5" t="s">
        <v>3498</v>
      </c>
      <c r="B2945" s="5" t="s">
        <v>3191</v>
      </c>
      <c r="C2945" s="8">
        <v>156</v>
      </c>
      <c r="D2945" s="5" t="s">
        <v>42</v>
      </c>
      <c r="E2945" s="5"/>
      <c r="G2945" s="5"/>
      <c r="H2945" s="5"/>
    </row>
    <row r="2946" spans="1:8" x14ac:dyDescent="0.2">
      <c r="A2946" s="5" t="s">
        <v>3499</v>
      </c>
      <c r="B2946" s="5" t="s">
        <v>3197</v>
      </c>
      <c r="C2946" s="8">
        <v>72</v>
      </c>
      <c r="D2946" s="5" t="s">
        <v>42</v>
      </c>
      <c r="E2946" s="5"/>
      <c r="G2946" s="5"/>
      <c r="H2946" s="5"/>
    </row>
    <row r="2947" spans="1:8" x14ac:dyDescent="0.2">
      <c r="A2947" s="5"/>
      <c r="B2947" s="5" t="s">
        <v>3500</v>
      </c>
      <c r="C2947" s="5"/>
      <c r="D2947" s="5" t="s">
        <v>366</v>
      </c>
      <c r="E2947" s="5"/>
      <c r="G2947" s="5"/>
      <c r="H2947" s="5"/>
    </row>
    <row r="2948" spans="1:8" x14ac:dyDescent="0.2">
      <c r="A2948" s="5" t="s">
        <v>3501</v>
      </c>
      <c r="B2948" s="5" t="s">
        <v>2225</v>
      </c>
      <c r="C2948" s="8">
        <v>22</v>
      </c>
      <c r="D2948" s="5" t="s">
        <v>42</v>
      </c>
      <c r="E2948" s="5"/>
      <c r="G2948" s="5"/>
      <c r="H2948" s="5"/>
    </row>
    <row r="2949" spans="1:8" x14ac:dyDescent="0.2">
      <c r="A2949" s="5" t="s">
        <v>3502</v>
      </c>
      <c r="B2949" s="5" t="s">
        <v>3182</v>
      </c>
      <c r="C2949" s="8">
        <v>9</v>
      </c>
      <c r="D2949" s="5" t="s">
        <v>42</v>
      </c>
      <c r="E2949" s="5"/>
      <c r="G2949" s="5"/>
      <c r="H2949" s="5"/>
    </row>
    <row r="2950" spans="1:8" x14ac:dyDescent="0.2">
      <c r="A2950" s="5" t="s">
        <v>3503</v>
      </c>
      <c r="B2950" s="5" t="s">
        <v>3191</v>
      </c>
      <c r="C2950" s="8">
        <v>24</v>
      </c>
      <c r="D2950" s="5" t="s">
        <v>42</v>
      </c>
      <c r="E2950" s="5"/>
      <c r="G2950" s="5"/>
      <c r="H2950" s="5"/>
    </row>
    <row r="2951" spans="1:8" x14ac:dyDescent="0.2">
      <c r="A2951" s="5"/>
      <c r="B2951" s="5" t="s">
        <v>3504</v>
      </c>
      <c r="C2951" s="5"/>
      <c r="D2951" s="5" t="s">
        <v>15</v>
      </c>
      <c r="E2951" s="5"/>
      <c r="G2951" s="5"/>
      <c r="H2951" s="5"/>
    </row>
    <row r="2952" spans="1:8" x14ac:dyDescent="0.2">
      <c r="A2952" s="5"/>
      <c r="B2952" s="5" t="s">
        <v>41</v>
      </c>
      <c r="C2952" s="5"/>
      <c r="D2952" s="5" t="s">
        <v>322</v>
      </c>
      <c r="E2952" s="5"/>
      <c r="G2952" s="5"/>
      <c r="H2952" s="5"/>
    </row>
    <row r="2953" spans="1:8" x14ac:dyDescent="0.2">
      <c r="A2953" s="5" t="s">
        <v>3505</v>
      </c>
      <c r="B2953" s="5" t="s">
        <v>3506</v>
      </c>
      <c r="C2953" s="8">
        <v>1</v>
      </c>
      <c r="D2953" s="5" t="s">
        <v>162</v>
      </c>
      <c r="E2953" s="5"/>
      <c r="G2953" s="5"/>
      <c r="H2953" s="5"/>
    </row>
    <row r="2954" spans="1:8" x14ac:dyDescent="0.2">
      <c r="A2954" s="5"/>
      <c r="B2954" s="5" t="s">
        <v>48</v>
      </c>
      <c r="C2954" s="5"/>
      <c r="D2954" s="5" t="s">
        <v>322</v>
      </c>
      <c r="E2954" s="5"/>
      <c r="G2954" s="5"/>
      <c r="H2954" s="5"/>
    </row>
    <row r="2955" spans="1:8" x14ac:dyDescent="0.2">
      <c r="A2955" s="5" t="s">
        <v>3507</v>
      </c>
      <c r="B2955" s="5" t="s">
        <v>3506</v>
      </c>
      <c r="C2955" s="8">
        <v>1</v>
      </c>
      <c r="D2955" s="5" t="s">
        <v>162</v>
      </c>
      <c r="E2955" s="5"/>
      <c r="G2955" s="5"/>
      <c r="H2955" s="5"/>
    </row>
    <row r="2956" spans="1:8" x14ac:dyDescent="0.2">
      <c r="A2956" s="5"/>
      <c r="B2956" s="5" t="s">
        <v>3508</v>
      </c>
      <c r="C2956" s="5"/>
      <c r="D2956" s="5" t="s">
        <v>15</v>
      </c>
      <c r="E2956" s="5"/>
      <c r="G2956" s="5"/>
      <c r="H2956" s="5"/>
    </row>
    <row r="2957" spans="1:8" x14ac:dyDescent="0.2">
      <c r="A2957" s="5"/>
      <c r="B2957" s="5" t="s">
        <v>41</v>
      </c>
      <c r="C2957" s="5"/>
      <c r="D2957" s="5" t="s">
        <v>322</v>
      </c>
      <c r="E2957" s="5"/>
      <c r="G2957" s="5"/>
      <c r="H2957" s="5"/>
    </row>
    <row r="2958" spans="1:8" x14ac:dyDescent="0.2">
      <c r="A2958" s="5" t="s">
        <v>3509</v>
      </c>
      <c r="B2958" s="5" t="s">
        <v>3510</v>
      </c>
      <c r="C2958" s="8">
        <v>2</v>
      </c>
      <c r="D2958" s="5" t="s">
        <v>162</v>
      </c>
      <c r="E2958" s="5"/>
      <c r="G2958" s="5"/>
      <c r="H2958" s="5"/>
    </row>
    <row r="2959" spans="1:8" x14ac:dyDescent="0.2">
      <c r="A2959" s="5"/>
      <c r="B2959" s="5" t="s">
        <v>44</v>
      </c>
      <c r="C2959" s="5"/>
      <c r="D2959" s="5" t="s">
        <v>322</v>
      </c>
      <c r="E2959" s="5"/>
      <c r="G2959" s="5"/>
      <c r="H2959" s="5"/>
    </row>
    <row r="2960" spans="1:8" x14ac:dyDescent="0.2">
      <c r="A2960" s="5" t="s">
        <v>3511</v>
      </c>
      <c r="B2960" s="5" t="s">
        <v>3510</v>
      </c>
      <c r="C2960" s="8">
        <v>1</v>
      </c>
      <c r="D2960" s="5" t="s">
        <v>162</v>
      </c>
      <c r="E2960" s="5"/>
      <c r="G2960" s="5"/>
      <c r="H2960" s="5"/>
    </row>
    <row r="2961" spans="1:8" x14ac:dyDescent="0.2">
      <c r="A2961" s="5"/>
      <c r="B2961" s="5" t="s">
        <v>46</v>
      </c>
      <c r="C2961" s="5"/>
      <c r="D2961" s="5" t="s">
        <v>322</v>
      </c>
      <c r="E2961" s="5"/>
      <c r="G2961" s="5"/>
      <c r="H2961" s="5"/>
    </row>
    <row r="2962" spans="1:8" x14ac:dyDescent="0.2">
      <c r="A2962" s="5" t="s">
        <v>3512</v>
      </c>
      <c r="B2962" s="5" t="s">
        <v>3510</v>
      </c>
      <c r="C2962" s="8">
        <v>1</v>
      </c>
      <c r="D2962" s="5" t="s">
        <v>162</v>
      </c>
      <c r="E2962" s="5"/>
      <c r="G2962" s="5"/>
      <c r="H2962" s="5"/>
    </row>
    <row r="2963" spans="1:8" x14ac:dyDescent="0.2">
      <c r="A2963" s="5"/>
      <c r="B2963" s="5" t="s">
        <v>53</v>
      </c>
      <c r="C2963" s="5"/>
      <c r="D2963" s="5" t="s">
        <v>13</v>
      </c>
      <c r="E2963" s="5"/>
      <c r="G2963" s="5"/>
      <c r="H2963" s="5"/>
    </row>
    <row r="2964" spans="1:8" x14ac:dyDescent="0.2">
      <c r="A2964" s="5"/>
      <c r="B2964" s="5" t="s">
        <v>3347</v>
      </c>
      <c r="C2964" s="5"/>
      <c r="D2964" s="5" t="s">
        <v>15</v>
      </c>
      <c r="E2964" s="5"/>
      <c r="G2964" s="5"/>
      <c r="H2964" s="5"/>
    </row>
    <row r="2965" spans="1:8" x14ac:dyDescent="0.2">
      <c r="A2965" s="5"/>
      <c r="B2965" s="5" t="s">
        <v>3348</v>
      </c>
      <c r="C2965" s="5"/>
      <c r="D2965" s="5" t="s">
        <v>322</v>
      </c>
      <c r="E2965" s="5"/>
      <c r="G2965" s="5"/>
      <c r="H2965" s="5"/>
    </row>
    <row r="2966" spans="1:8" x14ac:dyDescent="0.2">
      <c r="A2966" s="5"/>
      <c r="B2966" s="5" t="s">
        <v>3349</v>
      </c>
      <c r="C2966" s="5"/>
      <c r="D2966" s="5" t="s">
        <v>366</v>
      </c>
      <c r="E2966" s="5"/>
      <c r="G2966" s="5"/>
      <c r="H2966" s="5"/>
    </row>
    <row r="2967" spans="1:8" x14ac:dyDescent="0.2">
      <c r="A2967" s="5" t="s">
        <v>3513</v>
      </c>
      <c r="B2967" s="5" t="s">
        <v>2683</v>
      </c>
      <c r="C2967" s="8">
        <v>293</v>
      </c>
      <c r="D2967" s="5" t="s">
        <v>42</v>
      </c>
      <c r="E2967" s="5"/>
      <c r="G2967" s="5"/>
      <c r="H2967" s="5"/>
    </row>
    <row r="2968" spans="1:8" x14ac:dyDescent="0.2">
      <c r="A2968" s="5" t="s">
        <v>3514</v>
      </c>
      <c r="B2968" s="5" t="s">
        <v>2693</v>
      </c>
      <c r="C2968" s="8">
        <v>53</v>
      </c>
      <c r="D2968" s="5" t="s">
        <v>42</v>
      </c>
      <c r="E2968" s="5"/>
      <c r="G2968" s="5"/>
      <c r="H2968" s="5"/>
    </row>
    <row r="2969" spans="1:8" x14ac:dyDescent="0.2">
      <c r="A2969" s="5" t="s">
        <v>3515</v>
      </c>
      <c r="B2969" s="5" t="s">
        <v>2689</v>
      </c>
      <c r="C2969" s="8">
        <v>65</v>
      </c>
      <c r="D2969" s="5" t="s">
        <v>42</v>
      </c>
      <c r="E2969" s="5"/>
      <c r="G2969" s="5"/>
      <c r="H2969" s="5"/>
    </row>
    <row r="2970" spans="1:8" x14ac:dyDescent="0.2">
      <c r="A2970" s="5" t="s">
        <v>3516</v>
      </c>
      <c r="B2970" s="5" t="s">
        <v>3517</v>
      </c>
      <c r="C2970" s="8">
        <v>17</v>
      </c>
      <c r="D2970" s="5" t="s">
        <v>155</v>
      </c>
      <c r="E2970" s="5"/>
      <c r="G2970" s="5"/>
      <c r="H2970" s="5"/>
    </row>
    <row r="2971" spans="1:8" x14ac:dyDescent="0.2">
      <c r="A2971" s="5"/>
      <c r="B2971" s="5" t="s">
        <v>3351</v>
      </c>
      <c r="C2971" s="5"/>
      <c r="D2971" s="5" t="s">
        <v>366</v>
      </c>
      <c r="E2971" s="5"/>
      <c r="G2971" s="5"/>
      <c r="H2971" s="5"/>
    </row>
    <row r="2972" spans="1:8" x14ac:dyDescent="0.2">
      <c r="A2972" s="5" t="s">
        <v>3518</v>
      </c>
      <c r="B2972" s="5" t="s">
        <v>2683</v>
      </c>
      <c r="C2972" s="8">
        <v>20</v>
      </c>
      <c r="D2972" s="5" t="s">
        <v>42</v>
      </c>
      <c r="E2972" s="5"/>
      <c r="G2972" s="5"/>
      <c r="H2972" s="5"/>
    </row>
    <row r="2973" spans="1:8" x14ac:dyDescent="0.2">
      <c r="A2973" s="5"/>
      <c r="B2973" s="5" t="s">
        <v>3357</v>
      </c>
      <c r="C2973" s="5"/>
      <c r="D2973" s="5" t="s">
        <v>366</v>
      </c>
      <c r="E2973" s="5"/>
      <c r="G2973" s="5"/>
      <c r="H2973" s="5"/>
    </row>
    <row r="2974" spans="1:8" x14ac:dyDescent="0.2">
      <c r="A2974" s="5" t="s">
        <v>3519</v>
      </c>
      <c r="B2974" s="5" t="s">
        <v>2693</v>
      </c>
      <c r="C2974" s="8">
        <v>204</v>
      </c>
      <c r="D2974" s="5" t="s">
        <v>42</v>
      </c>
      <c r="E2974" s="5"/>
      <c r="G2974" s="5"/>
      <c r="H2974" s="5"/>
    </row>
    <row r="2975" spans="1:8" x14ac:dyDescent="0.2">
      <c r="A2975" s="5"/>
      <c r="B2975" s="5" t="s">
        <v>3520</v>
      </c>
      <c r="C2975" s="5"/>
      <c r="D2975" s="5" t="s">
        <v>366</v>
      </c>
      <c r="E2975" s="5"/>
      <c r="G2975" s="5"/>
      <c r="H2975" s="5"/>
    </row>
    <row r="2976" spans="1:8" x14ac:dyDescent="0.2">
      <c r="A2976" s="5" t="s">
        <v>3521</v>
      </c>
      <c r="B2976" s="5" t="s">
        <v>2693</v>
      </c>
      <c r="C2976" s="8">
        <v>8</v>
      </c>
      <c r="D2976" s="5" t="s">
        <v>42</v>
      </c>
      <c r="E2976" s="5"/>
      <c r="G2976" s="5"/>
      <c r="H2976" s="5"/>
    </row>
    <row r="2977" spans="1:8" x14ac:dyDescent="0.2">
      <c r="A2977" s="5"/>
      <c r="B2977" s="5" t="s">
        <v>3355</v>
      </c>
      <c r="C2977" s="5"/>
      <c r="D2977" s="5" t="s">
        <v>366</v>
      </c>
      <c r="E2977" s="5"/>
      <c r="G2977" s="5"/>
      <c r="H2977" s="5"/>
    </row>
    <row r="2978" spans="1:8" x14ac:dyDescent="0.2">
      <c r="A2978" s="5" t="s">
        <v>3522</v>
      </c>
      <c r="B2978" s="5" t="s">
        <v>2693</v>
      </c>
      <c r="C2978" s="8">
        <v>20</v>
      </c>
      <c r="D2978" s="5" t="s">
        <v>42</v>
      </c>
      <c r="E2978" s="5"/>
      <c r="G2978" s="5"/>
      <c r="H2978" s="5"/>
    </row>
    <row r="2979" spans="1:8" x14ac:dyDescent="0.2">
      <c r="A2979" s="5"/>
      <c r="B2979" s="5" t="s">
        <v>3357</v>
      </c>
      <c r="C2979" s="5"/>
      <c r="D2979" s="5" t="s">
        <v>366</v>
      </c>
      <c r="E2979" s="5"/>
      <c r="G2979" s="5"/>
      <c r="H2979" s="5"/>
    </row>
    <row r="2980" spans="1:8" x14ac:dyDescent="0.2">
      <c r="A2980" s="5" t="s">
        <v>3523</v>
      </c>
      <c r="B2980" s="5" t="s">
        <v>2683</v>
      </c>
      <c r="C2980" s="8">
        <v>45</v>
      </c>
      <c r="D2980" s="5" t="s">
        <v>42</v>
      </c>
      <c r="E2980" s="5"/>
      <c r="G2980" s="5"/>
      <c r="H2980" s="5"/>
    </row>
    <row r="2981" spans="1:8" x14ac:dyDescent="0.2">
      <c r="A2981" s="5"/>
      <c r="B2981" s="5" t="s">
        <v>3524</v>
      </c>
      <c r="C2981" s="5"/>
      <c r="D2981" s="5" t="s">
        <v>366</v>
      </c>
      <c r="E2981" s="5"/>
      <c r="G2981" s="5"/>
      <c r="H2981" s="5"/>
    </row>
    <row r="2982" spans="1:8" x14ac:dyDescent="0.2">
      <c r="A2982" s="5" t="s">
        <v>3525</v>
      </c>
      <c r="B2982" s="5" t="s">
        <v>2693</v>
      </c>
      <c r="C2982" s="8">
        <v>20</v>
      </c>
      <c r="D2982" s="5" t="s">
        <v>42</v>
      </c>
      <c r="E2982" s="5"/>
      <c r="G2982" s="5"/>
      <c r="H2982" s="5"/>
    </row>
    <row r="2983" spans="1:8" x14ac:dyDescent="0.2">
      <c r="A2983" s="5" t="s">
        <v>3526</v>
      </c>
      <c r="B2983" s="5" t="s">
        <v>2689</v>
      </c>
      <c r="C2983" s="8">
        <v>15</v>
      </c>
      <c r="D2983" s="5" t="s">
        <v>42</v>
      </c>
      <c r="E2983" s="5"/>
      <c r="G2983" s="5"/>
      <c r="H2983" s="5"/>
    </row>
    <row r="2984" spans="1:8" x14ac:dyDescent="0.2">
      <c r="A2984" s="5"/>
      <c r="B2984" s="5" t="s">
        <v>3361</v>
      </c>
      <c r="C2984" s="5"/>
      <c r="D2984" s="5" t="s">
        <v>366</v>
      </c>
      <c r="E2984" s="5"/>
      <c r="G2984" s="5"/>
      <c r="H2984" s="5"/>
    </row>
    <row r="2985" spans="1:8" x14ac:dyDescent="0.2">
      <c r="A2985" s="5" t="s">
        <v>3527</v>
      </c>
      <c r="B2985" s="5" t="s">
        <v>2693</v>
      </c>
      <c r="C2985" s="8">
        <v>41</v>
      </c>
      <c r="D2985" s="5" t="s">
        <v>42</v>
      </c>
      <c r="E2985" s="5"/>
      <c r="G2985" s="5"/>
      <c r="H2985" s="5"/>
    </row>
    <row r="2986" spans="1:8" x14ac:dyDescent="0.2">
      <c r="A2986" s="5" t="s">
        <v>3528</v>
      </c>
      <c r="B2986" s="5" t="s">
        <v>2689</v>
      </c>
      <c r="C2986" s="8">
        <v>34</v>
      </c>
      <c r="D2986" s="5" t="s">
        <v>42</v>
      </c>
      <c r="E2986" s="5"/>
      <c r="G2986" s="5"/>
      <c r="H2986" s="5"/>
    </row>
    <row r="2987" spans="1:8" x14ac:dyDescent="0.2">
      <c r="A2987" s="5"/>
      <c r="B2987" s="5" t="s">
        <v>3364</v>
      </c>
      <c r="C2987" s="5"/>
      <c r="D2987" s="5" t="s">
        <v>366</v>
      </c>
      <c r="E2987" s="5"/>
      <c r="G2987" s="5"/>
      <c r="H2987" s="5"/>
    </row>
    <row r="2988" spans="1:8" x14ac:dyDescent="0.2">
      <c r="A2988" s="5" t="s">
        <v>3529</v>
      </c>
      <c r="B2988" s="5" t="s">
        <v>2693</v>
      </c>
      <c r="C2988" s="8">
        <v>16</v>
      </c>
      <c r="D2988" s="5" t="s">
        <v>42</v>
      </c>
      <c r="E2988" s="5"/>
      <c r="G2988" s="5"/>
      <c r="H2988" s="5"/>
    </row>
    <row r="2989" spans="1:8" x14ac:dyDescent="0.2">
      <c r="A2989" s="5" t="s">
        <v>3530</v>
      </c>
      <c r="B2989" s="5" t="s">
        <v>2689</v>
      </c>
      <c r="C2989" s="8">
        <v>14</v>
      </c>
      <c r="D2989" s="5" t="s">
        <v>42</v>
      </c>
      <c r="E2989" s="5"/>
      <c r="G2989" s="5"/>
      <c r="H2989" s="5"/>
    </row>
    <row r="2990" spans="1:8" x14ac:dyDescent="0.2">
      <c r="A2990" s="5"/>
      <c r="B2990" s="5" t="s">
        <v>3370</v>
      </c>
      <c r="C2990" s="5"/>
      <c r="D2990" s="5" t="s">
        <v>366</v>
      </c>
      <c r="E2990" s="5"/>
      <c r="G2990" s="5"/>
      <c r="H2990" s="5"/>
    </row>
    <row r="2991" spans="1:8" x14ac:dyDescent="0.2">
      <c r="A2991" s="5" t="s">
        <v>3531</v>
      </c>
      <c r="B2991" s="5" t="s">
        <v>2693</v>
      </c>
      <c r="C2991" s="8">
        <v>147</v>
      </c>
      <c r="D2991" s="5" t="s">
        <v>42</v>
      </c>
      <c r="E2991" s="5"/>
      <c r="G2991" s="5"/>
      <c r="H2991" s="5"/>
    </row>
    <row r="2992" spans="1:8" x14ac:dyDescent="0.2">
      <c r="A2992" s="5" t="s">
        <v>3532</v>
      </c>
      <c r="B2992" s="5" t="s">
        <v>2689</v>
      </c>
      <c r="C2992" s="8">
        <v>117</v>
      </c>
      <c r="D2992" s="5" t="s">
        <v>42</v>
      </c>
      <c r="E2992" s="5"/>
      <c r="G2992" s="5"/>
      <c r="H2992" s="5"/>
    </row>
    <row r="2993" spans="1:8" x14ac:dyDescent="0.2">
      <c r="A2993" s="5"/>
      <c r="B2993" s="5" t="s">
        <v>3373</v>
      </c>
      <c r="C2993" s="5"/>
      <c r="D2993" s="5" t="s">
        <v>366</v>
      </c>
      <c r="E2993" s="5"/>
      <c r="G2993" s="5"/>
      <c r="H2993" s="5"/>
    </row>
    <row r="2994" spans="1:8" x14ac:dyDescent="0.2">
      <c r="A2994" s="5" t="s">
        <v>3533</v>
      </c>
      <c r="B2994" s="5" t="s">
        <v>3273</v>
      </c>
      <c r="C2994" s="8">
        <v>96</v>
      </c>
      <c r="D2994" s="5" t="s">
        <v>42</v>
      </c>
      <c r="E2994" s="5"/>
      <c r="G2994" s="5"/>
      <c r="H2994" s="5"/>
    </row>
    <row r="2995" spans="1:8" x14ac:dyDescent="0.2">
      <c r="A2995" s="5"/>
      <c r="B2995" s="5" t="s">
        <v>3375</v>
      </c>
      <c r="C2995" s="5"/>
      <c r="D2995" s="5" t="s">
        <v>366</v>
      </c>
      <c r="E2995" s="5"/>
      <c r="G2995" s="5"/>
      <c r="H2995" s="5"/>
    </row>
    <row r="2996" spans="1:8" x14ac:dyDescent="0.2">
      <c r="A2996" s="5" t="s">
        <v>3534</v>
      </c>
      <c r="B2996" s="5" t="s">
        <v>3273</v>
      </c>
      <c r="C2996" s="8">
        <v>13</v>
      </c>
      <c r="D2996" s="5" t="s">
        <v>42</v>
      </c>
      <c r="E2996" s="5"/>
      <c r="G2996" s="5"/>
      <c r="H2996" s="5"/>
    </row>
    <row r="2997" spans="1:8" x14ac:dyDescent="0.2">
      <c r="A2997" s="5"/>
      <c r="B2997" s="5" t="s">
        <v>3379</v>
      </c>
      <c r="C2997" s="5"/>
      <c r="D2997" s="5" t="s">
        <v>366</v>
      </c>
      <c r="E2997" s="5"/>
      <c r="G2997" s="5"/>
      <c r="H2997" s="5"/>
    </row>
    <row r="2998" spans="1:8" x14ac:dyDescent="0.2">
      <c r="A2998" s="5" t="s">
        <v>3535</v>
      </c>
      <c r="B2998" s="5" t="s">
        <v>3273</v>
      </c>
      <c r="C2998" s="8">
        <v>33</v>
      </c>
      <c r="D2998" s="5" t="s">
        <v>42</v>
      </c>
      <c r="E2998" s="5"/>
      <c r="G2998" s="5"/>
      <c r="H2998" s="5"/>
    </row>
    <row r="2999" spans="1:8" x14ac:dyDescent="0.2">
      <c r="A2999" s="5"/>
      <c r="B2999" s="5" t="s">
        <v>3381</v>
      </c>
      <c r="C2999" s="5"/>
      <c r="D2999" s="5" t="s">
        <v>366</v>
      </c>
      <c r="E2999" s="5"/>
      <c r="G2999" s="5"/>
      <c r="H2999" s="5"/>
    </row>
    <row r="3000" spans="1:8" x14ac:dyDescent="0.2">
      <c r="A3000" s="5" t="s">
        <v>3536</v>
      </c>
      <c r="B3000" s="5" t="s">
        <v>2693</v>
      </c>
      <c r="C3000" s="8">
        <v>17</v>
      </c>
      <c r="D3000" s="5" t="s">
        <v>42</v>
      </c>
      <c r="E3000" s="5"/>
      <c r="G3000" s="5"/>
      <c r="H3000" s="5"/>
    </row>
    <row r="3001" spans="1:8" x14ac:dyDescent="0.2">
      <c r="A3001" s="5" t="s">
        <v>3537</v>
      </c>
      <c r="B3001" s="5" t="s">
        <v>2689</v>
      </c>
      <c r="C3001" s="8">
        <v>10</v>
      </c>
      <c r="D3001" s="5" t="s">
        <v>42</v>
      </c>
      <c r="E3001" s="5"/>
      <c r="G3001" s="5"/>
      <c r="H3001" s="5"/>
    </row>
    <row r="3002" spans="1:8" x14ac:dyDescent="0.2">
      <c r="A3002" s="5" t="s">
        <v>3538</v>
      </c>
      <c r="B3002" s="5" t="s">
        <v>3273</v>
      </c>
      <c r="C3002" s="8">
        <v>92</v>
      </c>
      <c r="D3002" s="5" t="s">
        <v>42</v>
      </c>
      <c r="E3002" s="5"/>
      <c r="G3002" s="5"/>
      <c r="H3002" s="5"/>
    </row>
    <row r="3003" spans="1:8" x14ac:dyDescent="0.2">
      <c r="A3003" s="5" t="s">
        <v>3539</v>
      </c>
      <c r="B3003" s="5" t="s">
        <v>3378</v>
      </c>
      <c r="C3003" s="8">
        <v>5</v>
      </c>
      <c r="D3003" s="5" t="s">
        <v>155</v>
      </c>
      <c r="E3003" s="5"/>
      <c r="G3003" s="5"/>
      <c r="H3003" s="5"/>
    </row>
    <row r="3004" spans="1:8" x14ac:dyDescent="0.2">
      <c r="A3004" s="5" t="s">
        <v>3540</v>
      </c>
      <c r="B3004" s="5" t="s">
        <v>3385</v>
      </c>
      <c r="C3004" s="8">
        <v>9</v>
      </c>
      <c r="D3004" s="5" t="s">
        <v>155</v>
      </c>
      <c r="E3004" s="5"/>
      <c r="G3004" s="5"/>
      <c r="H3004" s="5"/>
    </row>
    <row r="3005" spans="1:8" x14ac:dyDescent="0.2">
      <c r="A3005" s="5"/>
      <c r="B3005" s="5" t="s">
        <v>3394</v>
      </c>
      <c r="C3005" s="5"/>
      <c r="D3005" s="5" t="s">
        <v>366</v>
      </c>
      <c r="E3005" s="5"/>
      <c r="G3005" s="5"/>
      <c r="H3005" s="5"/>
    </row>
    <row r="3006" spans="1:8" x14ac:dyDescent="0.2">
      <c r="A3006" s="5" t="s">
        <v>3541</v>
      </c>
      <c r="B3006" s="5" t="s">
        <v>3273</v>
      </c>
      <c r="C3006" s="8">
        <v>7</v>
      </c>
      <c r="D3006" s="5" t="s">
        <v>42</v>
      </c>
      <c r="E3006" s="5"/>
      <c r="G3006" s="5"/>
      <c r="H3006" s="5"/>
    </row>
    <row r="3007" spans="1:8" x14ac:dyDescent="0.2">
      <c r="A3007" s="5"/>
      <c r="B3007" s="5" t="s">
        <v>3397</v>
      </c>
      <c r="C3007" s="5"/>
      <c r="D3007" s="5" t="s">
        <v>366</v>
      </c>
      <c r="E3007" s="5"/>
      <c r="G3007" s="5"/>
      <c r="H3007" s="5"/>
    </row>
    <row r="3008" spans="1:8" x14ac:dyDescent="0.2">
      <c r="A3008" s="5" t="s">
        <v>3542</v>
      </c>
      <c r="B3008" s="5" t="s">
        <v>2693</v>
      </c>
      <c r="C3008" s="8">
        <v>43</v>
      </c>
      <c r="D3008" s="5" t="s">
        <v>42</v>
      </c>
      <c r="E3008" s="5"/>
      <c r="G3008" s="5"/>
      <c r="H3008" s="5"/>
    </row>
    <row r="3009" spans="1:8" x14ac:dyDescent="0.2">
      <c r="A3009" s="5" t="s">
        <v>3543</v>
      </c>
      <c r="B3009" s="5" t="s">
        <v>2689</v>
      </c>
      <c r="C3009" s="8">
        <v>30</v>
      </c>
      <c r="D3009" s="5" t="s">
        <v>42</v>
      </c>
      <c r="E3009" s="5"/>
      <c r="G3009" s="5"/>
      <c r="H3009" s="5"/>
    </row>
    <row r="3010" spans="1:8" x14ac:dyDescent="0.2">
      <c r="A3010" s="5" t="s">
        <v>3544</v>
      </c>
      <c r="B3010" s="5" t="s">
        <v>3273</v>
      </c>
      <c r="C3010" s="8">
        <v>15</v>
      </c>
      <c r="D3010" s="5" t="s">
        <v>42</v>
      </c>
      <c r="E3010" s="5"/>
      <c r="G3010" s="5"/>
      <c r="H3010" s="5"/>
    </row>
    <row r="3011" spans="1:8" x14ac:dyDescent="0.2">
      <c r="A3011" s="5"/>
      <c r="B3011" s="5" t="s">
        <v>3401</v>
      </c>
      <c r="C3011" s="5"/>
      <c r="D3011" s="5" t="s">
        <v>366</v>
      </c>
      <c r="E3011" s="5"/>
      <c r="G3011" s="5"/>
      <c r="H3011" s="5"/>
    </row>
    <row r="3012" spans="1:8" x14ac:dyDescent="0.2">
      <c r="A3012" s="5" t="s">
        <v>3545</v>
      </c>
      <c r="B3012" s="5" t="s">
        <v>2683</v>
      </c>
      <c r="C3012" s="8">
        <v>29</v>
      </c>
      <c r="D3012" s="5" t="s">
        <v>42</v>
      </c>
      <c r="E3012" s="5"/>
      <c r="G3012" s="5"/>
      <c r="H3012" s="5"/>
    </row>
    <row r="3013" spans="1:8" x14ac:dyDescent="0.2">
      <c r="A3013" s="5"/>
      <c r="B3013" s="5" t="s">
        <v>3412</v>
      </c>
      <c r="C3013" s="5"/>
      <c r="D3013" s="5" t="s">
        <v>322</v>
      </c>
      <c r="E3013" s="5"/>
      <c r="G3013" s="5"/>
      <c r="H3013" s="5"/>
    </row>
    <row r="3014" spans="1:8" x14ac:dyDescent="0.2">
      <c r="A3014" s="5"/>
      <c r="B3014" s="5" t="s">
        <v>3413</v>
      </c>
      <c r="C3014" s="5"/>
      <c r="D3014" s="5" t="s">
        <v>366</v>
      </c>
      <c r="E3014" s="5"/>
      <c r="G3014" s="5"/>
      <c r="H3014" s="5"/>
    </row>
    <row r="3015" spans="1:8" x14ac:dyDescent="0.2">
      <c r="A3015" s="5" t="s">
        <v>3546</v>
      </c>
      <c r="B3015" s="5" t="s">
        <v>2689</v>
      </c>
      <c r="C3015" s="8">
        <v>164</v>
      </c>
      <c r="D3015" s="5" t="s">
        <v>42</v>
      </c>
      <c r="E3015" s="5"/>
      <c r="G3015" s="5"/>
      <c r="H3015" s="5"/>
    </row>
    <row r="3016" spans="1:8" x14ac:dyDescent="0.2">
      <c r="A3016" s="5"/>
      <c r="B3016" s="5" t="s">
        <v>3547</v>
      </c>
      <c r="C3016" s="5"/>
      <c r="D3016" s="5" t="s">
        <v>366</v>
      </c>
      <c r="E3016" s="5"/>
      <c r="G3016" s="5"/>
      <c r="H3016" s="5"/>
    </row>
    <row r="3017" spans="1:8" x14ac:dyDescent="0.2">
      <c r="A3017" s="5" t="s">
        <v>3548</v>
      </c>
      <c r="B3017" s="5" t="s">
        <v>2689</v>
      </c>
      <c r="C3017" s="8">
        <v>7</v>
      </c>
      <c r="D3017" s="5" t="s">
        <v>42</v>
      </c>
      <c r="E3017" s="5"/>
      <c r="G3017" s="5"/>
      <c r="H3017" s="5"/>
    </row>
    <row r="3018" spans="1:8" x14ac:dyDescent="0.2">
      <c r="A3018" s="5"/>
      <c r="B3018" s="5" t="s">
        <v>3415</v>
      </c>
      <c r="C3018" s="5"/>
      <c r="D3018" s="5" t="s">
        <v>366</v>
      </c>
      <c r="E3018" s="5"/>
      <c r="G3018" s="5"/>
      <c r="H3018" s="5"/>
    </row>
    <row r="3019" spans="1:8" x14ac:dyDescent="0.2">
      <c r="A3019" s="5" t="s">
        <v>3549</v>
      </c>
      <c r="B3019" s="5" t="s">
        <v>2689</v>
      </c>
      <c r="C3019" s="8">
        <v>14</v>
      </c>
      <c r="D3019" s="5" t="s">
        <v>42</v>
      </c>
      <c r="E3019" s="5"/>
      <c r="G3019" s="5"/>
      <c r="H3019" s="5"/>
    </row>
    <row r="3020" spans="1:8" x14ac:dyDescent="0.2">
      <c r="A3020" s="5"/>
      <c r="B3020" s="5" t="s">
        <v>3417</v>
      </c>
      <c r="C3020" s="5"/>
      <c r="D3020" s="5" t="s">
        <v>15</v>
      </c>
      <c r="E3020" s="5"/>
      <c r="G3020" s="5"/>
      <c r="H3020" s="5"/>
    </row>
    <row r="3021" spans="1:8" x14ac:dyDescent="0.2">
      <c r="A3021" s="5"/>
      <c r="B3021" s="5" t="s">
        <v>3348</v>
      </c>
      <c r="C3021" s="5"/>
      <c r="D3021" s="5" t="s">
        <v>322</v>
      </c>
      <c r="E3021" s="5"/>
      <c r="G3021" s="5"/>
      <c r="H3021" s="5"/>
    </row>
    <row r="3022" spans="1:8" x14ac:dyDescent="0.2">
      <c r="A3022" s="5"/>
      <c r="B3022" s="5" t="s">
        <v>3418</v>
      </c>
      <c r="C3022" s="5"/>
      <c r="D3022" s="5" t="s">
        <v>366</v>
      </c>
      <c r="E3022" s="5"/>
      <c r="G3022" s="5"/>
      <c r="H3022" s="5"/>
    </row>
    <row r="3023" spans="1:8" x14ac:dyDescent="0.2">
      <c r="A3023" s="5" t="s">
        <v>3550</v>
      </c>
      <c r="B3023" s="5" t="s">
        <v>2683</v>
      </c>
      <c r="C3023" s="8">
        <v>213</v>
      </c>
      <c r="D3023" s="5" t="s">
        <v>42</v>
      </c>
      <c r="E3023" s="5"/>
      <c r="G3023" s="5"/>
      <c r="H3023" s="5"/>
    </row>
    <row r="3024" spans="1:8" x14ac:dyDescent="0.2">
      <c r="A3024" s="5" t="s">
        <v>3551</v>
      </c>
      <c r="B3024" s="5" t="s">
        <v>2693</v>
      </c>
      <c r="C3024" s="8">
        <v>69</v>
      </c>
      <c r="D3024" s="5" t="s">
        <v>42</v>
      </c>
      <c r="E3024" s="5"/>
      <c r="G3024" s="5"/>
      <c r="H3024" s="5"/>
    </row>
    <row r="3025" spans="1:8" x14ac:dyDescent="0.2">
      <c r="A3025" s="5" t="s">
        <v>3552</v>
      </c>
      <c r="B3025" s="5" t="s">
        <v>2689</v>
      </c>
      <c r="C3025" s="8">
        <v>60</v>
      </c>
      <c r="D3025" s="5" t="s">
        <v>42</v>
      </c>
      <c r="E3025" s="5"/>
      <c r="G3025" s="5"/>
      <c r="H3025" s="5"/>
    </row>
    <row r="3026" spans="1:8" x14ac:dyDescent="0.2">
      <c r="A3026" s="5" t="s">
        <v>3553</v>
      </c>
      <c r="B3026" s="5" t="s">
        <v>3273</v>
      </c>
      <c r="C3026" s="8">
        <v>143</v>
      </c>
      <c r="D3026" s="5" t="s">
        <v>42</v>
      </c>
      <c r="E3026" s="5"/>
      <c r="G3026" s="5"/>
      <c r="H3026" s="5"/>
    </row>
    <row r="3027" spans="1:8" x14ac:dyDescent="0.2">
      <c r="A3027" s="5" t="s">
        <v>3554</v>
      </c>
      <c r="B3027" s="5" t="s">
        <v>3555</v>
      </c>
      <c r="C3027" s="8">
        <v>25</v>
      </c>
      <c r="D3027" s="5" t="s">
        <v>155</v>
      </c>
      <c r="E3027" s="5"/>
      <c r="G3027" s="5"/>
      <c r="H3027" s="5"/>
    </row>
    <row r="3028" spans="1:8" x14ac:dyDescent="0.2">
      <c r="A3028" s="5" t="s">
        <v>3556</v>
      </c>
      <c r="B3028" s="5" t="s">
        <v>3557</v>
      </c>
      <c r="C3028" s="8">
        <v>4</v>
      </c>
      <c r="D3028" s="5" t="s">
        <v>155</v>
      </c>
      <c r="E3028" s="5"/>
      <c r="G3028" s="5"/>
      <c r="H3028" s="5"/>
    </row>
    <row r="3029" spans="1:8" x14ac:dyDescent="0.2">
      <c r="A3029" s="5" t="s">
        <v>3558</v>
      </c>
      <c r="B3029" s="5" t="s">
        <v>3559</v>
      </c>
      <c r="C3029" s="8">
        <v>4</v>
      </c>
      <c r="D3029" s="5" t="s">
        <v>155</v>
      </c>
      <c r="E3029" s="5"/>
      <c r="G3029" s="5"/>
      <c r="H3029" s="5"/>
    </row>
    <row r="3030" spans="1:8" x14ac:dyDescent="0.2">
      <c r="A3030" s="5" t="s">
        <v>3560</v>
      </c>
      <c r="B3030" s="5" t="s">
        <v>3561</v>
      </c>
      <c r="C3030" s="8">
        <v>4</v>
      </c>
      <c r="D3030" s="5" t="s">
        <v>155</v>
      </c>
      <c r="E3030" s="5"/>
      <c r="G3030" s="5"/>
      <c r="H3030" s="5"/>
    </row>
    <row r="3031" spans="1:8" x14ac:dyDescent="0.2">
      <c r="A3031" s="5" t="s">
        <v>3562</v>
      </c>
      <c r="B3031" s="5" t="s">
        <v>3563</v>
      </c>
      <c r="C3031" s="8">
        <v>4</v>
      </c>
      <c r="D3031" s="5" t="s">
        <v>155</v>
      </c>
      <c r="E3031" s="5"/>
      <c r="G3031" s="5"/>
      <c r="H3031" s="5"/>
    </row>
    <row r="3032" spans="1:8" x14ac:dyDescent="0.2">
      <c r="A3032" s="5" t="s">
        <v>3564</v>
      </c>
      <c r="B3032" s="5" t="s">
        <v>3565</v>
      </c>
      <c r="C3032" s="8">
        <v>4</v>
      </c>
      <c r="D3032" s="5" t="s">
        <v>155</v>
      </c>
      <c r="E3032" s="5"/>
      <c r="G3032" s="5"/>
      <c r="H3032" s="5"/>
    </row>
    <row r="3033" spans="1:8" x14ac:dyDescent="0.2">
      <c r="A3033" s="5" t="s">
        <v>3566</v>
      </c>
      <c r="B3033" s="5" t="s">
        <v>3434</v>
      </c>
      <c r="C3033" s="8">
        <v>4</v>
      </c>
      <c r="D3033" s="5" t="s">
        <v>155</v>
      </c>
      <c r="E3033" s="5"/>
      <c r="G3033" s="5"/>
      <c r="H3033" s="5"/>
    </row>
    <row r="3034" spans="1:8" x14ac:dyDescent="0.2">
      <c r="A3034" s="5" t="s">
        <v>3567</v>
      </c>
      <c r="B3034" s="5" t="s">
        <v>3568</v>
      </c>
      <c r="C3034" s="8">
        <v>5</v>
      </c>
      <c r="D3034" s="5" t="s">
        <v>155</v>
      </c>
      <c r="E3034" s="5"/>
      <c r="G3034" s="5"/>
      <c r="H3034" s="5"/>
    </row>
    <row r="3035" spans="1:8" x14ac:dyDescent="0.2">
      <c r="A3035" s="5"/>
      <c r="B3035" s="5" t="s">
        <v>3429</v>
      </c>
      <c r="C3035" s="5"/>
      <c r="D3035" s="5" t="s">
        <v>366</v>
      </c>
      <c r="E3035" s="5"/>
      <c r="G3035" s="5"/>
      <c r="H3035" s="5"/>
    </row>
    <row r="3036" spans="1:8" x14ac:dyDescent="0.2">
      <c r="A3036" s="5" t="s">
        <v>3569</v>
      </c>
      <c r="B3036" s="5" t="s">
        <v>2683</v>
      </c>
      <c r="C3036" s="8">
        <v>129</v>
      </c>
      <c r="D3036" s="5" t="s">
        <v>42</v>
      </c>
      <c r="E3036" s="5"/>
      <c r="G3036" s="5"/>
      <c r="H3036" s="5"/>
    </row>
    <row r="3037" spans="1:8" x14ac:dyDescent="0.2">
      <c r="A3037" s="5" t="s">
        <v>3570</v>
      </c>
      <c r="B3037" s="5" t="s">
        <v>2693</v>
      </c>
      <c r="C3037" s="8">
        <v>61</v>
      </c>
      <c r="D3037" s="5" t="s">
        <v>42</v>
      </c>
      <c r="E3037" s="5"/>
      <c r="G3037" s="5"/>
      <c r="H3037" s="5"/>
    </row>
    <row r="3038" spans="1:8" x14ac:dyDescent="0.2">
      <c r="A3038" s="5" t="s">
        <v>3571</v>
      </c>
      <c r="B3038" s="5" t="s">
        <v>2689</v>
      </c>
      <c r="C3038" s="8">
        <v>76</v>
      </c>
      <c r="D3038" s="5" t="s">
        <v>42</v>
      </c>
      <c r="E3038" s="5"/>
      <c r="G3038" s="5"/>
      <c r="H3038" s="5"/>
    </row>
    <row r="3039" spans="1:8" x14ac:dyDescent="0.2">
      <c r="A3039" s="5" t="s">
        <v>3572</v>
      </c>
      <c r="B3039" s="5" t="s">
        <v>3273</v>
      </c>
      <c r="C3039" s="8">
        <v>15</v>
      </c>
      <c r="D3039" s="5" t="s">
        <v>42</v>
      </c>
      <c r="E3039" s="5"/>
      <c r="G3039" s="5"/>
      <c r="H3039" s="5"/>
    </row>
    <row r="3040" spans="1:8" x14ac:dyDescent="0.2">
      <c r="A3040" s="5" t="s">
        <v>3573</v>
      </c>
      <c r="B3040" s="5" t="s">
        <v>3574</v>
      </c>
      <c r="C3040" s="8">
        <v>4</v>
      </c>
      <c r="D3040" s="5" t="s">
        <v>155</v>
      </c>
      <c r="E3040" s="5"/>
      <c r="G3040" s="5"/>
      <c r="H3040" s="5"/>
    </row>
    <row r="3041" spans="1:8" x14ac:dyDescent="0.2">
      <c r="A3041" s="5" t="s">
        <v>3575</v>
      </c>
      <c r="B3041" s="5" t="s">
        <v>3434</v>
      </c>
      <c r="C3041" s="8">
        <v>4</v>
      </c>
      <c r="D3041" s="5" t="s">
        <v>155</v>
      </c>
      <c r="E3041" s="5"/>
      <c r="G3041" s="5"/>
      <c r="H3041" s="5"/>
    </row>
    <row r="3042" spans="1:8" x14ac:dyDescent="0.2">
      <c r="A3042" s="5" t="s">
        <v>3576</v>
      </c>
      <c r="B3042" s="5" t="s">
        <v>3424</v>
      </c>
      <c r="C3042" s="8">
        <v>4</v>
      </c>
      <c r="D3042" s="5" t="s">
        <v>155</v>
      </c>
      <c r="E3042" s="5"/>
      <c r="G3042" s="5"/>
      <c r="H3042" s="5"/>
    </row>
    <row r="3043" spans="1:8" x14ac:dyDescent="0.2">
      <c r="A3043" s="5" t="s">
        <v>3577</v>
      </c>
      <c r="B3043" s="5" t="s">
        <v>3578</v>
      </c>
      <c r="C3043" s="8">
        <v>5</v>
      </c>
      <c r="D3043" s="5" t="s">
        <v>155</v>
      </c>
      <c r="E3043" s="5"/>
      <c r="G3043" s="5"/>
      <c r="H3043" s="5"/>
    </row>
    <row r="3044" spans="1:8" x14ac:dyDescent="0.2">
      <c r="A3044" s="5"/>
      <c r="B3044" s="5" t="s">
        <v>3441</v>
      </c>
      <c r="C3044" s="5"/>
      <c r="D3044" s="5" t="s">
        <v>366</v>
      </c>
      <c r="E3044" s="5"/>
      <c r="G3044" s="5"/>
      <c r="H3044" s="5"/>
    </row>
    <row r="3045" spans="1:8" x14ac:dyDescent="0.2">
      <c r="A3045" s="5" t="s">
        <v>3579</v>
      </c>
      <c r="B3045" s="5" t="s">
        <v>2683</v>
      </c>
      <c r="C3045" s="8">
        <v>48</v>
      </c>
      <c r="D3045" s="5" t="s">
        <v>42</v>
      </c>
      <c r="E3045" s="5"/>
      <c r="G3045" s="5"/>
      <c r="H3045" s="5"/>
    </row>
    <row r="3046" spans="1:8" x14ac:dyDescent="0.2">
      <c r="A3046" s="5" t="s">
        <v>3580</v>
      </c>
      <c r="B3046" s="5" t="s">
        <v>3273</v>
      </c>
      <c r="C3046" s="8">
        <v>16</v>
      </c>
      <c r="D3046" s="5" t="s">
        <v>42</v>
      </c>
      <c r="E3046" s="5"/>
      <c r="G3046" s="5"/>
      <c r="H3046" s="5"/>
    </row>
    <row r="3047" spans="1:8" x14ac:dyDescent="0.2">
      <c r="A3047" s="5"/>
      <c r="B3047" s="5" t="s">
        <v>3581</v>
      </c>
      <c r="C3047" s="5"/>
      <c r="D3047" s="5" t="s">
        <v>366</v>
      </c>
      <c r="E3047" s="5"/>
      <c r="G3047" s="5"/>
      <c r="H3047" s="5"/>
    </row>
    <row r="3048" spans="1:8" x14ac:dyDescent="0.2">
      <c r="A3048" s="5" t="s">
        <v>3582</v>
      </c>
      <c r="B3048" s="5" t="s">
        <v>2683</v>
      </c>
      <c r="C3048" s="8">
        <v>7</v>
      </c>
      <c r="D3048" s="5" t="s">
        <v>42</v>
      </c>
      <c r="E3048" s="5"/>
      <c r="G3048" s="5"/>
      <c r="H3048" s="5"/>
    </row>
    <row r="3049" spans="1:8" x14ac:dyDescent="0.2">
      <c r="A3049" s="5" t="s">
        <v>3583</v>
      </c>
      <c r="B3049" s="5" t="s">
        <v>2693</v>
      </c>
      <c r="C3049" s="8">
        <v>9</v>
      </c>
      <c r="D3049" s="5" t="s">
        <v>42</v>
      </c>
      <c r="E3049" s="5"/>
      <c r="G3049" s="5"/>
      <c r="H3049" s="5"/>
    </row>
    <row r="3050" spans="1:8" x14ac:dyDescent="0.2">
      <c r="A3050" s="5"/>
      <c r="B3050" s="5" t="s">
        <v>3445</v>
      </c>
      <c r="C3050" s="5"/>
      <c r="D3050" s="5" t="s">
        <v>366</v>
      </c>
      <c r="E3050" s="5"/>
      <c r="G3050" s="5"/>
      <c r="H3050" s="5"/>
    </row>
    <row r="3051" spans="1:8" x14ac:dyDescent="0.2">
      <c r="A3051" s="5" t="s">
        <v>3584</v>
      </c>
      <c r="B3051" s="5" t="s">
        <v>2683</v>
      </c>
      <c r="C3051" s="8">
        <v>12</v>
      </c>
      <c r="D3051" s="5" t="s">
        <v>42</v>
      </c>
      <c r="E3051" s="5"/>
      <c r="G3051" s="5"/>
      <c r="H3051" s="5"/>
    </row>
    <row r="3052" spans="1:8" x14ac:dyDescent="0.2">
      <c r="A3052" s="5" t="s">
        <v>3585</v>
      </c>
      <c r="B3052" s="5" t="s">
        <v>2693</v>
      </c>
      <c r="C3052" s="8">
        <v>14</v>
      </c>
      <c r="D3052" s="5" t="s">
        <v>42</v>
      </c>
      <c r="E3052" s="5"/>
      <c r="G3052" s="5"/>
      <c r="H3052" s="5"/>
    </row>
    <row r="3053" spans="1:8" x14ac:dyDescent="0.2">
      <c r="A3053" s="5"/>
      <c r="B3053" s="5" t="s">
        <v>3450</v>
      </c>
      <c r="C3053" s="5"/>
      <c r="D3053" s="5" t="s">
        <v>366</v>
      </c>
      <c r="E3053" s="5"/>
      <c r="G3053" s="5"/>
      <c r="H3053" s="5"/>
    </row>
    <row r="3054" spans="1:8" x14ac:dyDescent="0.2">
      <c r="A3054" s="5" t="s">
        <v>3586</v>
      </c>
      <c r="B3054" s="5" t="s">
        <v>2683</v>
      </c>
      <c r="C3054" s="8">
        <v>16</v>
      </c>
      <c r="D3054" s="5" t="s">
        <v>42</v>
      </c>
      <c r="E3054" s="5"/>
      <c r="G3054" s="5"/>
      <c r="H3054" s="5"/>
    </row>
    <row r="3055" spans="1:8" x14ac:dyDescent="0.2">
      <c r="A3055" s="5" t="s">
        <v>3587</v>
      </c>
      <c r="B3055" s="5" t="s">
        <v>2689</v>
      </c>
      <c r="C3055" s="8">
        <v>11</v>
      </c>
      <c r="D3055" s="5" t="s">
        <v>42</v>
      </c>
      <c r="E3055" s="5"/>
      <c r="G3055" s="5"/>
      <c r="H3055" s="5"/>
    </row>
    <row r="3056" spans="1:8" x14ac:dyDescent="0.2">
      <c r="A3056" s="5" t="s">
        <v>3588</v>
      </c>
      <c r="B3056" s="5" t="s">
        <v>3273</v>
      </c>
      <c r="C3056" s="8">
        <v>12</v>
      </c>
      <c r="D3056" s="5" t="s">
        <v>42</v>
      </c>
      <c r="E3056" s="5"/>
      <c r="G3056" s="5"/>
      <c r="H3056" s="5"/>
    </row>
    <row r="3057" spans="1:8" x14ac:dyDescent="0.2">
      <c r="A3057" s="5" t="s">
        <v>3589</v>
      </c>
      <c r="B3057" s="5" t="s">
        <v>3565</v>
      </c>
      <c r="C3057" s="8">
        <v>3</v>
      </c>
      <c r="D3057" s="5" t="s">
        <v>155</v>
      </c>
      <c r="E3057" s="5"/>
      <c r="G3057" s="5"/>
      <c r="H3057" s="5"/>
    </row>
    <row r="3058" spans="1:8" x14ac:dyDescent="0.2">
      <c r="A3058" s="5"/>
      <c r="B3058" s="5" t="s">
        <v>3453</v>
      </c>
      <c r="C3058" s="5"/>
      <c r="D3058" s="5" t="s">
        <v>366</v>
      </c>
      <c r="E3058" s="5"/>
      <c r="G3058" s="5"/>
      <c r="H3058" s="5"/>
    </row>
    <row r="3059" spans="1:8" x14ac:dyDescent="0.2">
      <c r="A3059" s="5" t="s">
        <v>3590</v>
      </c>
      <c r="B3059" s="5" t="s">
        <v>2683</v>
      </c>
      <c r="C3059" s="8">
        <v>22</v>
      </c>
      <c r="D3059" s="5" t="s">
        <v>42</v>
      </c>
      <c r="E3059" s="5"/>
      <c r="G3059" s="5"/>
      <c r="H3059" s="5"/>
    </row>
    <row r="3060" spans="1:8" x14ac:dyDescent="0.2">
      <c r="A3060" s="5" t="s">
        <v>3591</v>
      </c>
      <c r="B3060" s="5" t="s">
        <v>2693</v>
      </c>
      <c r="C3060" s="8">
        <v>30</v>
      </c>
      <c r="D3060" s="5" t="s">
        <v>42</v>
      </c>
      <c r="E3060" s="5"/>
      <c r="G3060" s="5"/>
      <c r="H3060" s="5"/>
    </row>
    <row r="3061" spans="1:8" x14ac:dyDescent="0.2">
      <c r="A3061" s="5" t="s">
        <v>3592</v>
      </c>
      <c r="B3061" s="5" t="s">
        <v>2689</v>
      </c>
      <c r="C3061" s="8">
        <v>30</v>
      </c>
      <c r="D3061" s="5" t="s">
        <v>42</v>
      </c>
      <c r="E3061" s="5"/>
      <c r="G3061" s="5"/>
      <c r="H3061" s="5"/>
    </row>
    <row r="3062" spans="1:8" x14ac:dyDescent="0.2">
      <c r="A3062" s="5" t="s">
        <v>3593</v>
      </c>
      <c r="B3062" s="5" t="s">
        <v>3273</v>
      </c>
      <c r="C3062" s="8">
        <v>24</v>
      </c>
      <c r="D3062" s="5" t="s">
        <v>42</v>
      </c>
      <c r="E3062" s="5"/>
      <c r="G3062" s="5"/>
      <c r="H3062" s="5"/>
    </row>
    <row r="3063" spans="1:8" x14ac:dyDescent="0.2">
      <c r="A3063" s="5"/>
      <c r="B3063" s="5" t="s">
        <v>3463</v>
      </c>
      <c r="C3063" s="5"/>
      <c r="D3063" s="5" t="s">
        <v>322</v>
      </c>
      <c r="E3063" s="5"/>
      <c r="G3063" s="5"/>
      <c r="H3063" s="5"/>
    </row>
    <row r="3064" spans="1:8" x14ac:dyDescent="0.2">
      <c r="A3064" s="5"/>
      <c r="B3064" s="5" t="s">
        <v>3464</v>
      </c>
      <c r="C3064" s="5"/>
      <c r="D3064" s="5" t="s">
        <v>366</v>
      </c>
      <c r="E3064" s="5"/>
      <c r="G3064" s="5"/>
      <c r="H3064" s="5"/>
    </row>
    <row r="3065" spans="1:8" x14ac:dyDescent="0.2">
      <c r="A3065" s="5" t="s">
        <v>3594</v>
      </c>
      <c r="B3065" s="5" t="s">
        <v>2683</v>
      </c>
      <c r="C3065" s="8">
        <v>218</v>
      </c>
      <c r="D3065" s="5" t="s">
        <v>42</v>
      </c>
      <c r="E3065" s="5"/>
      <c r="G3065" s="5"/>
      <c r="H3065" s="5"/>
    </row>
    <row r="3066" spans="1:8" x14ac:dyDescent="0.2">
      <c r="A3066" s="5" t="s">
        <v>3595</v>
      </c>
      <c r="B3066" s="5" t="s">
        <v>2693</v>
      </c>
      <c r="C3066" s="8">
        <v>54</v>
      </c>
      <c r="D3066" s="5" t="s">
        <v>42</v>
      </c>
      <c r="E3066" s="5"/>
      <c r="G3066" s="5"/>
      <c r="H3066" s="5"/>
    </row>
    <row r="3067" spans="1:8" x14ac:dyDescent="0.2">
      <c r="A3067" s="5" t="s">
        <v>3596</v>
      </c>
      <c r="B3067" s="5" t="s">
        <v>2689</v>
      </c>
      <c r="C3067" s="8">
        <v>65</v>
      </c>
      <c r="D3067" s="5" t="s">
        <v>42</v>
      </c>
      <c r="E3067" s="5"/>
      <c r="G3067" s="5"/>
      <c r="H3067" s="5"/>
    </row>
    <row r="3068" spans="1:8" x14ac:dyDescent="0.2">
      <c r="A3068" s="5" t="s">
        <v>3597</v>
      </c>
      <c r="B3068" s="5" t="s">
        <v>3273</v>
      </c>
      <c r="C3068" s="8">
        <v>84</v>
      </c>
      <c r="D3068" s="5" t="s">
        <v>42</v>
      </c>
      <c r="E3068" s="5"/>
      <c r="G3068" s="5"/>
      <c r="H3068" s="5"/>
    </row>
    <row r="3069" spans="1:8" x14ac:dyDescent="0.2">
      <c r="A3069" s="5"/>
      <c r="B3069" s="5" t="s">
        <v>3471</v>
      </c>
      <c r="C3069" s="5"/>
      <c r="D3069" s="5" t="s">
        <v>322</v>
      </c>
      <c r="E3069" s="5"/>
      <c r="G3069" s="5"/>
      <c r="H3069" s="5"/>
    </row>
    <row r="3070" spans="1:8" x14ac:dyDescent="0.2">
      <c r="A3070" s="5"/>
      <c r="B3070" s="5" t="s">
        <v>3472</v>
      </c>
      <c r="C3070" s="5"/>
      <c r="D3070" s="5" t="s">
        <v>366</v>
      </c>
      <c r="E3070" s="5"/>
      <c r="G3070" s="5"/>
      <c r="H3070" s="5"/>
    </row>
    <row r="3071" spans="1:8" x14ac:dyDescent="0.2">
      <c r="A3071" s="5" t="s">
        <v>3598</v>
      </c>
      <c r="B3071" s="5" t="s">
        <v>2693</v>
      </c>
      <c r="C3071" s="8">
        <v>21</v>
      </c>
      <c r="D3071" s="5" t="s">
        <v>42</v>
      </c>
      <c r="E3071" s="5"/>
      <c r="G3071" s="5"/>
      <c r="H3071" s="5"/>
    </row>
    <row r="3072" spans="1:8" x14ac:dyDescent="0.2">
      <c r="A3072" s="5" t="s">
        <v>3599</v>
      </c>
      <c r="B3072" s="5" t="s">
        <v>2689</v>
      </c>
      <c r="C3072" s="8">
        <v>26</v>
      </c>
      <c r="D3072" s="5" t="s">
        <v>42</v>
      </c>
      <c r="E3072" s="5"/>
      <c r="G3072" s="5"/>
      <c r="H3072" s="5"/>
    </row>
    <row r="3073" spans="1:8" x14ac:dyDescent="0.2">
      <c r="A3073" s="5" t="s">
        <v>3600</v>
      </c>
      <c r="B3073" s="5" t="s">
        <v>3601</v>
      </c>
      <c r="C3073" s="8">
        <v>4</v>
      </c>
      <c r="D3073" s="5" t="s">
        <v>155</v>
      </c>
      <c r="E3073" s="5"/>
      <c r="G3073" s="5"/>
      <c r="H3073" s="5"/>
    </row>
    <row r="3074" spans="1:8" x14ac:dyDescent="0.2">
      <c r="A3074" s="5"/>
      <c r="B3074" s="5" t="s">
        <v>3475</v>
      </c>
      <c r="C3074" s="5"/>
      <c r="D3074" s="5" t="s">
        <v>366</v>
      </c>
      <c r="E3074" s="5"/>
      <c r="G3074" s="5"/>
      <c r="H3074" s="5"/>
    </row>
    <row r="3075" spans="1:8" x14ac:dyDescent="0.2">
      <c r="A3075" s="5" t="s">
        <v>3602</v>
      </c>
      <c r="B3075" s="5" t="s">
        <v>3182</v>
      </c>
      <c r="C3075" s="8">
        <v>328</v>
      </c>
      <c r="D3075" s="5" t="s">
        <v>42</v>
      </c>
      <c r="E3075" s="5"/>
      <c r="G3075" s="5"/>
      <c r="H3075" s="5"/>
    </row>
    <row r="3076" spans="1:8" x14ac:dyDescent="0.2">
      <c r="A3076" s="5" t="s">
        <v>3603</v>
      </c>
      <c r="B3076" s="5" t="s">
        <v>2689</v>
      </c>
      <c r="C3076" s="8">
        <v>291</v>
      </c>
      <c r="D3076" s="5" t="s">
        <v>42</v>
      </c>
      <c r="E3076" s="5"/>
      <c r="G3076" s="5"/>
      <c r="H3076" s="5"/>
    </row>
    <row r="3077" spans="1:8" x14ac:dyDescent="0.2">
      <c r="A3077" s="5" t="s">
        <v>3604</v>
      </c>
      <c r="B3077" s="5" t="s">
        <v>3605</v>
      </c>
      <c r="C3077" s="8">
        <v>24</v>
      </c>
      <c r="D3077" s="5" t="s">
        <v>155</v>
      </c>
      <c r="E3077" s="5"/>
      <c r="G3077" s="5"/>
      <c r="H3077" s="5"/>
    </row>
    <row r="3078" spans="1:8" x14ac:dyDescent="0.2">
      <c r="A3078" s="5" t="s">
        <v>3606</v>
      </c>
      <c r="B3078" s="5" t="s">
        <v>3607</v>
      </c>
      <c r="C3078" s="8">
        <v>4</v>
      </c>
      <c r="D3078" s="5" t="s">
        <v>155</v>
      </c>
      <c r="E3078" s="5"/>
      <c r="G3078" s="5"/>
      <c r="H3078" s="5"/>
    </row>
    <row r="3079" spans="1:8" x14ac:dyDescent="0.2">
      <c r="A3079" s="5" t="s">
        <v>3608</v>
      </c>
      <c r="B3079" s="5" t="s">
        <v>3479</v>
      </c>
      <c r="C3079" s="8">
        <v>4</v>
      </c>
      <c r="D3079" s="5" t="s">
        <v>155</v>
      </c>
      <c r="E3079" s="5"/>
      <c r="G3079" s="5"/>
      <c r="H3079" s="5"/>
    </row>
    <row r="3080" spans="1:8" x14ac:dyDescent="0.2">
      <c r="A3080" s="5" t="s">
        <v>3609</v>
      </c>
      <c r="B3080" s="5" t="s">
        <v>3610</v>
      </c>
      <c r="C3080" s="8">
        <v>4</v>
      </c>
      <c r="D3080" s="5" t="s">
        <v>155</v>
      </c>
      <c r="E3080" s="5"/>
      <c r="G3080" s="5"/>
      <c r="H3080" s="5"/>
    </row>
    <row r="3081" spans="1:8" x14ac:dyDescent="0.2">
      <c r="A3081" s="5" t="s">
        <v>3611</v>
      </c>
      <c r="B3081" s="5" t="s">
        <v>3612</v>
      </c>
      <c r="C3081" s="8">
        <v>4</v>
      </c>
      <c r="D3081" s="5" t="s">
        <v>155</v>
      </c>
      <c r="E3081" s="5"/>
      <c r="G3081" s="5"/>
      <c r="H3081" s="5"/>
    </row>
    <row r="3082" spans="1:8" x14ac:dyDescent="0.2">
      <c r="A3082" s="5" t="s">
        <v>3613</v>
      </c>
      <c r="B3082" s="5" t="s">
        <v>3614</v>
      </c>
      <c r="C3082" s="8">
        <v>4</v>
      </c>
      <c r="D3082" s="5" t="s">
        <v>155</v>
      </c>
      <c r="E3082" s="5"/>
      <c r="G3082" s="5"/>
      <c r="H3082" s="5"/>
    </row>
    <row r="3083" spans="1:8" x14ac:dyDescent="0.2">
      <c r="A3083" s="5"/>
      <c r="B3083" s="5" t="s">
        <v>3615</v>
      </c>
      <c r="C3083" s="5"/>
      <c r="D3083" s="5" t="s">
        <v>366</v>
      </c>
      <c r="E3083" s="5"/>
      <c r="G3083" s="5"/>
      <c r="H3083" s="5"/>
    </row>
    <row r="3084" spans="1:8" x14ac:dyDescent="0.2">
      <c r="A3084" s="5" t="s">
        <v>3616</v>
      </c>
      <c r="B3084" s="5" t="s">
        <v>2683</v>
      </c>
      <c r="C3084" s="8">
        <v>16</v>
      </c>
      <c r="D3084" s="5" t="s">
        <v>42</v>
      </c>
      <c r="E3084" s="5"/>
      <c r="G3084" s="5"/>
      <c r="H3084" s="5"/>
    </row>
    <row r="3085" spans="1:8" x14ac:dyDescent="0.2">
      <c r="A3085" s="5"/>
      <c r="B3085" s="5" t="s">
        <v>3617</v>
      </c>
      <c r="C3085" s="5"/>
      <c r="D3085" s="5" t="s">
        <v>366</v>
      </c>
      <c r="E3085" s="5"/>
      <c r="G3085" s="5"/>
      <c r="H3085" s="5"/>
    </row>
    <row r="3086" spans="1:8" x14ac:dyDescent="0.2">
      <c r="A3086" s="5" t="s">
        <v>3618</v>
      </c>
      <c r="B3086" s="5" t="s">
        <v>2683</v>
      </c>
      <c r="C3086" s="8">
        <v>3</v>
      </c>
      <c r="D3086" s="5" t="s">
        <v>42</v>
      </c>
      <c r="E3086" s="5"/>
      <c r="G3086" s="5"/>
      <c r="H3086" s="5"/>
    </row>
    <row r="3087" spans="1:8" x14ac:dyDescent="0.2">
      <c r="A3087" s="5"/>
      <c r="B3087" s="5" t="s">
        <v>3619</v>
      </c>
      <c r="C3087" s="5"/>
      <c r="D3087" s="5" t="s">
        <v>366</v>
      </c>
      <c r="E3087" s="5"/>
      <c r="G3087" s="5"/>
      <c r="H3087" s="5"/>
    </row>
    <row r="3088" spans="1:8" x14ac:dyDescent="0.2">
      <c r="A3088" s="5" t="s">
        <v>3620</v>
      </c>
      <c r="B3088" s="5" t="s">
        <v>2683</v>
      </c>
      <c r="C3088" s="8">
        <v>14</v>
      </c>
      <c r="D3088" s="5" t="s">
        <v>42</v>
      </c>
      <c r="E3088" s="5"/>
      <c r="G3088" s="5"/>
      <c r="H3088" s="5"/>
    </row>
    <row r="3089" spans="1:8" x14ac:dyDescent="0.2">
      <c r="A3089" s="5"/>
      <c r="B3089" s="5" t="s">
        <v>3621</v>
      </c>
      <c r="C3089" s="5"/>
      <c r="D3089" s="5" t="s">
        <v>366</v>
      </c>
      <c r="E3089" s="5"/>
      <c r="G3089" s="5"/>
      <c r="H3089" s="5"/>
    </row>
    <row r="3090" spans="1:8" x14ac:dyDescent="0.2">
      <c r="A3090" s="5" t="s">
        <v>3622</v>
      </c>
      <c r="B3090" s="5" t="s">
        <v>2683</v>
      </c>
      <c r="C3090" s="8">
        <v>5</v>
      </c>
      <c r="D3090" s="5" t="s">
        <v>42</v>
      </c>
      <c r="E3090" s="5"/>
      <c r="G3090" s="5"/>
      <c r="H3090" s="5"/>
    </row>
    <row r="3091" spans="1:8" x14ac:dyDescent="0.2">
      <c r="A3091" s="5"/>
      <c r="B3091" s="5" t="s">
        <v>3623</v>
      </c>
      <c r="C3091" s="5"/>
      <c r="D3091" s="5" t="s">
        <v>366</v>
      </c>
      <c r="E3091" s="5"/>
      <c r="G3091" s="5"/>
      <c r="H3091" s="5"/>
    </row>
    <row r="3092" spans="1:8" x14ac:dyDescent="0.2">
      <c r="A3092" s="5" t="s">
        <v>3624</v>
      </c>
      <c r="B3092" s="5" t="s">
        <v>2683</v>
      </c>
      <c r="C3092" s="8">
        <v>26</v>
      </c>
      <c r="D3092" s="5" t="s">
        <v>42</v>
      </c>
      <c r="E3092" s="5"/>
      <c r="G3092" s="5"/>
      <c r="H3092" s="5"/>
    </row>
    <row r="3093" spans="1:8" x14ac:dyDescent="0.2">
      <c r="A3093" s="5"/>
      <c r="B3093" s="5" t="s">
        <v>3412</v>
      </c>
      <c r="C3093" s="5"/>
      <c r="D3093" s="5" t="s">
        <v>322</v>
      </c>
      <c r="E3093" s="5"/>
      <c r="G3093" s="5"/>
      <c r="H3093" s="5"/>
    </row>
    <row r="3094" spans="1:8" x14ac:dyDescent="0.2">
      <c r="A3094" s="5"/>
      <c r="B3094" s="5" t="s">
        <v>3482</v>
      </c>
      <c r="C3094" s="5"/>
      <c r="D3094" s="5" t="s">
        <v>366</v>
      </c>
      <c r="E3094" s="5"/>
      <c r="G3094" s="5"/>
      <c r="H3094" s="5"/>
    </row>
    <row r="3095" spans="1:8" x14ac:dyDescent="0.2">
      <c r="A3095" s="5" t="s">
        <v>3625</v>
      </c>
      <c r="B3095" s="5" t="s">
        <v>3182</v>
      </c>
      <c r="C3095" s="8">
        <v>49</v>
      </c>
      <c r="D3095" s="5" t="s">
        <v>42</v>
      </c>
      <c r="E3095" s="5"/>
      <c r="G3095" s="5"/>
      <c r="H3095" s="5"/>
    </row>
    <row r="3096" spans="1:8" x14ac:dyDescent="0.2">
      <c r="A3096" s="5" t="s">
        <v>3626</v>
      </c>
      <c r="B3096" s="5" t="s">
        <v>2689</v>
      </c>
      <c r="C3096" s="8">
        <v>54</v>
      </c>
      <c r="D3096" s="5" t="s">
        <v>42</v>
      </c>
      <c r="E3096" s="5"/>
      <c r="G3096" s="5"/>
      <c r="H3096" s="5"/>
    </row>
    <row r="3097" spans="1:8" x14ac:dyDescent="0.2">
      <c r="A3097" s="5" t="s">
        <v>3627</v>
      </c>
      <c r="B3097" s="5" t="s">
        <v>3273</v>
      </c>
      <c r="C3097" s="8">
        <v>20</v>
      </c>
      <c r="D3097" s="5" t="s">
        <v>42</v>
      </c>
      <c r="E3097" s="5"/>
      <c r="G3097" s="5"/>
      <c r="H3097" s="5"/>
    </row>
    <row r="3098" spans="1:8" x14ac:dyDescent="0.2">
      <c r="A3098" s="5"/>
      <c r="B3098" s="5" t="s">
        <v>3486</v>
      </c>
      <c r="C3098" s="5"/>
      <c r="D3098" s="5" t="s">
        <v>366</v>
      </c>
      <c r="E3098" s="5"/>
      <c r="G3098" s="5"/>
      <c r="H3098" s="5"/>
    </row>
    <row r="3099" spans="1:8" x14ac:dyDescent="0.2">
      <c r="A3099" s="5" t="s">
        <v>3628</v>
      </c>
      <c r="B3099" s="5" t="s">
        <v>3182</v>
      </c>
      <c r="C3099" s="8">
        <v>5</v>
      </c>
      <c r="D3099" s="5" t="s">
        <v>42</v>
      </c>
      <c r="E3099" s="5"/>
      <c r="G3099" s="5"/>
      <c r="H3099" s="5"/>
    </row>
    <row r="3100" spans="1:8" x14ac:dyDescent="0.2">
      <c r="A3100" s="5" t="s">
        <v>3629</v>
      </c>
      <c r="B3100" s="5" t="s">
        <v>2689</v>
      </c>
      <c r="C3100" s="8">
        <v>3</v>
      </c>
      <c r="D3100" s="5" t="s">
        <v>42</v>
      </c>
      <c r="E3100" s="5"/>
      <c r="G3100" s="5"/>
      <c r="H3100" s="5"/>
    </row>
    <row r="3101" spans="1:8" x14ac:dyDescent="0.2">
      <c r="A3101" s="5" t="s">
        <v>3630</v>
      </c>
      <c r="B3101" s="5" t="s">
        <v>3273</v>
      </c>
      <c r="C3101" s="8">
        <v>3</v>
      </c>
      <c r="D3101" s="5" t="s">
        <v>42</v>
      </c>
      <c r="E3101" s="5"/>
      <c r="G3101" s="5"/>
      <c r="H3101" s="5"/>
    </row>
    <row r="3102" spans="1:8" x14ac:dyDescent="0.2">
      <c r="A3102" s="5"/>
      <c r="B3102" s="5" t="s">
        <v>3492</v>
      </c>
      <c r="C3102" s="5"/>
      <c r="D3102" s="5" t="s">
        <v>322</v>
      </c>
      <c r="E3102" s="5"/>
      <c r="G3102" s="5"/>
      <c r="H3102" s="5"/>
    </row>
    <row r="3103" spans="1:8" x14ac:dyDescent="0.2">
      <c r="A3103" s="5"/>
      <c r="B3103" s="5" t="s">
        <v>3495</v>
      </c>
      <c r="C3103" s="5"/>
      <c r="D3103" s="5" t="s">
        <v>366</v>
      </c>
      <c r="E3103" s="5"/>
      <c r="G3103" s="5"/>
      <c r="H3103" s="5"/>
    </row>
    <row r="3104" spans="1:8" x14ac:dyDescent="0.2">
      <c r="A3104" s="5" t="s">
        <v>3631</v>
      </c>
      <c r="B3104" s="5" t="s">
        <v>2225</v>
      </c>
      <c r="C3104" s="8">
        <v>285</v>
      </c>
      <c r="D3104" s="5" t="s">
        <v>42</v>
      </c>
      <c r="E3104" s="5"/>
      <c r="G3104" s="5"/>
      <c r="H3104" s="5"/>
    </row>
    <row r="3105" spans="1:8" x14ac:dyDescent="0.2">
      <c r="A3105" s="5" t="s">
        <v>3632</v>
      </c>
      <c r="B3105" s="5" t="s">
        <v>3182</v>
      </c>
      <c r="C3105" s="8">
        <v>193</v>
      </c>
      <c r="D3105" s="5" t="s">
        <v>42</v>
      </c>
      <c r="E3105" s="5"/>
      <c r="G3105" s="5"/>
      <c r="H3105" s="5"/>
    </row>
    <row r="3106" spans="1:8" x14ac:dyDescent="0.2">
      <c r="A3106" s="5" t="s">
        <v>3633</v>
      </c>
      <c r="B3106" s="5" t="s">
        <v>3191</v>
      </c>
      <c r="C3106" s="8">
        <v>174</v>
      </c>
      <c r="D3106" s="5" t="s">
        <v>42</v>
      </c>
      <c r="E3106" s="5"/>
      <c r="G3106" s="5"/>
      <c r="H3106" s="5"/>
    </row>
    <row r="3107" spans="1:8" x14ac:dyDescent="0.2">
      <c r="A3107" s="5" t="s">
        <v>3634</v>
      </c>
      <c r="B3107" s="5" t="s">
        <v>3197</v>
      </c>
      <c r="C3107" s="8">
        <v>87</v>
      </c>
      <c r="D3107" s="5" t="s">
        <v>42</v>
      </c>
      <c r="E3107" s="5"/>
      <c r="G3107" s="5"/>
      <c r="H3107" s="5"/>
    </row>
    <row r="3108" spans="1:8" ht="22.5" x14ac:dyDescent="0.2">
      <c r="A3108" s="5" t="s">
        <v>3635</v>
      </c>
      <c r="B3108" s="10" t="s">
        <v>3636</v>
      </c>
      <c r="C3108" s="8">
        <v>2</v>
      </c>
      <c r="D3108" s="5" t="s">
        <v>155</v>
      </c>
      <c r="E3108" s="5"/>
      <c r="G3108" s="5"/>
      <c r="H3108" s="5"/>
    </row>
    <row r="3109" spans="1:8" x14ac:dyDescent="0.2">
      <c r="A3109" s="5"/>
      <c r="B3109" s="5" t="s">
        <v>3500</v>
      </c>
      <c r="C3109" s="5"/>
      <c r="D3109" s="5" t="s">
        <v>366</v>
      </c>
      <c r="E3109" s="5"/>
      <c r="G3109" s="5"/>
      <c r="H3109" s="5"/>
    </row>
    <row r="3110" spans="1:8" x14ac:dyDescent="0.2">
      <c r="A3110" s="5" t="s">
        <v>3637</v>
      </c>
      <c r="B3110" s="5" t="s">
        <v>2225</v>
      </c>
      <c r="C3110" s="8">
        <v>9</v>
      </c>
      <c r="D3110" s="5" t="s">
        <v>42</v>
      </c>
      <c r="E3110" s="5"/>
      <c r="G3110" s="5"/>
      <c r="H3110" s="5"/>
    </row>
    <row r="3111" spans="1:8" x14ac:dyDescent="0.2">
      <c r="A3111" s="5" t="s">
        <v>3638</v>
      </c>
      <c r="B3111" s="5" t="s">
        <v>3182</v>
      </c>
      <c r="C3111" s="8">
        <v>3</v>
      </c>
      <c r="D3111" s="5" t="s">
        <v>42</v>
      </c>
      <c r="E3111" s="5"/>
      <c r="G3111" s="5"/>
      <c r="H3111" s="5"/>
    </row>
    <row r="3112" spans="1:8" x14ac:dyDescent="0.2">
      <c r="A3112" s="5"/>
      <c r="B3112" s="5" t="s">
        <v>3504</v>
      </c>
      <c r="C3112" s="5"/>
      <c r="D3112" s="5" t="s">
        <v>15</v>
      </c>
      <c r="E3112" s="5"/>
      <c r="G3112" s="5"/>
      <c r="H3112" s="5"/>
    </row>
    <row r="3113" spans="1:8" x14ac:dyDescent="0.2">
      <c r="A3113" s="5"/>
      <c r="B3113" s="5" t="s">
        <v>41</v>
      </c>
      <c r="C3113" s="5"/>
      <c r="D3113" s="5" t="s">
        <v>322</v>
      </c>
      <c r="E3113" s="5"/>
      <c r="G3113" s="5"/>
      <c r="H3113" s="5"/>
    </row>
    <row r="3114" spans="1:8" x14ac:dyDescent="0.2">
      <c r="A3114" s="5" t="s">
        <v>3639</v>
      </c>
      <c r="B3114" s="5" t="s">
        <v>3506</v>
      </c>
      <c r="C3114" s="8">
        <v>1</v>
      </c>
      <c r="D3114" s="5" t="s">
        <v>162</v>
      </c>
      <c r="E3114" s="5"/>
      <c r="G3114" s="5"/>
      <c r="H3114" s="5"/>
    </row>
    <row r="3115" spans="1:8" x14ac:dyDescent="0.2">
      <c r="A3115" s="5"/>
      <c r="B3115" s="5" t="s">
        <v>3508</v>
      </c>
      <c r="C3115" s="5"/>
      <c r="D3115" s="5" t="s">
        <v>15</v>
      </c>
      <c r="E3115" s="5"/>
      <c r="G3115" s="5"/>
      <c r="H3115" s="5"/>
    </row>
    <row r="3116" spans="1:8" x14ac:dyDescent="0.2">
      <c r="A3116" s="5"/>
      <c r="B3116" s="5" t="s">
        <v>44</v>
      </c>
      <c r="C3116" s="5"/>
      <c r="D3116" s="5" t="s">
        <v>322</v>
      </c>
      <c r="E3116" s="5"/>
      <c r="G3116" s="5"/>
      <c r="H3116" s="5"/>
    </row>
    <row r="3117" spans="1:8" x14ac:dyDescent="0.2">
      <c r="A3117" s="5" t="s">
        <v>3640</v>
      </c>
      <c r="B3117" s="5" t="s">
        <v>3510</v>
      </c>
      <c r="C3117" s="8">
        <v>1</v>
      </c>
      <c r="D3117" s="5" t="s">
        <v>162</v>
      </c>
      <c r="E3117" s="5"/>
      <c r="G3117" s="5"/>
      <c r="H3117" s="5"/>
    </row>
    <row r="3118" spans="1:8" x14ac:dyDescent="0.2">
      <c r="A3118" s="5"/>
      <c r="B3118" s="5" t="s">
        <v>46</v>
      </c>
      <c r="C3118" s="5"/>
      <c r="D3118" s="5" t="s">
        <v>322</v>
      </c>
      <c r="E3118" s="5"/>
      <c r="G3118" s="5"/>
      <c r="H3118" s="5"/>
    </row>
    <row r="3119" spans="1:8" x14ac:dyDescent="0.2">
      <c r="A3119" s="5" t="s">
        <v>3641</v>
      </c>
      <c r="B3119" s="5" t="s">
        <v>3510</v>
      </c>
      <c r="C3119" s="8">
        <v>1</v>
      </c>
      <c r="D3119" s="5" t="s">
        <v>162</v>
      </c>
      <c r="E3119" s="5"/>
      <c r="G3119" s="5"/>
      <c r="H3119" s="5"/>
    </row>
    <row r="3120" spans="1:8" x14ac:dyDescent="0.2">
      <c r="A3120" s="5"/>
      <c r="B3120" s="5" t="s">
        <v>48</v>
      </c>
      <c r="C3120" s="5"/>
      <c r="D3120" s="5" t="s">
        <v>322</v>
      </c>
      <c r="E3120" s="5"/>
      <c r="G3120" s="5"/>
      <c r="H3120" s="5"/>
    </row>
    <row r="3121" spans="1:9" x14ac:dyDescent="0.2">
      <c r="A3121" s="5" t="s">
        <v>3642</v>
      </c>
      <c r="B3121" s="5" t="s">
        <v>3510</v>
      </c>
      <c r="C3121" s="8">
        <v>1</v>
      </c>
      <c r="D3121" s="5" t="s">
        <v>162</v>
      </c>
      <c r="E3121" s="5"/>
      <c r="G3121" s="5"/>
      <c r="H3121" s="5"/>
    </row>
    <row r="3122" spans="1:9" x14ac:dyDescent="0.2">
      <c r="B3122" s="6" t="s">
        <v>3643</v>
      </c>
      <c r="C3122" s="6"/>
      <c r="D3122" s="6"/>
      <c r="E3122" s="6"/>
      <c r="F3122" s="9">
        <f>SUM(H2756:H3122)</f>
        <v>0</v>
      </c>
      <c r="G3122" s="6"/>
      <c r="I3122" s="9">
        <f>PRODUCT(F3122,G3122)</f>
        <v>0</v>
      </c>
    </row>
    <row r="3124" spans="1:9" x14ac:dyDescent="0.2">
      <c r="A3124" s="6" t="s">
        <v>3644</v>
      </c>
      <c r="B3124" s="6" t="s">
        <v>3645</v>
      </c>
    </row>
    <row r="3125" spans="1:9" x14ac:dyDescent="0.2">
      <c r="A3125" s="5"/>
      <c r="B3125" s="5" t="s">
        <v>64</v>
      </c>
      <c r="C3125" s="5"/>
      <c r="D3125" s="5" t="s">
        <v>13</v>
      </c>
      <c r="E3125" s="5"/>
      <c r="G3125" s="5"/>
      <c r="H3125" s="5"/>
    </row>
    <row r="3126" spans="1:9" x14ac:dyDescent="0.2">
      <c r="A3126" s="5" t="s">
        <v>3646</v>
      </c>
      <c r="B3126" s="5" t="s">
        <v>66</v>
      </c>
      <c r="C3126" s="5"/>
      <c r="D3126" s="5" t="s">
        <v>18</v>
      </c>
      <c r="E3126" s="5"/>
      <c r="G3126" s="5"/>
      <c r="H3126" s="5"/>
    </row>
    <row r="3127" spans="1:9" x14ac:dyDescent="0.2">
      <c r="A3127" s="5" t="s">
        <v>3647</v>
      </c>
      <c r="B3127" s="5" t="s">
        <v>68</v>
      </c>
      <c r="C3127" s="5"/>
      <c r="D3127" s="5" t="s">
        <v>18</v>
      </c>
      <c r="E3127" s="5"/>
      <c r="G3127" s="5"/>
      <c r="H3127" s="5"/>
    </row>
    <row r="3128" spans="1:9" x14ac:dyDescent="0.2">
      <c r="A3128" s="5"/>
      <c r="B3128" s="5" t="s">
        <v>71</v>
      </c>
      <c r="C3128" s="5"/>
      <c r="D3128" s="5" t="s">
        <v>13</v>
      </c>
      <c r="E3128" s="5"/>
      <c r="G3128" s="5"/>
      <c r="H3128" s="5"/>
    </row>
    <row r="3129" spans="1:9" x14ac:dyDescent="0.2">
      <c r="A3129" s="5" t="s">
        <v>3648</v>
      </c>
      <c r="B3129" s="5" t="s">
        <v>3130</v>
      </c>
      <c r="C3129" s="5"/>
      <c r="D3129" s="5" t="s">
        <v>18</v>
      </c>
      <c r="E3129" s="5"/>
      <c r="G3129" s="5"/>
      <c r="H3129" s="5"/>
    </row>
    <row r="3130" spans="1:9" x14ac:dyDescent="0.2">
      <c r="A3130" s="5" t="s">
        <v>3649</v>
      </c>
      <c r="B3130" s="5" t="s">
        <v>3650</v>
      </c>
      <c r="C3130" s="5"/>
      <c r="D3130" s="5" t="s">
        <v>18</v>
      </c>
      <c r="E3130" s="5"/>
      <c r="G3130" s="5"/>
      <c r="H3130" s="5"/>
    </row>
    <row r="3131" spans="1:9" x14ac:dyDescent="0.2">
      <c r="A3131" s="5" t="s">
        <v>3651</v>
      </c>
      <c r="B3131" s="5" t="s">
        <v>269</v>
      </c>
      <c r="C3131" s="5"/>
      <c r="D3131" s="5" t="s">
        <v>18</v>
      </c>
      <c r="E3131" s="5"/>
      <c r="G3131" s="5"/>
      <c r="H3131" s="5"/>
    </row>
    <row r="3132" spans="1:9" x14ac:dyDescent="0.2">
      <c r="A3132" s="5" t="s">
        <v>3652</v>
      </c>
      <c r="B3132" s="5" t="s">
        <v>3653</v>
      </c>
      <c r="C3132" s="5"/>
      <c r="D3132" s="5" t="s">
        <v>18</v>
      </c>
      <c r="E3132" s="5"/>
      <c r="G3132" s="5"/>
      <c r="H3132" s="5"/>
    </row>
    <row r="3133" spans="1:9" x14ac:dyDescent="0.2">
      <c r="A3133" s="5" t="s">
        <v>3654</v>
      </c>
      <c r="B3133" s="5" t="s">
        <v>3135</v>
      </c>
      <c r="C3133" s="5"/>
      <c r="D3133" s="5" t="s">
        <v>18</v>
      </c>
      <c r="E3133" s="5"/>
      <c r="G3133" s="5"/>
      <c r="H3133" s="5"/>
    </row>
    <row r="3134" spans="1:9" x14ac:dyDescent="0.2">
      <c r="A3134" s="5"/>
      <c r="B3134" s="5" t="s">
        <v>76</v>
      </c>
      <c r="C3134" s="5"/>
      <c r="D3134" s="5" t="s">
        <v>13</v>
      </c>
      <c r="E3134" s="5"/>
      <c r="G3134" s="5"/>
      <c r="H3134" s="5"/>
    </row>
    <row r="3135" spans="1:9" x14ac:dyDescent="0.2">
      <c r="A3135" s="5"/>
      <c r="B3135" s="5" t="s">
        <v>77</v>
      </c>
      <c r="C3135" s="5"/>
      <c r="D3135" s="5" t="s">
        <v>15</v>
      </c>
      <c r="E3135" s="5"/>
      <c r="G3135" s="5"/>
      <c r="H3135" s="5"/>
    </row>
    <row r="3136" spans="1:9" x14ac:dyDescent="0.2">
      <c r="A3136" s="5" t="s">
        <v>3655</v>
      </c>
      <c r="B3136" s="5" t="s">
        <v>3656</v>
      </c>
      <c r="C3136" s="5"/>
      <c r="D3136" s="5" t="s">
        <v>18</v>
      </c>
      <c r="E3136" s="5"/>
      <c r="G3136" s="5"/>
      <c r="H3136" s="5"/>
    </row>
    <row r="3137" spans="1:8" x14ac:dyDescent="0.2">
      <c r="A3137" s="5" t="s">
        <v>3657</v>
      </c>
      <c r="B3137" s="5" t="s">
        <v>3658</v>
      </c>
      <c r="C3137" s="5"/>
      <c r="D3137" s="5" t="s">
        <v>18</v>
      </c>
      <c r="E3137" s="5"/>
      <c r="G3137" s="5"/>
      <c r="H3137" s="5"/>
    </row>
    <row r="3138" spans="1:8" x14ac:dyDescent="0.2">
      <c r="A3138" s="5" t="s">
        <v>3659</v>
      </c>
      <c r="B3138" s="5" t="s">
        <v>3660</v>
      </c>
      <c r="C3138" s="5"/>
      <c r="D3138" s="5" t="s">
        <v>18</v>
      </c>
      <c r="E3138" s="5"/>
      <c r="G3138" s="5"/>
      <c r="H3138" s="5"/>
    </row>
    <row r="3139" spans="1:8" x14ac:dyDescent="0.2">
      <c r="A3139" s="5" t="s">
        <v>3661</v>
      </c>
      <c r="B3139" s="5" t="s">
        <v>3323</v>
      </c>
      <c r="C3139" s="5"/>
      <c r="D3139" s="5" t="s">
        <v>18</v>
      </c>
      <c r="E3139" s="5"/>
      <c r="G3139" s="5"/>
      <c r="H3139" s="5"/>
    </row>
    <row r="3140" spans="1:8" x14ac:dyDescent="0.2">
      <c r="A3140" s="5" t="s">
        <v>3662</v>
      </c>
      <c r="B3140" s="5" t="s">
        <v>299</v>
      </c>
      <c r="C3140" s="5"/>
      <c r="D3140" s="5" t="s">
        <v>18</v>
      </c>
      <c r="E3140" s="5"/>
      <c r="G3140" s="5"/>
      <c r="H3140" s="5"/>
    </row>
    <row r="3141" spans="1:8" x14ac:dyDescent="0.2">
      <c r="A3141" s="5"/>
      <c r="B3141" s="5" t="s">
        <v>94</v>
      </c>
      <c r="C3141" s="5"/>
      <c r="D3141" s="5" t="s">
        <v>13</v>
      </c>
      <c r="E3141" s="5"/>
      <c r="G3141" s="5"/>
      <c r="H3141" s="5"/>
    </row>
    <row r="3142" spans="1:8" x14ac:dyDescent="0.2">
      <c r="A3142" s="5" t="s">
        <v>3663</v>
      </c>
      <c r="B3142" s="5" t="s">
        <v>589</v>
      </c>
      <c r="C3142" s="8">
        <v>1</v>
      </c>
      <c r="D3142" s="5" t="s">
        <v>97</v>
      </c>
      <c r="E3142" s="5"/>
      <c r="G3142" s="5"/>
      <c r="H3142" s="5"/>
    </row>
    <row r="3143" spans="1:8" x14ac:dyDescent="0.2">
      <c r="A3143" s="5" t="s">
        <v>3664</v>
      </c>
      <c r="B3143" s="5" t="s">
        <v>3665</v>
      </c>
      <c r="C3143" s="8">
        <v>1</v>
      </c>
      <c r="D3143" s="5" t="s">
        <v>97</v>
      </c>
      <c r="E3143" s="5"/>
      <c r="G3143" s="5"/>
      <c r="H3143" s="5"/>
    </row>
    <row r="3144" spans="1:8" x14ac:dyDescent="0.2">
      <c r="A3144" s="5" t="s">
        <v>3666</v>
      </c>
      <c r="B3144" s="5" t="s">
        <v>305</v>
      </c>
      <c r="C3144" s="8">
        <v>1</v>
      </c>
      <c r="D3144" s="5" t="s">
        <v>97</v>
      </c>
      <c r="E3144" s="5"/>
      <c r="G3144" s="5"/>
      <c r="H3144" s="5"/>
    </row>
    <row r="3145" spans="1:8" x14ac:dyDescent="0.2">
      <c r="A3145" s="5" t="s">
        <v>3667</v>
      </c>
      <c r="B3145" s="5" t="s">
        <v>3337</v>
      </c>
      <c r="C3145" s="8">
        <v>1</v>
      </c>
      <c r="D3145" s="5" t="s">
        <v>97</v>
      </c>
      <c r="E3145" s="5"/>
      <c r="G3145" s="5"/>
      <c r="H3145" s="5"/>
    </row>
    <row r="3146" spans="1:8" x14ac:dyDescent="0.2">
      <c r="A3146" s="5" t="s">
        <v>3668</v>
      </c>
      <c r="B3146" s="5" t="s">
        <v>2758</v>
      </c>
      <c r="C3146" s="8">
        <v>1</v>
      </c>
      <c r="D3146" s="5" t="s">
        <v>97</v>
      </c>
      <c r="E3146" s="5"/>
      <c r="G3146" s="5"/>
      <c r="H3146" s="5"/>
    </row>
    <row r="3147" spans="1:8" x14ac:dyDescent="0.2">
      <c r="A3147" s="5" t="s">
        <v>3669</v>
      </c>
      <c r="B3147" s="5" t="s">
        <v>313</v>
      </c>
      <c r="C3147" s="8">
        <v>1</v>
      </c>
      <c r="D3147" s="5" t="s">
        <v>97</v>
      </c>
      <c r="E3147" s="5"/>
      <c r="G3147" s="5"/>
      <c r="H3147" s="5"/>
    </row>
    <row r="3148" spans="1:8" x14ac:dyDescent="0.2">
      <c r="A3148" s="5" t="s">
        <v>3670</v>
      </c>
      <c r="B3148" s="5" t="s">
        <v>2979</v>
      </c>
      <c r="C3148" s="8">
        <v>1</v>
      </c>
      <c r="D3148" s="5" t="s">
        <v>97</v>
      </c>
      <c r="E3148" s="5"/>
      <c r="G3148" s="5"/>
      <c r="H3148" s="5"/>
    </row>
    <row r="3149" spans="1:8" x14ac:dyDescent="0.2">
      <c r="A3149" s="5" t="s">
        <v>3671</v>
      </c>
      <c r="B3149" s="5" t="s">
        <v>3672</v>
      </c>
      <c r="C3149" s="8">
        <v>1</v>
      </c>
      <c r="D3149" s="5" t="s">
        <v>97</v>
      </c>
      <c r="E3149" s="5"/>
      <c r="G3149" s="5"/>
      <c r="H3149" s="5"/>
    </row>
    <row r="3150" spans="1:8" x14ac:dyDescent="0.2">
      <c r="A3150" s="5" t="s">
        <v>3673</v>
      </c>
      <c r="B3150" s="5" t="s">
        <v>3674</v>
      </c>
      <c r="C3150" s="8">
        <v>1</v>
      </c>
      <c r="D3150" s="5" t="s">
        <v>97</v>
      </c>
      <c r="E3150" s="5"/>
      <c r="G3150" s="5"/>
      <c r="H3150" s="5"/>
    </row>
    <row r="3151" spans="1:8" x14ac:dyDescent="0.2">
      <c r="A3151" s="5"/>
      <c r="B3151" s="5" t="s">
        <v>135</v>
      </c>
      <c r="C3151" s="5"/>
      <c r="D3151" s="5" t="s">
        <v>13</v>
      </c>
      <c r="E3151" s="5"/>
      <c r="G3151" s="5"/>
      <c r="H3151" s="5"/>
    </row>
    <row r="3152" spans="1:8" x14ac:dyDescent="0.2">
      <c r="A3152" s="5" t="s">
        <v>3675</v>
      </c>
      <c r="B3152" s="5" t="s">
        <v>3676</v>
      </c>
      <c r="C3152" s="5"/>
      <c r="D3152" s="5" t="s">
        <v>608</v>
      </c>
      <c r="E3152" s="5"/>
      <c r="G3152" s="5"/>
      <c r="H3152" s="5"/>
    </row>
    <row r="3153" spans="1:8" x14ac:dyDescent="0.2">
      <c r="A3153" s="5"/>
      <c r="B3153" s="5" t="s">
        <v>38</v>
      </c>
      <c r="C3153" s="5"/>
      <c r="D3153" s="5" t="s">
        <v>13</v>
      </c>
      <c r="E3153" s="5"/>
      <c r="G3153" s="5"/>
      <c r="H3153" s="5"/>
    </row>
    <row r="3154" spans="1:8" x14ac:dyDescent="0.2">
      <c r="A3154" s="5"/>
      <c r="B3154" s="5" t="s">
        <v>3677</v>
      </c>
      <c r="C3154" s="5"/>
      <c r="D3154" s="5" t="s">
        <v>15</v>
      </c>
      <c r="E3154" s="5"/>
      <c r="G3154" s="5"/>
      <c r="H3154" s="5"/>
    </row>
    <row r="3155" spans="1:8" x14ac:dyDescent="0.2">
      <c r="A3155" s="5"/>
      <c r="B3155" s="5" t="s">
        <v>3678</v>
      </c>
      <c r="C3155" s="5"/>
      <c r="D3155" s="5" t="s">
        <v>322</v>
      </c>
      <c r="E3155" s="5"/>
      <c r="G3155" s="5"/>
      <c r="H3155" s="5"/>
    </row>
    <row r="3156" spans="1:8" x14ac:dyDescent="0.2">
      <c r="A3156" s="5"/>
      <c r="B3156" s="5" t="s">
        <v>3679</v>
      </c>
      <c r="C3156" s="5"/>
      <c r="D3156" s="5" t="s">
        <v>366</v>
      </c>
      <c r="E3156" s="5"/>
      <c r="G3156" s="5"/>
      <c r="H3156" s="5"/>
    </row>
    <row r="3157" spans="1:8" x14ac:dyDescent="0.2">
      <c r="A3157" s="5" t="s">
        <v>3680</v>
      </c>
      <c r="B3157" s="5" t="s">
        <v>3142</v>
      </c>
      <c r="C3157" s="8">
        <v>152</v>
      </c>
      <c r="D3157" s="5" t="s">
        <v>42</v>
      </c>
      <c r="E3157" s="5"/>
      <c r="G3157" s="5"/>
      <c r="H3157" s="5"/>
    </row>
    <row r="3158" spans="1:8" x14ac:dyDescent="0.2">
      <c r="A3158" s="5" t="s">
        <v>3681</v>
      </c>
      <c r="B3158" s="5" t="s">
        <v>3152</v>
      </c>
      <c r="C3158" s="8">
        <v>45</v>
      </c>
      <c r="D3158" s="5" t="s">
        <v>42</v>
      </c>
      <c r="E3158" s="5"/>
      <c r="G3158" s="5"/>
      <c r="H3158" s="5"/>
    </row>
    <row r="3159" spans="1:8" x14ac:dyDescent="0.2">
      <c r="A3159" s="5"/>
      <c r="B3159" s="5" t="s">
        <v>3682</v>
      </c>
      <c r="C3159" s="5"/>
      <c r="D3159" s="5" t="s">
        <v>366</v>
      </c>
      <c r="E3159" s="5"/>
      <c r="G3159" s="5"/>
      <c r="H3159" s="5"/>
    </row>
    <row r="3160" spans="1:8" x14ac:dyDescent="0.2">
      <c r="A3160" s="5" t="s">
        <v>3683</v>
      </c>
      <c r="B3160" s="5" t="s">
        <v>3142</v>
      </c>
      <c r="C3160" s="8">
        <v>16</v>
      </c>
      <c r="D3160" s="5" t="s">
        <v>42</v>
      </c>
      <c r="E3160" s="5"/>
      <c r="G3160" s="5"/>
      <c r="H3160" s="5"/>
    </row>
    <row r="3161" spans="1:8" x14ac:dyDescent="0.2">
      <c r="A3161" s="5"/>
      <c r="B3161" s="5" t="s">
        <v>3684</v>
      </c>
      <c r="C3161" s="5"/>
      <c r="D3161" s="5" t="s">
        <v>366</v>
      </c>
      <c r="E3161" s="5"/>
      <c r="G3161" s="5"/>
      <c r="H3161" s="5"/>
    </row>
    <row r="3162" spans="1:8" x14ac:dyDescent="0.2">
      <c r="A3162" s="5" t="s">
        <v>3685</v>
      </c>
      <c r="B3162" s="5" t="s">
        <v>3140</v>
      </c>
      <c r="C3162" s="8">
        <v>8</v>
      </c>
      <c r="D3162" s="5" t="s">
        <v>42</v>
      </c>
      <c r="E3162" s="5"/>
      <c r="G3162" s="5"/>
      <c r="H3162" s="5"/>
    </row>
    <row r="3163" spans="1:8" x14ac:dyDescent="0.2">
      <c r="A3163" s="5"/>
      <c r="B3163" s="5" t="s">
        <v>3686</v>
      </c>
      <c r="C3163" s="5"/>
      <c r="D3163" s="5" t="s">
        <v>366</v>
      </c>
      <c r="E3163" s="5"/>
      <c r="G3163" s="5"/>
      <c r="H3163" s="5"/>
    </row>
    <row r="3164" spans="1:8" x14ac:dyDescent="0.2">
      <c r="A3164" s="5" t="s">
        <v>3687</v>
      </c>
      <c r="B3164" s="5" t="s">
        <v>3140</v>
      </c>
      <c r="C3164" s="8">
        <v>18</v>
      </c>
      <c r="D3164" s="5" t="s">
        <v>42</v>
      </c>
      <c r="E3164" s="5"/>
      <c r="G3164" s="5"/>
      <c r="H3164" s="5"/>
    </row>
    <row r="3165" spans="1:8" x14ac:dyDescent="0.2">
      <c r="A3165" s="5" t="s">
        <v>3688</v>
      </c>
      <c r="B3165" s="5" t="s">
        <v>3142</v>
      </c>
      <c r="C3165" s="8">
        <v>259</v>
      </c>
      <c r="D3165" s="5" t="s">
        <v>42</v>
      </c>
      <c r="E3165" s="5"/>
      <c r="G3165" s="5"/>
      <c r="H3165" s="5"/>
    </row>
    <row r="3166" spans="1:8" x14ac:dyDescent="0.2">
      <c r="A3166" s="5" t="s">
        <v>3689</v>
      </c>
      <c r="B3166" s="5" t="s">
        <v>3152</v>
      </c>
      <c r="C3166" s="8">
        <v>377</v>
      </c>
      <c r="D3166" s="5" t="s">
        <v>42</v>
      </c>
      <c r="E3166" s="5"/>
      <c r="G3166" s="5"/>
      <c r="H3166" s="5"/>
    </row>
    <row r="3167" spans="1:8" x14ac:dyDescent="0.2">
      <c r="A3167" s="5" t="s">
        <v>3690</v>
      </c>
      <c r="B3167" s="5" t="s">
        <v>3144</v>
      </c>
      <c r="C3167" s="8">
        <v>122</v>
      </c>
      <c r="D3167" s="5" t="s">
        <v>42</v>
      </c>
      <c r="E3167" s="5"/>
      <c r="G3167" s="5"/>
      <c r="H3167" s="5"/>
    </row>
    <row r="3168" spans="1:8" x14ac:dyDescent="0.2">
      <c r="A3168" s="5" t="s">
        <v>3691</v>
      </c>
      <c r="B3168" s="5" t="s">
        <v>3692</v>
      </c>
      <c r="C3168" s="8">
        <v>26</v>
      </c>
      <c r="D3168" s="5" t="s">
        <v>155</v>
      </c>
      <c r="E3168" s="5"/>
      <c r="G3168" s="5"/>
      <c r="H3168" s="5"/>
    </row>
    <row r="3169" spans="1:8" x14ac:dyDescent="0.2">
      <c r="A3169" s="5"/>
      <c r="B3169" s="5" t="s">
        <v>3693</v>
      </c>
      <c r="C3169" s="5"/>
      <c r="D3169" s="5" t="s">
        <v>366</v>
      </c>
      <c r="E3169" s="5"/>
      <c r="G3169" s="5"/>
      <c r="H3169" s="5"/>
    </row>
    <row r="3170" spans="1:8" x14ac:dyDescent="0.2">
      <c r="A3170" s="5" t="s">
        <v>3694</v>
      </c>
      <c r="B3170" s="5" t="s">
        <v>3144</v>
      </c>
      <c r="C3170" s="8">
        <v>161</v>
      </c>
      <c r="D3170" s="5" t="s">
        <v>42</v>
      </c>
      <c r="E3170" s="5"/>
      <c r="G3170" s="5"/>
      <c r="H3170" s="5"/>
    </row>
    <row r="3171" spans="1:8" x14ac:dyDescent="0.2">
      <c r="A3171" s="5" t="s">
        <v>3695</v>
      </c>
      <c r="B3171" s="5" t="s">
        <v>3696</v>
      </c>
      <c r="C3171" s="8">
        <v>9</v>
      </c>
      <c r="D3171" s="5" t="s">
        <v>155</v>
      </c>
      <c r="E3171" s="5"/>
      <c r="G3171" s="5"/>
      <c r="H3171" s="5"/>
    </row>
    <row r="3172" spans="1:8" x14ac:dyDescent="0.2">
      <c r="A3172" s="5"/>
      <c r="B3172" s="5" t="s">
        <v>3697</v>
      </c>
      <c r="C3172" s="5"/>
      <c r="D3172" s="5" t="s">
        <v>366</v>
      </c>
      <c r="E3172" s="5"/>
      <c r="G3172" s="5"/>
      <c r="H3172" s="5"/>
    </row>
    <row r="3173" spans="1:8" x14ac:dyDescent="0.2">
      <c r="A3173" s="5" t="s">
        <v>3698</v>
      </c>
      <c r="B3173" s="5" t="s">
        <v>3140</v>
      </c>
      <c r="C3173" s="8">
        <v>185</v>
      </c>
      <c r="D3173" s="5" t="s">
        <v>42</v>
      </c>
      <c r="E3173" s="5"/>
      <c r="G3173" s="5"/>
      <c r="H3173" s="5"/>
    </row>
    <row r="3174" spans="1:8" x14ac:dyDescent="0.2">
      <c r="A3174" s="5" t="s">
        <v>3699</v>
      </c>
      <c r="B3174" s="5" t="s">
        <v>3142</v>
      </c>
      <c r="C3174" s="8">
        <v>30</v>
      </c>
      <c r="D3174" s="5" t="s">
        <v>42</v>
      </c>
      <c r="E3174" s="5"/>
      <c r="G3174" s="5"/>
      <c r="H3174" s="5"/>
    </row>
    <row r="3175" spans="1:8" x14ac:dyDescent="0.2">
      <c r="A3175" s="5" t="s">
        <v>3700</v>
      </c>
      <c r="B3175" s="5" t="s">
        <v>3152</v>
      </c>
      <c r="C3175" s="8">
        <v>87</v>
      </c>
      <c r="D3175" s="5" t="s">
        <v>42</v>
      </c>
      <c r="E3175" s="5"/>
      <c r="G3175" s="5"/>
      <c r="H3175" s="5"/>
    </row>
    <row r="3176" spans="1:8" x14ac:dyDescent="0.2">
      <c r="A3176" s="5" t="s">
        <v>3701</v>
      </c>
      <c r="B3176" s="5" t="s">
        <v>3144</v>
      </c>
      <c r="C3176" s="8">
        <v>16</v>
      </c>
      <c r="D3176" s="5" t="s">
        <v>42</v>
      </c>
      <c r="E3176" s="5"/>
      <c r="G3176" s="5"/>
      <c r="H3176" s="5"/>
    </row>
    <row r="3177" spans="1:8" x14ac:dyDescent="0.2">
      <c r="A3177" s="5" t="s">
        <v>3702</v>
      </c>
      <c r="B3177" s="5" t="s">
        <v>3703</v>
      </c>
      <c r="C3177" s="8">
        <v>2</v>
      </c>
      <c r="D3177" s="5" t="s">
        <v>155</v>
      </c>
      <c r="E3177" s="5"/>
      <c r="G3177" s="5"/>
      <c r="H3177" s="5"/>
    </row>
    <row r="3178" spans="1:8" x14ac:dyDescent="0.2">
      <c r="A3178" s="5" t="s">
        <v>3704</v>
      </c>
      <c r="B3178" s="5" t="s">
        <v>3705</v>
      </c>
      <c r="C3178" s="8">
        <v>3</v>
      </c>
      <c r="D3178" s="5" t="s">
        <v>155</v>
      </c>
      <c r="E3178" s="5"/>
      <c r="G3178" s="5"/>
      <c r="H3178" s="5"/>
    </row>
    <row r="3179" spans="1:8" x14ac:dyDescent="0.2">
      <c r="A3179" s="5"/>
      <c r="B3179" s="5" t="s">
        <v>3706</v>
      </c>
      <c r="C3179" s="5"/>
      <c r="D3179" s="5" t="s">
        <v>366</v>
      </c>
      <c r="E3179" s="5"/>
      <c r="G3179" s="5"/>
      <c r="H3179" s="5"/>
    </row>
    <row r="3180" spans="1:8" x14ac:dyDescent="0.2">
      <c r="A3180" s="5" t="s">
        <v>3707</v>
      </c>
      <c r="B3180" s="5" t="s">
        <v>3140</v>
      </c>
      <c r="C3180" s="8">
        <v>94</v>
      </c>
      <c r="D3180" s="5" t="s">
        <v>42</v>
      </c>
      <c r="E3180" s="5"/>
      <c r="G3180" s="5"/>
      <c r="H3180" s="5"/>
    </row>
    <row r="3181" spans="1:8" x14ac:dyDescent="0.2">
      <c r="A3181" s="5" t="s">
        <v>3708</v>
      </c>
      <c r="B3181" s="5" t="s">
        <v>3142</v>
      </c>
      <c r="C3181" s="8">
        <v>488</v>
      </c>
      <c r="D3181" s="5" t="s">
        <v>42</v>
      </c>
      <c r="E3181" s="5"/>
      <c r="G3181" s="5"/>
      <c r="H3181" s="5"/>
    </row>
    <row r="3182" spans="1:8" x14ac:dyDescent="0.2">
      <c r="A3182" s="5" t="s">
        <v>3709</v>
      </c>
      <c r="B3182" s="5" t="s">
        <v>3152</v>
      </c>
      <c r="C3182" s="8">
        <v>393</v>
      </c>
      <c r="D3182" s="5" t="s">
        <v>42</v>
      </c>
      <c r="E3182" s="5"/>
      <c r="G3182" s="5"/>
      <c r="H3182" s="5"/>
    </row>
    <row r="3183" spans="1:8" x14ac:dyDescent="0.2">
      <c r="A3183" s="5" t="s">
        <v>3710</v>
      </c>
      <c r="B3183" s="5" t="s">
        <v>3711</v>
      </c>
      <c r="C3183" s="8">
        <v>116</v>
      </c>
      <c r="D3183" s="5" t="s">
        <v>155</v>
      </c>
      <c r="E3183" s="5"/>
      <c r="G3183" s="5"/>
      <c r="H3183" s="5"/>
    </row>
    <row r="3184" spans="1:8" x14ac:dyDescent="0.2">
      <c r="A3184" s="5" t="s">
        <v>3712</v>
      </c>
      <c r="B3184" s="5" t="s">
        <v>3713</v>
      </c>
      <c r="C3184" s="8">
        <v>42</v>
      </c>
      <c r="D3184" s="5" t="s">
        <v>155</v>
      </c>
      <c r="E3184" s="5"/>
      <c r="G3184" s="5"/>
      <c r="H3184" s="5"/>
    </row>
    <row r="3185" spans="1:8" x14ac:dyDescent="0.2">
      <c r="A3185" s="5"/>
      <c r="B3185" s="5" t="s">
        <v>3714</v>
      </c>
      <c r="C3185" s="5"/>
      <c r="D3185" s="5" t="s">
        <v>366</v>
      </c>
      <c r="E3185" s="5"/>
      <c r="G3185" s="5"/>
      <c r="H3185" s="5"/>
    </row>
    <row r="3186" spans="1:8" x14ac:dyDescent="0.2">
      <c r="A3186" s="5" t="s">
        <v>3715</v>
      </c>
      <c r="B3186" s="5" t="s">
        <v>3142</v>
      </c>
      <c r="C3186" s="8">
        <v>58</v>
      </c>
      <c r="D3186" s="5" t="s">
        <v>42</v>
      </c>
      <c r="E3186" s="5"/>
      <c r="G3186" s="5"/>
      <c r="H3186" s="5"/>
    </row>
    <row r="3187" spans="1:8" x14ac:dyDescent="0.2">
      <c r="A3187" s="5"/>
      <c r="B3187" s="5" t="s">
        <v>3716</v>
      </c>
      <c r="C3187" s="5"/>
      <c r="D3187" s="5" t="s">
        <v>366</v>
      </c>
      <c r="E3187" s="5"/>
      <c r="G3187" s="5"/>
      <c r="H3187" s="5"/>
    </row>
    <row r="3188" spans="1:8" x14ac:dyDescent="0.2">
      <c r="A3188" s="5" t="s">
        <v>3717</v>
      </c>
      <c r="B3188" s="5" t="s">
        <v>3144</v>
      </c>
      <c r="C3188" s="8">
        <v>288</v>
      </c>
      <c r="D3188" s="5" t="s">
        <v>42</v>
      </c>
      <c r="E3188" s="5"/>
      <c r="G3188" s="5"/>
      <c r="H3188" s="5"/>
    </row>
    <row r="3189" spans="1:8" x14ac:dyDescent="0.2">
      <c r="A3189" s="5" t="s">
        <v>3718</v>
      </c>
      <c r="B3189" s="5" t="s">
        <v>3719</v>
      </c>
      <c r="C3189" s="8">
        <v>3</v>
      </c>
      <c r="D3189" s="5" t="s">
        <v>155</v>
      </c>
      <c r="E3189" s="5"/>
      <c r="G3189" s="5"/>
      <c r="H3189" s="5"/>
    </row>
    <row r="3190" spans="1:8" x14ac:dyDescent="0.2">
      <c r="A3190" s="5"/>
      <c r="B3190" s="5" t="s">
        <v>3720</v>
      </c>
      <c r="C3190" s="5"/>
      <c r="D3190" s="5" t="s">
        <v>366</v>
      </c>
      <c r="E3190" s="5"/>
      <c r="G3190" s="5"/>
      <c r="H3190" s="5"/>
    </row>
    <row r="3191" spans="1:8" x14ac:dyDescent="0.2">
      <c r="A3191" s="5" t="s">
        <v>3721</v>
      </c>
      <c r="B3191" s="5" t="s">
        <v>3142</v>
      </c>
      <c r="C3191" s="8">
        <v>299</v>
      </c>
      <c r="D3191" s="5" t="s">
        <v>42</v>
      </c>
      <c r="E3191" s="5"/>
      <c r="G3191" s="5"/>
      <c r="H3191" s="5"/>
    </row>
    <row r="3192" spans="1:8" x14ac:dyDescent="0.2">
      <c r="A3192" s="5" t="s">
        <v>3722</v>
      </c>
      <c r="B3192" s="5" t="s">
        <v>3152</v>
      </c>
      <c r="C3192" s="8">
        <v>407</v>
      </c>
      <c r="D3192" s="5" t="s">
        <v>42</v>
      </c>
      <c r="E3192" s="5"/>
      <c r="G3192" s="5"/>
      <c r="H3192" s="5"/>
    </row>
    <row r="3193" spans="1:8" x14ac:dyDescent="0.2">
      <c r="A3193" s="5"/>
      <c r="B3193" s="5" t="s">
        <v>3723</v>
      </c>
      <c r="C3193" s="5"/>
      <c r="D3193" s="5" t="s">
        <v>366</v>
      </c>
      <c r="E3193" s="5"/>
      <c r="G3193" s="5"/>
      <c r="H3193" s="5"/>
    </row>
    <row r="3194" spans="1:8" x14ac:dyDescent="0.2">
      <c r="A3194" s="5" t="s">
        <v>3724</v>
      </c>
      <c r="B3194" s="5" t="s">
        <v>3142</v>
      </c>
      <c r="C3194" s="8">
        <v>162</v>
      </c>
      <c r="D3194" s="5" t="s">
        <v>42</v>
      </c>
      <c r="E3194" s="5"/>
      <c r="G3194" s="5"/>
      <c r="H3194" s="5"/>
    </row>
    <row r="3195" spans="1:8" x14ac:dyDescent="0.2">
      <c r="A3195" s="5" t="s">
        <v>3725</v>
      </c>
      <c r="B3195" s="5" t="s">
        <v>3726</v>
      </c>
      <c r="C3195" s="8">
        <v>19</v>
      </c>
      <c r="D3195" s="5" t="s">
        <v>155</v>
      </c>
      <c r="E3195" s="5"/>
      <c r="G3195" s="5"/>
      <c r="H3195" s="5"/>
    </row>
    <row r="3196" spans="1:8" x14ac:dyDescent="0.2">
      <c r="A3196" s="5"/>
      <c r="B3196" s="5" t="s">
        <v>3727</v>
      </c>
      <c r="C3196" s="5"/>
      <c r="D3196" s="5" t="s">
        <v>366</v>
      </c>
      <c r="E3196" s="5"/>
      <c r="G3196" s="5"/>
      <c r="H3196" s="5"/>
    </row>
    <row r="3197" spans="1:8" x14ac:dyDescent="0.2">
      <c r="A3197" s="5" t="s">
        <v>3728</v>
      </c>
      <c r="B3197" s="5" t="s">
        <v>3140</v>
      </c>
      <c r="C3197" s="8">
        <v>4</v>
      </c>
      <c r="D3197" s="5" t="s">
        <v>42</v>
      </c>
      <c r="E3197" s="5"/>
      <c r="G3197" s="5"/>
      <c r="H3197" s="5"/>
    </row>
    <row r="3198" spans="1:8" x14ac:dyDescent="0.2">
      <c r="A3198" s="5" t="s">
        <v>3729</v>
      </c>
      <c r="B3198" s="5" t="s">
        <v>3152</v>
      </c>
      <c r="C3198" s="8">
        <v>44</v>
      </c>
      <c r="D3198" s="5" t="s">
        <v>42</v>
      </c>
      <c r="E3198" s="5"/>
      <c r="G3198" s="5"/>
      <c r="H3198" s="5"/>
    </row>
    <row r="3199" spans="1:8" x14ac:dyDescent="0.2">
      <c r="A3199" s="5" t="s">
        <v>3730</v>
      </c>
      <c r="B3199" s="5" t="s">
        <v>3144</v>
      </c>
      <c r="C3199" s="8">
        <v>117</v>
      </c>
      <c r="D3199" s="5" t="s">
        <v>42</v>
      </c>
      <c r="E3199" s="5"/>
      <c r="G3199" s="5"/>
      <c r="H3199" s="5"/>
    </row>
    <row r="3200" spans="1:8" x14ac:dyDescent="0.2">
      <c r="A3200" s="5" t="s">
        <v>3731</v>
      </c>
      <c r="B3200" s="5" t="s">
        <v>3732</v>
      </c>
      <c r="C3200" s="8">
        <v>5</v>
      </c>
      <c r="D3200" s="5" t="s">
        <v>155</v>
      </c>
      <c r="E3200" s="5"/>
      <c r="G3200" s="5"/>
      <c r="H3200" s="5"/>
    </row>
    <row r="3201" spans="1:8" x14ac:dyDescent="0.2">
      <c r="A3201" s="5"/>
      <c r="B3201" s="5" t="s">
        <v>3733</v>
      </c>
      <c r="C3201" s="5"/>
      <c r="D3201" s="5" t="s">
        <v>366</v>
      </c>
      <c r="E3201" s="5"/>
      <c r="G3201" s="5"/>
      <c r="H3201" s="5"/>
    </row>
    <row r="3202" spans="1:8" x14ac:dyDescent="0.2">
      <c r="A3202" s="5" t="s">
        <v>3734</v>
      </c>
      <c r="B3202" s="5" t="s">
        <v>3144</v>
      </c>
      <c r="C3202" s="8">
        <v>26</v>
      </c>
      <c r="D3202" s="5" t="s">
        <v>42</v>
      </c>
      <c r="E3202" s="5"/>
      <c r="G3202" s="5"/>
      <c r="H3202" s="5"/>
    </row>
    <row r="3203" spans="1:8" x14ac:dyDescent="0.2">
      <c r="A3203" s="5"/>
      <c r="B3203" s="5" t="s">
        <v>3735</v>
      </c>
      <c r="C3203" s="5"/>
      <c r="D3203" s="5" t="s">
        <v>366</v>
      </c>
      <c r="E3203" s="5"/>
      <c r="G3203" s="5"/>
      <c r="H3203" s="5"/>
    </row>
    <row r="3204" spans="1:8" x14ac:dyDescent="0.2">
      <c r="A3204" s="5" t="s">
        <v>3736</v>
      </c>
      <c r="B3204" s="5" t="s">
        <v>3142</v>
      </c>
      <c r="C3204" s="8">
        <v>46</v>
      </c>
      <c r="D3204" s="5" t="s">
        <v>42</v>
      </c>
      <c r="E3204" s="5"/>
      <c r="G3204" s="5"/>
      <c r="H3204" s="5"/>
    </row>
    <row r="3205" spans="1:8" x14ac:dyDescent="0.2">
      <c r="A3205" s="5" t="s">
        <v>3737</v>
      </c>
      <c r="B3205" s="5" t="s">
        <v>3152</v>
      </c>
      <c r="C3205" s="8">
        <v>134</v>
      </c>
      <c r="D3205" s="5" t="s">
        <v>42</v>
      </c>
      <c r="E3205" s="5"/>
      <c r="G3205" s="5"/>
      <c r="H3205" s="5"/>
    </row>
    <row r="3206" spans="1:8" x14ac:dyDescent="0.2">
      <c r="A3206" s="5" t="s">
        <v>3738</v>
      </c>
      <c r="B3206" s="5" t="s">
        <v>3739</v>
      </c>
      <c r="C3206" s="8">
        <v>7</v>
      </c>
      <c r="D3206" s="5" t="s">
        <v>155</v>
      </c>
      <c r="E3206" s="5"/>
      <c r="G3206" s="5"/>
      <c r="H3206" s="5"/>
    </row>
    <row r="3207" spans="1:8" x14ac:dyDescent="0.2">
      <c r="A3207" s="5"/>
      <c r="B3207" s="5" t="s">
        <v>3740</v>
      </c>
      <c r="C3207" s="5"/>
      <c r="D3207" s="5" t="s">
        <v>366</v>
      </c>
      <c r="E3207" s="5"/>
      <c r="G3207" s="5"/>
      <c r="H3207" s="5"/>
    </row>
    <row r="3208" spans="1:8" x14ac:dyDescent="0.2">
      <c r="A3208" s="5" t="s">
        <v>3741</v>
      </c>
      <c r="B3208" s="5" t="s">
        <v>3144</v>
      </c>
      <c r="C3208" s="8">
        <v>326</v>
      </c>
      <c r="D3208" s="5" t="s">
        <v>42</v>
      </c>
      <c r="E3208" s="5"/>
      <c r="G3208" s="5"/>
      <c r="H3208" s="5"/>
    </row>
    <row r="3209" spans="1:8" x14ac:dyDescent="0.2">
      <c r="A3209" s="5"/>
      <c r="B3209" s="5" t="s">
        <v>3742</v>
      </c>
      <c r="C3209" s="5"/>
      <c r="D3209" s="5" t="s">
        <v>366</v>
      </c>
      <c r="E3209" s="5"/>
      <c r="G3209" s="5"/>
      <c r="H3209" s="5"/>
    </row>
    <row r="3210" spans="1:8" x14ac:dyDescent="0.2">
      <c r="A3210" s="5" t="s">
        <v>3743</v>
      </c>
      <c r="B3210" s="5" t="s">
        <v>3140</v>
      </c>
      <c r="C3210" s="8">
        <v>39</v>
      </c>
      <c r="D3210" s="5" t="s">
        <v>42</v>
      </c>
      <c r="E3210" s="5"/>
      <c r="G3210" s="5"/>
      <c r="H3210" s="5"/>
    </row>
    <row r="3211" spans="1:8" x14ac:dyDescent="0.2">
      <c r="A3211" s="5" t="s">
        <v>3744</v>
      </c>
      <c r="B3211" s="5" t="s">
        <v>3745</v>
      </c>
      <c r="C3211" s="8">
        <v>6</v>
      </c>
      <c r="D3211" s="5" t="s">
        <v>155</v>
      </c>
      <c r="E3211" s="5"/>
      <c r="G3211" s="5"/>
      <c r="H3211" s="5"/>
    </row>
    <row r="3212" spans="1:8" x14ac:dyDescent="0.2">
      <c r="A3212" s="5"/>
      <c r="B3212" s="5" t="s">
        <v>3746</v>
      </c>
      <c r="C3212" s="5"/>
      <c r="D3212" s="5" t="s">
        <v>366</v>
      </c>
      <c r="E3212" s="5"/>
      <c r="G3212" s="5"/>
      <c r="H3212" s="5"/>
    </row>
    <row r="3213" spans="1:8" x14ac:dyDescent="0.2">
      <c r="A3213" s="5" t="s">
        <v>3747</v>
      </c>
      <c r="B3213" s="5" t="s">
        <v>3142</v>
      </c>
      <c r="C3213" s="8">
        <v>8</v>
      </c>
      <c r="D3213" s="5" t="s">
        <v>155</v>
      </c>
      <c r="E3213" s="5"/>
      <c r="G3213" s="5"/>
      <c r="H3213" s="5"/>
    </row>
    <row r="3214" spans="1:8" x14ac:dyDescent="0.2">
      <c r="A3214" s="5"/>
      <c r="B3214" s="5" t="s">
        <v>3748</v>
      </c>
      <c r="C3214" s="5"/>
      <c r="D3214" s="5" t="s">
        <v>322</v>
      </c>
      <c r="E3214" s="5"/>
      <c r="G3214" s="5"/>
      <c r="H3214" s="5"/>
    </row>
    <row r="3215" spans="1:8" x14ac:dyDescent="0.2">
      <c r="A3215" s="5"/>
      <c r="B3215" s="5" t="s">
        <v>3684</v>
      </c>
      <c r="C3215" s="5"/>
      <c r="D3215" s="5" t="s">
        <v>366</v>
      </c>
      <c r="E3215" s="5"/>
      <c r="G3215" s="5"/>
      <c r="H3215" s="5"/>
    </row>
    <row r="3216" spans="1:8" x14ac:dyDescent="0.2">
      <c r="A3216" s="5" t="s">
        <v>3749</v>
      </c>
      <c r="B3216" s="5" t="s">
        <v>3140</v>
      </c>
      <c r="C3216" s="8">
        <v>41</v>
      </c>
      <c r="D3216" s="5" t="s">
        <v>42</v>
      </c>
      <c r="E3216" s="5"/>
      <c r="G3216" s="5"/>
      <c r="H3216" s="5"/>
    </row>
    <row r="3217" spans="1:8" x14ac:dyDescent="0.2">
      <c r="A3217" s="5" t="s">
        <v>3750</v>
      </c>
      <c r="B3217" s="5" t="s">
        <v>3751</v>
      </c>
      <c r="C3217" s="8">
        <v>10</v>
      </c>
      <c r="D3217" s="5" t="s">
        <v>155</v>
      </c>
      <c r="E3217" s="5"/>
      <c r="G3217" s="5"/>
      <c r="H3217" s="5"/>
    </row>
    <row r="3218" spans="1:8" x14ac:dyDescent="0.2">
      <c r="A3218" s="5"/>
      <c r="B3218" s="5" t="s">
        <v>3697</v>
      </c>
      <c r="C3218" s="5"/>
      <c r="D3218" s="5" t="s">
        <v>366</v>
      </c>
      <c r="E3218" s="5"/>
      <c r="G3218" s="5"/>
      <c r="H3218" s="5"/>
    </row>
    <row r="3219" spans="1:8" x14ac:dyDescent="0.2">
      <c r="A3219" s="5" t="s">
        <v>3752</v>
      </c>
      <c r="B3219" s="5" t="s">
        <v>3140</v>
      </c>
      <c r="C3219" s="8">
        <v>186</v>
      </c>
      <c r="D3219" s="5" t="s">
        <v>42</v>
      </c>
      <c r="E3219" s="5"/>
      <c r="G3219" s="5"/>
      <c r="H3219" s="5"/>
    </row>
    <row r="3220" spans="1:8" x14ac:dyDescent="0.2">
      <c r="A3220" s="5" t="s">
        <v>3753</v>
      </c>
      <c r="B3220" s="5" t="s">
        <v>3754</v>
      </c>
      <c r="C3220" s="8">
        <v>8</v>
      </c>
      <c r="D3220" s="5" t="s">
        <v>155</v>
      </c>
      <c r="E3220" s="5"/>
      <c r="G3220" s="5"/>
      <c r="H3220" s="5"/>
    </row>
    <row r="3221" spans="1:8" x14ac:dyDescent="0.2">
      <c r="A3221" s="5"/>
      <c r="B3221" s="5" t="s">
        <v>3755</v>
      </c>
      <c r="C3221" s="5"/>
      <c r="D3221" s="5" t="s">
        <v>366</v>
      </c>
      <c r="E3221" s="5"/>
      <c r="G3221" s="5"/>
      <c r="H3221" s="5"/>
    </row>
    <row r="3222" spans="1:8" x14ac:dyDescent="0.2">
      <c r="A3222" s="5" t="s">
        <v>3756</v>
      </c>
      <c r="B3222" s="5" t="s">
        <v>3142</v>
      </c>
      <c r="C3222" s="8">
        <v>22</v>
      </c>
      <c r="D3222" s="5" t="s">
        <v>42</v>
      </c>
      <c r="E3222" s="5"/>
      <c r="G3222" s="5"/>
      <c r="H3222" s="5"/>
    </row>
    <row r="3223" spans="1:8" x14ac:dyDescent="0.2">
      <c r="A3223" s="5"/>
      <c r="B3223" s="5" t="s">
        <v>3727</v>
      </c>
      <c r="C3223" s="5"/>
      <c r="D3223" s="5" t="s">
        <v>366</v>
      </c>
      <c r="E3223" s="5"/>
      <c r="G3223" s="5"/>
      <c r="H3223" s="5"/>
    </row>
    <row r="3224" spans="1:8" x14ac:dyDescent="0.2">
      <c r="A3224" s="5" t="s">
        <v>3757</v>
      </c>
      <c r="B3224" s="5" t="s">
        <v>3140</v>
      </c>
      <c r="C3224" s="8">
        <v>786</v>
      </c>
      <c r="D3224" s="5" t="s">
        <v>42</v>
      </c>
      <c r="E3224" s="5"/>
      <c r="G3224" s="5"/>
      <c r="H3224" s="5"/>
    </row>
    <row r="3225" spans="1:8" x14ac:dyDescent="0.2">
      <c r="A3225" s="5" t="s">
        <v>3758</v>
      </c>
      <c r="B3225" s="5" t="s">
        <v>3732</v>
      </c>
      <c r="C3225" s="8">
        <v>27</v>
      </c>
      <c r="D3225" s="5" t="s">
        <v>155</v>
      </c>
      <c r="E3225" s="5"/>
      <c r="G3225" s="5"/>
      <c r="H3225" s="5"/>
    </row>
    <row r="3226" spans="1:8" x14ac:dyDescent="0.2">
      <c r="A3226" s="5" t="s">
        <v>3759</v>
      </c>
      <c r="B3226" s="5" t="s">
        <v>3760</v>
      </c>
      <c r="C3226" s="8">
        <v>34</v>
      </c>
      <c r="D3226" s="5" t="s">
        <v>155</v>
      </c>
      <c r="E3226" s="5"/>
      <c r="G3226" s="5"/>
      <c r="H3226" s="5"/>
    </row>
    <row r="3227" spans="1:8" x14ac:dyDescent="0.2">
      <c r="A3227" s="5"/>
      <c r="B3227" s="5" t="s">
        <v>3733</v>
      </c>
      <c r="C3227" s="5"/>
      <c r="D3227" s="5" t="s">
        <v>366</v>
      </c>
      <c r="E3227" s="5"/>
      <c r="G3227" s="5"/>
      <c r="H3227" s="5"/>
    </row>
    <row r="3228" spans="1:8" x14ac:dyDescent="0.2">
      <c r="A3228" s="5" t="s">
        <v>3761</v>
      </c>
      <c r="B3228" s="5" t="s">
        <v>3140</v>
      </c>
      <c r="C3228" s="8">
        <v>203</v>
      </c>
      <c r="D3228" s="5" t="s">
        <v>42</v>
      </c>
      <c r="E3228" s="5"/>
      <c r="G3228" s="5"/>
      <c r="H3228" s="5"/>
    </row>
    <row r="3229" spans="1:8" x14ac:dyDescent="0.2">
      <c r="A3229" s="5" t="s">
        <v>3762</v>
      </c>
      <c r="B3229" s="5" t="s">
        <v>3763</v>
      </c>
      <c r="C3229" s="8">
        <v>9</v>
      </c>
      <c r="D3229" s="5" t="s">
        <v>155</v>
      </c>
      <c r="E3229" s="5"/>
      <c r="G3229" s="5"/>
      <c r="H3229" s="5"/>
    </row>
    <row r="3230" spans="1:8" x14ac:dyDescent="0.2">
      <c r="A3230" s="5" t="s">
        <v>3764</v>
      </c>
      <c r="B3230" s="5" t="s">
        <v>3765</v>
      </c>
      <c r="C3230" s="8">
        <v>8</v>
      </c>
      <c r="D3230" s="5" t="s">
        <v>155</v>
      </c>
      <c r="E3230" s="5"/>
      <c r="G3230" s="5"/>
      <c r="H3230" s="5"/>
    </row>
    <row r="3231" spans="1:8" x14ac:dyDescent="0.2">
      <c r="A3231" s="5"/>
      <c r="B3231" s="5" t="s">
        <v>3766</v>
      </c>
      <c r="C3231" s="5"/>
      <c r="D3231" s="5" t="s">
        <v>322</v>
      </c>
      <c r="E3231" s="5"/>
      <c r="G3231" s="5"/>
      <c r="H3231" s="5"/>
    </row>
    <row r="3232" spans="1:8" x14ac:dyDescent="0.2">
      <c r="A3232" s="5"/>
      <c r="B3232" s="5" t="s">
        <v>3684</v>
      </c>
      <c r="C3232" s="5"/>
      <c r="D3232" s="5" t="s">
        <v>366</v>
      </c>
      <c r="E3232" s="5"/>
      <c r="G3232" s="5"/>
      <c r="H3232" s="5"/>
    </row>
    <row r="3233" spans="1:8" x14ac:dyDescent="0.2">
      <c r="A3233" s="5" t="s">
        <v>3767</v>
      </c>
      <c r="B3233" s="5" t="s">
        <v>3140</v>
      </c>
      <c r="C3233" s="8">
        <v>15</v>
      </c>
      <c r="D3233" s="5" t="s">
        <v>42</v>
      </c>
      <c r="E3233" s="5"/>
      <c r="G3233" s="5"/>
      <c r="H3233" s="5"/>
    </row>
    <row r="3234" spans="1:8" x14ac:dyDescent="0.2">
      <c r="A3234" s="5" t="s">
        <v>3768</v>
      </c>
      <c r="B3234" s="5" t="s">
        <v>3769</v>
      </c>
      <c r="C3234" s="8">
        <v>6</v>
      </c>
      <c r="D3234" s="5" t="s">
        <v>155</v>
      </c>
      <c r="E3234" s="5"/>
      <c r="G3234" s="5"/>
      <c r="H3234" s="5"/>
    </row>
    <row r="3235" spans="1:8" x14ac:dyDescent="0.2">
      <c r="A3235" s="5"/>
      <c r="B3235" s="5" t="s">
        <v>3770</v>
      </c>
      <c r="C3235" s="5"/>
      <c r="D3235" s="5" t="s">
        <v>15</v>
      </c>
      <c r="E3235" s="5"/>
      <c r="G3235" s="5"/>
      <c r="H3235" s="5"/>
    </row>
    <row r="3236" spans="1:8" x14ac:dyDescent="0.2">
      <c r="A3236" s="5"/>
      <c r="B3236" s="5" t="s">
        <v>3771</v>
      </c>
      <c r="C3236" s="5"/>
      <c r="D3236" s="5" t="s">
        <v>322</v>
      </c>
      <c r="E3236" s="5"/>
      <c r="G3236" s="5"/>
      <c r="H3236" s="5"/>
    </row>
    <row r="3237" spans="1:8" x14ac:dyDescent="0.2">
      <c r="A3237" s="5"/>
      <c r="B3237" s="5" t="s">
        <v>3772</v>
      </c>
      <c r="C3237" s="5"/>
      <c r="D3237" s="5" t="s">
        <v>366</v>
      </c>
      <c r="E3237" s="5"/>
      <c r="G3237" s="5"/>
      <c r="H3237" s="5"/>
    </row>
    <row r="3238" spans="1:8" x14ac:dyDescent="0.2">
      <c r="A3238" s="5" t="s">
        <v>3773</v>
      </c>
      <c r="B3238" s="5" t="s">
        <v>3144</v>
      </c>
      <c r="C3238" s="8">
        <v>7</v>
      </c>
      <c r="D3238" s="5" t="s">
        <v>155</v>
      </c>
      <c r="E3238" s="5"/>
      <c r="G3238" s="5"/>
      <c r="H3238" s="5"/>
    </row>
    <row r="3239" spans="1:8" x14ac:dyDescent="0.2">
      <c r="A3239" s="5"/>
      <c r="B3239" s="5" t="s">
        <v>3774</v>
      </c>
      <c r="C3239" s="5"/>
      <c r="D3239" s="5" t="s">
        <v>366</v>
      </c>
      <c r="E3239" s="5"/>
      <c r="G3239" s="5"/>
      <c r="H3239" s="5"/>
    </row>
    <row r="3240" spans="1:8" x14ac:dyDescent="0.2">
      <c r="A3240" s="5" t="s">
        <v>3775</v>
      </c>
      <c r="B3240" s="5" t="s">
        <v>3144</v>
      </c>
      <c r="C3240" s="8">
        <v>21</v>
      </c>
      <c r="D3240" s="5" t="s">
        <v>155</v>
      </c>
      <c r="E3240" s="5"/>
      <c r="G3240" s="5"/>
      <c r="H3240" s="5"/>
    </row>
    <row r="3241" spans="1:8" x14ac:dyDescent="0.2">
      <c r="A3241" s="5"/>
      <c r="B3241" s="5" t="s">
        <v>3776</v>
      </c>
      <c r="C3241" s="5"/>
      <c r="D3241" s="5" t="s">
        <v>366</v>
      </c>
      <c r="E3241" s="5"/>
      <c r="G3241" s="5"/>
      <c r="H3241" s="5"/>
    </row>
    <row r="3242" spans="1:8" x14ac:dyDescent="0.2">
      <c r="A3242" s="5" t="s">
        <v>3777</v>
      </c>
      <c r="B3242" s="5" t="s">
        <v>3142</v>
      </c>
      <c r="C3242" s="8">
        <v>56</v>
      </c>
      <c r="D3242" s="5" t="s">
        <v>155</v>
      </c>
      <c r="E3242" s="5"/>
      <c r="G3242" s="5"/>
      <c r="H3242" s="5"/>
    </row>
    <row r="3243" spans="1:8" x14ac:dyDescent="0.2">
      <c r="A3243" s="5"/>
      <c r="B3243" s="5" t="s">
        <v>3778</v>
      </c>
      <c r="C3243" s="5"/>
      <c r="D3243" s="5" t="s">
        <v>366</v>
      </c>
      <c r="E3243" s="5"/>
      <c r="G3243" s="5"/>
      <c r="H3243" s="5"/>
    </row>
    <row r="3244" spans="1:8" x14ac:dyDescent="0.2">
      <c r="A3244" s="5" t="s">
        <v>3779</v>
      </c>
      <c r="B3244" s="5" t="s">
        <v>3144</v>
      </c>
      <c r="C3244" s="8">
        <v>1</v>
      </c>
      <c r="D3244" s="5" t="s">
        <v>42</v>
      </c>
      <c r="E3244" s="5"/>
      <c r="G3244" s="5"/>
      <c r="H3244" s="5"/>
    </row>
    <row r="3245" spans="1:8" x14ac:dyDescent="0.2">
      <c r="A3245" s="5"/>
      <c r="B3245" s="5" t="s">
        <v>3780</v>
      </c>
      <c r="C3245" s="5"/>
      <c r="D3245" s="5" t="s">
        <v>366</v>
      </c>
      <c r="E3245" s="5"/>
      <c r="G3245" s="5"/>
      <c r="H3245" s="5"/>
    </row>
    <row r="3246" spans="1:8" x14ac:dyDescent="0.2">
      <c r="A3246" s="5" t="s">
        <v>3781</v>
      </c>
      <c r="B3246" s="5" t="s">
        <v>3140</v>
      </c>
      <c r="C3246" s="8">
        <v>37</v>
      </c>
      <c r="D3246" s="5" t="s">
        <v>42</v>
      </c>
      <c r="E3246" s="5"/>
      <c r="G3246" s="5"/>
      <c r="H3246" s="5"/>
    </row>
    <row r="3247" spans="1:8" x14ac:dyDescent="0.2">
      <c r="A3247" s="5"/>
      <c r="B3247" s="5" t="s">
        <v>3782</v>
      </c>
      <c r="C3247" s="5"/>
      <c r="D3247" s="5" t="s">
        <v>366</v>
      </c>
      <c r="E3247" s="5"/>
      <c r="G3247" s="5"/>
      <c r="H3247" s="5"/>
    </row>
    <row r="3248" spans="1:8" x14ac:dyDescent="0.2">
      <c r="A3248" s="5" t="s">
        <v>3783</v>
      </c>
      <c r="B3248" s="5" t="s">
        <v>3142</v>
      </c>
      <c r="C3248" s="8">
        <v>80</v>
      </c>
      <c r="D3248" s="5" t="s">
        <v>42</v>
      </c>
      <c r="E3248" s="5"/>
      <c r="G3248" s="5"/>
      <c r="H3248" s="5"/>
    </row>
    <row r="3249" spans="1:8" x14ac:dyDescent="0.2">
      <c r="A3249" s="5" t="s">
        <v>3784</v>
      </c>
      <c r="B3249" s="5" t="s">
        <v>3152</v>
      </c>
      <c r="C3249" s="8">
        <v>61</v>
      </c>
      <c r="D3249" s="5" t="s">
        <v>42</v>
      </c>
      <c r="E3249" s="5"/>
      <c r="G3249" s="5"/>
      <c r="H3249" s="5"/>
    </row>
    <row r="3250" spans="1:8" x14ac:dyDescent="0.2">
      <c r="A3250" s="5"/>
      <c r="B3250" s="5" t="s">
        <v>3785</v>
      </c>
      <c r="C3250" s="5"/>
      <c r="D3250" s="5" t="s">
        <v>366</v>
      </c>
      <c r="E3250" s="5"/>
      <c r="G3250" s="5"/>
      <c r="H3250" s="5"/>
    </row>
    <row r="3251" spans="1:8" x14ac:dyDescent="0.2">
      <c r="A3251" s="5" t="s">
        <v>3786</v>
      </c>
      <c r="B3251" s="5" t="s">
        <v>3142</v>
      </c>
      <c r="C3251" s="8">
        <v>8</v>
      </c>
      <c r="D3251" s="5" t="s">
        <v>42</v>
      </c>
      <c r="E3251" s="5"/>
      <c r="G3251" s="5"/>
      <c r="H3251" s="5"/>
    </row>
    <row r="3252" spans="1:8" x14ac:dyDescent="0.2">
      <c r="A3252" s="5"/>
      <c r="B3252" s="5" t="s">
        <v>3787</v>
      </c>
      <c r="C3252" s="5"/>
      <c r="D3252" s="5" t="s">
        <v>366</v>
      </c>
      <c r="E3252" s="5"/>
      <c r="G3252" s="5"/>
      <c r="H3252" s="5"/>
    </row>
    <row r="3253" spans="1:8" x14ac:dyDescent="0.2">
      <c r="A3253" s="5" t="s">
        <v>3788</v>
      </c>
      <c r="B3253" s="5" t="s">
        <v>3152</v>
      </c>
      <c r="C3253" s="8">
        <v>15</v>
      </c>
      <c r="D3253" s="5" t="s">
        <v>42</v>
      </c>
      <c r="E3253" s="5"/>
      <c r="G3253" s="5"/>
      <c r="H3253" s="5"/>
    </row>
    <row r="3254" spans="1:8" x14ac:dyDescent="0.2">
      <c r="A3254" s="5"/>
      <c r="B3254" s="5" t="s">
        <v>3789</v>
      </c>
      <c r="C3254" s="5"/>
      <c r="D3254" s="5" t="s">
        <v>366</v>
      </c>
      <c r="E3254" s="5"/>
      <c r="G3254" s="5"/>
      <c r="H3254" s="5"/>
    </row>
    <row r="3255" spans="1:8" x14ac:dyDescent="0.2">
      <c r="A3255" s="5" t="s">
        <v>3790</v>
      </c>
      <c r="B3255" s="5" t="s">
        <v>3144</v>
      </c>
      <c r="C3255" s="8">
        <v>12</v>
      </c>
      <c r="D3255" s="5" t="s">
        <v>42</v>
      </c>
      <c r="E3255" s="5"/>
      <c r="G3255" s="5"/>
      <c r="H3255" s="5"/>
    </row>
    <row r="3256" spans="1:8" x14ac:dyDescent="0.2">
      <c r="A3256" s="5"/>
      <c r="B3256" s="5" t="s">
        <v>3791</v>
      </c>
      <c r="C3256" s="5"/>
      <c r="D3256" s="5" t="s">
        <v>366</v>
      </c>
      <c r="E3256" s="5"/>
      <c r="G3256" s="5"/>
      <c r="H3256" s="5"/>
    </row>
    <row r="3257" spans="1:8" x14ac:dyDescent="0.2">
      <c r="A3257" s="5" t="s">
        <v>3792</v>
      </c>
      <c r="B3257" s="5" t="s">
        <v>3142</v>
      </c>
      <c r="C3257" s="8">
        <v>17</v>
      </c>
      <c r="D3257" s="5" t="s">
        <v>42</v>
      </c>
      <c r="E3257" s="5"/>
      <c r="G3257" s="5"/>
      <c r="H3257" s="5"/>
    </row>
    <row r="3258" spans="1:8" x14ac:dyDescent="0.2">
      <c r="A3258" s="5"/>
      <c r="B3258" s="5" t="s">
        <v>3793</v>
      </c>
      <c r="C3258" s="5"/>
      <c r="D3258" s="5" t="s">
        <v>322</v>
      </c>
      <c r="E3258" s="5"/>
      <c r="G3258" s="5"/>
      <c r="H3258" s="5"/>
    </row>
    <row r="3259" spans="1:8" x14ac:dyDescent="0.2">
      <c r="A3259" s="5"/>
      <c r="B3259" s="5" t="s">
        <v>3794</v>
      </c>
      <c r="C3259" s="5"/>
      <c r="D3259" s="5" t="s">
        <v>366</v>
      </c>
      <c r="E3259" s="5"/>
      <c r="G3259" s="5"/>
      <c r="H3259" s="5"/>
    </row>
    <row r="3260" spans="1:8" x14ac:dyDescent="0.2">
      <c r="A3260" s="5" t="s">
        <v>3795</v>
      </c>
      <c r="B3260" s="5" t="s">
        <v>3144</v>
      </c>
      <c r="C3260" s="8">
        <v>6</v>
      </c>
      <c r="D3260" s="5" t="s">
        <v>42</v>
      </c>
      <c r="E3260" s="5"/>
      <c r="G3260" s="5"/>
      <c r="H3260" s="5"/>
    </row>
    <row r="3261" spans="1:8" x14ac:dyDescent="0.2">
      <c r="A3261" s="5"/>
      <c r="B3261" s="5" t="s">
        <v>3796</v>
      </c>
      <c r="C3261" s="5"/>
      <c r="D3261" s="5" t="s">
        <v>322</v>
      </c>
      <c r="E3261" s="5"/>
      <c r="G3261" s="5"/>
      <c r="H3261" s="5"/>
    </row>
    <row r="3262" spans="1:8" x14ac:dyDescent="0.2">
      <c r="A3262" s="5"/>
      <c r="B3262" s="5" t="s">
        <v>3797</v>
      </c>
      <c r="C3262" s="5"/>
      <c r="D3262" s="5" t="s">
        <v>366</v>
      </c>
      <c r="E3262" s="5"/>
      <c r="G3262" s="5"/>
      <c r="H3262" s="5"/>
    </row>
    <row r="3263" spans="1:8" x14ac:dyDescent="0.2">
      <c r="A3263" s="5" t="s">
        <v>3798</v>
      </c>
      <c r="B3263" s="5" t="s">
        <v>3140</v>
      </c>
      <c r="C3263" s="8">
        <v>37</v>
      </c>
      <c r="D3263" s="5" t="s">
        <v>155</v>
      </c>
      <c r="E3263" s="5"/>
      <c r="G3263" s="5"/>
      <c r="H3263" s="5"/>
    </row>
    <row r="3264" spans="1:8" x14ac:dyDescent="0.2">
      <c r="A3264" s="5"/>
      <c r="B3264" s="5" t="s">
        <v>3799</v>
      </c>
      <c r="C3264" s="5"/>
      <c r="D3264" s="5" t="s">
        <v>366</v>
      </c>
      <c r="E3264" s="5"/>
      <c r="G3264" s="5"/>
      <c r="H3264" s="5"/>
    </row>
    <row r="3265" spans="1:8" x14ac:dyDescent="0.2">
      <c r="A3265" s="5" t="s">
        <v>3800</v>
      </c>
      <c r="B3265" s="5" t="s">
        <v>3142</v>
      </c>
      <c r="C3265" s="8">
        <v>44</v>
      </c>
      <c r="D3265" s="5" t="s">
        <v>155</v>
      </c>
      <c r="E3265" s="5"/>
      <c r="G3265" s="5"/>
      <c r="H3265" s="5"/>
    </row>
    <row r="3266" spans="1:8" x14ac:dyDescent="0.2">
      <c r="A3266" s="5" t="s">
        <v>3801</v>
      </c>
      <c r="B3266" s="5" t="s">
        <v>3152</v>
      </c>
      <c r="C3266" s="8">
        <v>46</v>
      </c>
      <c r="D3266" s="5" t="s">
        <v>155</v>
      </c>
      <c r="E3266" s="5"/>
      <c r="G3266" s="5"/>
      <c r="H3266" s="5"/>
    </row>
    <row r="3267" spans="1:8" x14ac:dyDescent="0.2">
      <c r="A3267" s="5" t="s">
        <v>3802</v>
      </c>
      <c r="B3267" s="5" t="s">
        <v>3144</v>
      </c>
      <c r="C3267" s="8">
        <v>41</v>
      </c>
      <c r="D3267" s="5" t="s">
        <v>155</v>
      </c>
      <c r="E3267" s="5"/>
      <c r="G3267" s="5"/>
      <c r="H3267" s="5"/>
    </row>
    <row r="3268" spans="1:8" x14ac:dyDescent="0.2">
      <c r="A3268" s="5"/>
      <c r="B3268" s="5" t="s">
        <v>3803</v>
      </c>
      <c r="C3268" s="5"/>
      <c r="D3268" s="5" t="s">
        <v>366</v>
      </c>
      <c r="E3268" s="5"/>
      <c r="G3268" s="5"/>
      <c r="H3268" s="5"/>
    </row>
    <row r="3269" spans="1:8" x14ac:dyDescent="0.2">
      <c r="A3269" s="5" t="s">
        <v>3804</v>
      </c>
      <c r="B3269" s="5" t="s">
        <v>3140</v>
      </c>
      <c r="C3269" s="8">
        <v>256</v>
      </c>
      <c r="D3269" s="5" t="s">
        <v>155</v>
      </c>
      <c r="E3269" s="5"/>
      <c r="G3269" s="5"/>
      <c r="H3269" s="5"/>
    </row>
    <row r="3270" spans="1:8" x14ac:dyDescent="0.2">
      <c r="A3270" s="5" t="s">
        <v>3805</v>
      </c>
      <c r="B3270" s="5" t="s">
        <v>3152</v>
      </c>
      <c r="C3270" s="8">
        <v>56</v>
      </c>
      <c r="D3270" s="5" t="s">
        <v>155</v>
      </c>
      <c r="E3270" s="5"/>
      <c r="G3270" s="5"/>
      <c r="H3270" s="5"/>
    </row>
    <row r="3271" spans="1:8" x14ac:dyDescent="0.2">
      <c r="A3271" s="5" t="s">
        <v>3806</v>
      </c>
      <c r="B3271" s="5" t="s">
        <v>3144</v>
      </c>
      <c r="C3271" s="8">
        <v>85</v>
      </c>
      <c r="D3271" s="5" t="s">
        <v>155</v>
      </c>
      <c r="E3271" s="5"/>
      <c r="G3271" s="5"/>
      <c r="H3271" s="5"/>
    </row>
    <row r="3272" spans="1:8" x14ac:dyDescent="0.2">
      <c r="A3272" s="5"/>
      <c r="B3272" s="5" t="s">
        <v>3807</v>
      </c>
      <c r="C3272" s="5"/>
      <c r="D3272" s="5" t="s">
        <v>366</v>
      </c>
      <c r="E3272" s="5"/>
      <c r="G3272" s="5"/>
      <c r="H3272" s="5"/>
    </row>
    <row r="3273" spans="1:8" x14ac:dyDescent="0.2">
      <c r="A3273" s="5" t="s">
        <v>3808</v>
      </c>
      <c r="B3273" s="5" t="s">
        <v>3140</v>
      </c>
      <c r="C3273" s="8">
        <v>287</v>
      </c>
      <c r="D3273" s="5" t="s">
        <v>155</v>
      </c>
      <c r="E3273" s="5"/>
      <c r="G3273" s="5"/>
      <c r="H3273" s="5"/>
    </row>
    <row r="3274" spans="1:8" x14ac:dyDescent="0.2">
      <c r="A3274" s="5" t="s">
        <v>3809</v>
      </c>
      <c r="B3274" s="5" t="s">
        <v>3142</v>
      </c>
      <c r="C3274" s="8">
        <v>487</v>
      </c>
      <c r="D3274" s="5" t="s">
        <v>155</v>
      </c>
      <c r="E3274" s="5"/>
      <c r="G3274" s="5"/>
      <c r="H3274" s="5"/>
    </row>
    <row r="3275" spans="1:8" x14ac:dyDescent="0.2">
      <c r="A3275" s="5" t="s">
        <v>3810</v>
      </c>
      <c r="B3275" s="5" t="s">
        <v>3152</v>
      </c>
      <c r="C3275" s="8">
        <v>559</v>
      </c>
      <c r="D3275" s="5" t="s">
        <v>155</v>
      </c>
      <c r="E3275" s="5"/>
      <c r="G3275" s="5"/>
      <c r="H3275" s="5"/>
    </row>
    <row r="3276" spans="1:8" x14ac:dyDescent="0.2">
      <c r="A3276" s="5" t="s">
        <v>3811</v>
      </c>
      <c r="B3276" s="5" t="s">
        <v>3144</v>
      </c>
      <c r="C3276" s="8">
        <v>232</v>
      </c>
      <c r="D3276" s="5" t="s">
        <v>155</v>
      </c>
      <c r="E3276" s="5"/>
      <c r="G3276" s="5"/>
      <c r="H3276" s="5"/>
    </row>
    <row r="3277" spans="1:8" x14ac:dyDescent="0.2">
      <c r="A3277" s="5"/>
      <c r="B3277" s="5" t="s">
        <v>3812</v>
      </c>
      <c r="C3277" s="5"/>
      <c r="D3277" s="5" t="s">
        <v>366</v>
      </c>
      <c r="E3277" s="5"/>
      <c r="G3277" s="5"/>
      <c r="H3277" s="5"/>
    </row>
    <row r="3278" spans="1:8" x14ac:dyDescent="0.2">
      <c r="A3278" s="5" t="s">
        <v>3813</v>
      </c>
      <c r="B3278" s="5" t="s">
        <v>3142</v>
      </c>
      <c r="C3278" s="8">
        <v>214</v>
      </c>
      <c r="D3278" s="5" t="s">
        <v>155</v>
      </c>
      <c r="E3278" s="5"/>
      <c r="G3278" s="5"/>
      <c r="H3278" s="5"/>
    </row>
    <row r="3279" spans="1:8" x14ac:dyDescent="0.2">
      <c r="A3279" s="5" t="s">
        <v>3814</v>
      </c>
      <c r="B3279" s="5" t="s">
        <v>3152</v>
      </c>
      <c r="C3279" s="8">
        <v>211</v>
      </c>
      <c r="D3279" s="5" t="s">
        <v>155</v>
      </c>
      <c r="E3279" s="5"/>
      <c r="G3279" s="5"/>
      <c r="H3279" s="5"/>
    </row>
    <row r="3280" spans="1:8" x14ac:dyDescent="0.2">
      <c r="A3280" s="5" t="s">
        <v>3815</v>
      </c>
      <c r="B3280" s="5" t="s">
        <v>3144</v>
      </c>
      <c r="C3280" s="8">
        <v>110</v>
      </c>
      <c r="D3280" s="5" t="s">
        <v>155</v>
      </c>
      <c r="E3280" s="5"/>
      <c r="G3280" s="5"/>
      <c r="H3280" s="5"/>
    </row>
    <row r="3281" spans="1:8" x14ac:dyDescent="0.2">
      <c r="A3281" s="5"/>
      <c r="B3281" s="5" t="s">
        <v>3816</v>
      </c>
      <c r="C3281" s="5"/>
      <c r="D3281" s="5" t="s">
        <v>322</v>
      </c>
      <c r="E3281" s="5"/>
      <c r="G3281" s="5"/>
      <c r="H3281" s="5"/>
    </row>
    <row r="3282" spans="1:8" x14ac:dyDescent="0.2">
      <c r="A3282" s="5"/>
      <c r="B3282" s="5" t="s">
        <v>3817</v>
      </c>
      <c r="C3282" s="5"/>
      <c r="D3282" s="5" t="s">
        <v>366</v>
      </c>
      <c r="E3282" s="5"/>
      <c r="G3282" s="5"/>
      <c r="H3282" s="5"/>
    </row>
    <row r="3283" spans="1:8" x14ac:dyDescent="0.2">
      <c r="A3283" s="5" t="s">
        <v>3818</v>
      </c>
      <c r="B3283" s="5" t="s">
        <v>3819</v>
      </c>
      <c r="C3283" s="8">
        <v>22</v>
      </c>
      <c r="D3283" s="5" t="s">
        <v>162</v>
      </c>
      <c r="E3283" s="5"/>
      <c r="G3283" s="5"/>
      <c r="H3283" s="5"/>
    </row>
    <row r="3284" spans="1:8" x14ac:dyDescent="0.2">
      <c r="A3284" s="5" t="s">
        <v>3820</v>
      </c>
      <c r="B3284" s="5" t="s">
        <v>3821</v>
      </c>
      <c r="C3284" s="8">
        <v>15</v>
      </c>
      <c r="D3284" s="5" t="s">
        <v>162</v>
      </c>
      <c r="E3284" s="5"/>
      <c r="G3284" s="5"/>
      <c r="H3284" s="5"/>
    </row>
    <row r="3285" spans="1:8" x14ac:dyDescent="0.2">
      <c r="A3285" s="5" t="s">
        <v>3822</v>
      </c>
      <c r="B3285" s="5" t="s">
        <v>3823</v>
      </c>
      <c r="C3285" s="8">
        <v>7</v>
      </c>
      <c r="D3285" s="5" t="s">
        <v>162</v>
      </c>
      <c r="E3285" s="5"/>
      <c r="G3285" s="5"/>
      <c r="H3285" s="5"/>
    </row>
    <row r="3286" spans="1:8" x14ac:dyDescent="0.2">
      <c r="A3286" s="5" t="s">
        <v>3824</v>
      </c>
      <c r="B3286" s="5" t="s">
        <v>3825</v>
      </c>
      <c r="C3286" s="8">
        <v>2</v>
      </c>
      <c r="D3286" s="5" t="s">
        <v>162</v>
      </c>
      <c r="E3286" s="5"/>
      <c r="G3286" s="5"/>
      <c r="H3286" s="5"/>
    </row>
    <row r="3287" spans="1:8" x14ac:dyDescent="0.2">
      <c r="A3287" s="5"/>
      <c r="B3287" s="5" t="s">
        <v>3826</v>
      </c>
      <c r="C3287" s="5"/>
      <c r="D3287" s="5" t="s">
        <v>322</v>
      </c>
      <c r="E3287" s="5"/>
      <c r="G3287" s="5"/>
      <c r="H3287" s="5"/>
    </row>
    <row r="3288" spans="1:8" x14ac:dyDescent="0.2">
      <c r="A3288" s="5"/>
      <c r="B3288" s="5" t="s">
        <v>3827</v>
      </c>
      <c r="C3288" s="5"/>
      <c r="D3288" s="5" t="s">
        <v>366</v>
      </c>
      <c r="E3288" s="5"/>
      <c r="G3288" s="5"/>
      <c r="H3288" s="5"/>
    </row>
    <row r="3289" spans="1:8" x14ac:dyDescent="0.2">
      <c r="A3289" s="5" t="s">
        <v>3828</v>
      </c>
      <c r="B3289" s="5" t="s">
        <v>3142</v>
      </c>
      <c r="C3289" s="8">
        <v>20</v>
      </c>
      <c r="D3289" s="5" t="s">
        <v>155</v>
      </c>
      <c r="E3289" s="5"/>
      <c r="G3289" s="5"/>
      <c r="H3289" s="5"/>
    </row>
    <row r="3290" spans="1:8" x14ac:dyDescent="0.2">
      <c r="A3290" s="5" t="s">
        <v>3829</v>
      </c>
      <c r="B3290" s="5" t="s">
        <v>3152</v>
      </c>
      <c r="C3290" s="8">
        <v>20</v>
      </c>
      <c r="D3290" s="5" t="s">
        <v>155</v>
      </c>
      <c r="E3290" s="5"/>
      <c r="G3290" s="5"/>
      <c r="H3290" s="5"/>
    </row>
    <row r="3291" spans="1:8" x14ac:dyDescent="0.2">
      <c r="A3291" s="5"/>
      <c r="B3291" s="5" t="s">
        <v>3830</v>
      </c>
      <c r="C3291" s="5"/>
      <c r="D3291" s="5" t="s">
        <v>366</v>
      </c>
      <c r="E3291" s="5"/>
      <c r="G3291" s="5"/>
      <c r="H3291" s="5"/>
    </row>
    <row r="3292" spans="1:8" x14ac:dyDescent="0.2">
      <c r="A3292" s="5" t="s">
        <v>3831</v>
      </c>
      <c r="B3292" s="5" t="s">
        <v>3140</v>
      </c>
      <c r="C3292" s="8">
        <v>36</v>
      </c>
      <c r="D3292" s="5" t="s">
        <v>155</v>
      </c>
      <c r="E3292" s="5"/>
      <c r="G3292" s="5"/>
      <c r="H3292" s="5"/>
    </row>
    <row r="3293" spans="1:8" x14ac:dyDescent="0.2">
      <c r="A3293" s="5"/>
      <c r="B3293" s="5" t="s">
        <v>53</v>
      </c>
      <c r="C3293" s="5"/>
      <c r="D3293" s="5" t="s">
        <v>13</v>
      </c>
      <c r="E3293" s="5"/>
      <c r="G3293" s="5"/>
      <c r="H3293" s="5"/>
    </row>
    <row r="3294" spans="1:8" x14ac:dyDescent="0.2">
      <c r="A3294" s="5"/>
      <c r="B3294" s="5" t="s">
        <v>3677</v>
      </c>
      <c r="C3294" s="5"/>
      <c r="D3294" s="5" t="s">
        <v>15</v>
      </c>
      <c r="E3294" s="5"/>
      <c r="G3294" s="5"/>
      <c r="H3294" s="5"/>
    </row>
    <row r="3295" spans="1:8" x14ac:dyDescent="0.2">
      <c r="A3295" s="5"/>
      <c r="B3295" s="5" t="s">
        <v>3678</v>
      </c>
      <c r="C3295" s="5"/>
      <c r="D3295" s="5" t="s">
        <v>322</v>
      </c>
      <c r="E3295" s="5"/>
      <c r="G3295" s="5"/>
      <c r="H3295" s="5"/>
    </row>
    <row r="3296" spans="1:8" x14ac:dyDescent="0.2">
      <c r="A3296" s="5"/>
      <c r="B3296" s="5" t="s">
        <v>3832</v>
      </c>
      <c r="C3296" s="5"/>
      <c r="D3296" s="5" t="s">
        <v>366</v>
      </c>
      <c r="E3296" s="5"/>
      <c r="G3296" s="5"/>
      <c r="H3296" s="5"/>
    </row>
    <row r="3297" spans="1:8" x14ac:dyDescent="0.2">
      <c r="A3297" s="5" t="s">
        <v>3833</v>
      </c>
      <c r="B3297" s="5" t="s">
        <v>3237</v>
      </c>
      <c r="C3297" s="8">
        <v>40</v>
      </c>
      <c r="D3297" s="5" t="s">
        <v>42</v>
      </c>
      <c r="E3297" s="5"/>
      <c r="G3297" s="5"/>
      <c r="H3297" s="5"/>
    </row>
    <row r="3298" spans="1:8" x14ac:dyDescent="0.2">
      <c r="A3298" s="5" t="s">
        <v>3834</v>
      </c>
      <c r="B3298" s="5" t="s">
        <v>3244</v>
      </c>
      <c r="C3298" s="8">
        <v>47</v>
      </c>
      <c r="D3298" s="5" t="s">
        <v>42</v>
      </c>
      <c r="E3298" s="5"/>
      <c r="G3298" s="5"/>
      <c r="H3298" s="5"/>
    </row>
    <row r="3299" spans="1:8" x14ac:dyDescent="0.2">
      <c r="A3299" s="5"/>
      <c r="B3299" s="5" t="s">
        <v>3835</v>
      </c>
      <c r="C3299" s="5"/>
      <c r="D3299" s="5" t="s">
        <v>366</v>
      </c>
      <c r="E3299" s="5"/>
      <c r="G3299" s="5"/>
      <c r="H3299" s="5"/>
    </row>
    <row r="3300" spans="1:8" x14ac:dyDescent="0.2">
      <c r="A3300" s="5" t="s">
        <v>3836</v>
      </c>
      <c r="B3300" s="5" t="s">
        <v>3235</v>
      </c>
      <c r="C3300" s="8">
        <v>1</v>
      </c>
      <c r="D3300" s="5" t="s">
        <v>162</v>
      </c>
      <c r="E3300" s="5"/>
      <c r="G3300" s="5"/>
      <c r="H3300" s="5"/>
    </row>
    <row r="3301" spans="1:8" x14ac:dyDescent="0.2">
      <c r="A3301" s="5"/>
      <c r="B3301" s="5" t="s">
        <v>3837</v>
      </c>
      <c r="C3301" s="5"/>
      <c r="D3301" s="5" t="s">
        <v>366</v>
      </c>
      <c r="E3301" s="5"/>
      <c r="G3301" s="5"/>
      <c r="H3301" s="5"/>
    </row>
    <row r="3302" spans="1:8" x14ac:dyDescent="0.2">
      <c r="A3302" s="5" t="s">
        <v>3838</v>
      </c>
      <c r="B3302" s="5" t="s">
        <v>3235</v>
      </c>
      <c r="C3302" s="8">
        <v>3</v>
      </c>
      <c r="D3302" s="5" t="s">
        <v>162</v>
      </c>
      <c r="E3302" s="5"/>
      <c r="G3302" s="5"/>
      <c r="H3302" s="5"/>
    </row>
    <row r="3303" spans="1:8" x14ac:dyDescent="0.2">
      <c r="A3303" s="5"/>
      <c r="B3303" s="5" t="s">
        <v>3839</v>
      </c>
      <c r="C3303" s="5"/>
      <c r="D3303" s="5" t="s">
        <v>366</v>
      </c>
      <c r="E3303" s="5"/>
      <c r="G3303" s="5"/>
      <c r="H3303" s="5"/>
    </row>
    <row r="3304" spans="1:8" x14ac:dyDescent="0.2">
      <c r="A3304" s="5" t="s">
        <v>3840</v>
      </c>
      <c r="B3304" s="5" t="s">
        <v>3235</v>
      </c>
      <c r="C3304" s="8">
        <v>2</v>
      </c>
      <c r="D3304" s="5" t="s">
        <v>162</v>
      </c>
      <c r="E3304" s="5"/>
      <c r="G3304" s="5"/>
      <c r="H3304" s="5"/>
    </row>
    <row r="3305" spans="1:8" x14ac:dyDescent="0.2">
      <c r="A3305" s="5"/>
      <c r="B3305" s="5" t="s">
        <v>3686</v>
      </c>
      <c r="C3305" s="5"/>
      <c r="D3305" s="5" t="s">
        <v>366</v>
      </c>
      <c r="E3305" s="5"/>
      <c r="G3305" s="5"/>
      <c r="H3305" s="5"/>
    </row>
    <row r="3306" spans="1:8" x14ac:dyDescent="0.2">
      <c r="A3306" s="5" t="s">
        <v>3841</v>
      </c>
      <c r="B3306" s="5" t="s">
        <v>3235</v>
      </c>
      <c r="C3306" s="8">
        <v>144</v>
      </c>
      <c r="D3306" s="5" t="s">
        <v>42</v>
      </c>
      <c r="E3306" s="5"/>
      <c r="G3306" s="5"/>
      <c r="H3306" s="5"/>
    </row>
    <row r="3307" spans="1:8" x14ac:dyDescent="0.2">
      <c r="A3307" s="5" t="s">
        <v>3842</v>
      </c>
      <c r="B3307" s="5" t="s">
        <v>3237</v>
      </c>
      <c r="C3307" s="8">
        <v>155</v>
      </c>
      <c r="D3307" s="5" t="s">
        <v>42</v>
      </c>
      <c r="E3307" s="5"/>
      <c r="G3307" s="5"/>
      <c r="H3307" s="5"/>
    </row>
    <row r="3308" spans="1:8" x14ac:dyDescent="0.2">
      <c r="A3308" s="5" t="s">
        <v>3843</v>
      </c>
      <c r="B3308" s="5" t="s">
        <v>3244</v>
      </c>
      <c r="C3308" s="8">
        <v>167</v>
      </c>
      <c r="D3308" s="5" t="s">
        <v>42</v>
      </c>
      <c r="E3308" s="5"/>
      <c r="G3308" s="5"/>
      <c r="H3308" s="5"/>
    </row>
    <row r="3309" spans="1:8" x14ac:dyDescent="0.2">
      <c r="A3309" s="5" t="s">
        <v>3844</v>
      </c>
      <c r="B3309" s="5" t="s">
        <v>3239</v>
      </c>
      <c r="C3309" s="8">
        <v>101</v>
      </c>
      <c r="D3309" s="5" t="s">
        <v>42</v>
      </c>
      <c r="E3309" s="5"/>
      <c r="G3309" s="5"/>
      <c r="H3309" s="5"/>
    </row>
    <row r="3310" spans="1:8" x14ac:dyDescent="0.2">
      <c r="A3310" s="5" t="s">
        <v>3845</v>
      </c>
      <c r="B3310" s="5" t="s">
        <v>3692</v>
      </c>
      <c r="C3310" s="8">
        <v>35</v>
      </c>
      <c r="D3310" s="5" t="s">
        <v>155</v>
      </c>
      <c r="E3310" s="5"/>
      <c r="G3310" s="5"/>
      <c r="H3310" s="5"/>
    </row>
    <row r="3311" spans="1:8" x14ac:dyDescent="0.2">
      <c r="A3311" s="5" t="s">
        <v>3846</v>
      </c>
      <c r="B3311" s="5" t="s">
        <v>3847</v>
      </c>
      <c r="C3311" s="8">
        <v>32</v>
      </c>
      <c r="D3311" s="5" t="s">
        <v>155</v>
      </c>
      <c r="E3311" s="5"/>
      <c r="G3311" s="5"/>
      <c r="H3311" s="5"/>
    </row>
    <row r="3312" spans="1:8" x14ac:dyDescent="0.2">
      <c r="A3312" s="5"/>
      <c r="B3312" s="5" t="s">
        <v>3697</v>
      </c>
      <c r="C3312" s="5"/>
      <c r="D3312" s="5" t="s">
        <v>366</v>
      </c>
      <c r="E3312" s="5"/>
      <c r="G3312" s="5"/>
      <c r="H3312" s="5"/>
    </row>
    <row r="3313" spans="1:8" x14ac:dyDescent="0.2">
      <c r="A3313" s="5" t="s">
        <v>3848</v>
      </c>
      <c r="B3313" s="5" t="s">
        <v>3235</v>
      </c>
      <c r="C3313" s="8">
        <v>36</v>
      </c>
      <c r="D3313" s="5" t="s">
        <v>42</v>
      </c>
      <c r="E3313" s="5"/>
      <c r="G3313" s="5"/>
      <c r="H3313" s="5"/>
    </row>
    <row r="3314" spans="1:8" x14ac:dyDescent="0.2">
      <c r="A3314" s="5" t="s">
        <v>3849</v>
      </c>
      <c r="B3314" s="5" t="s">
        <v>3237</v>
      </c>
      <c r="C3314" s="8">
        <v>16</v>
      </c>
      <c r="D3314" s="5" t="s">
        <v>42</v>
      </c>
      <c r="E3314" s="5"/>
      <c r="G3314" s="5"/>
      <c r="H3314" s="5"/>
    </row>
    <row r="3315" spans="1:8" x14ac:dyDescent="0.2">
      <c r="A3315" s="5" t="s">
        <v>3850</v>
      </c>
      <c r="B3315" s="5" t="s">
        <v>3244</v>
      </c>
      <c r="C3315" s="8">
        <v>16</v>
      </c>
      <c r="D3315" s="5" t="s">
        <v>42</v>
      </c>
      <c r="E3315" s="5"/>
      <c r="G3315" s="5"/>
      <c r="H3315" s="5"/>
    </row>
    <row r="3316" spans="1:8" x14ac:dyDescent="0.2">
      <c r="A3316" s="5" t="s">
        <v>3851</v>
      </c>
      <c r="B3316" s="5" t="s">
        <v>3239</v>
      </c>
      <c r="C3316" s="8">
        <v>17</v>
      </c>
      <c r="D3316" s="5" t="s">
        <v>42</v>
      </c>
      <c r="E3316" s="5"/>
      <c r="G3316" s="5"/>
      <c r="H3316" s="5"/>
    </row>
    <row r="3317" spans="1:8" x14ac:dyDescent="0.2">
      <c r="A3317" s="5"/>
      <c r="B3317" s="5" t="s">
        <v>3706</v>
      </c>
      <c r="C3317" s="5"/>
      <c r="D3317" s="5" t="s">
        <v>366</v>
      </c>
      <c r="E3317" s="5"/>
      <c r="G3317" s="5"/>
      <c r="H3317" s="5"/>
    </row>
    <row r="3318" spans="1:8" x14ac:dyDescent="0.2">
      <c r="A3318" s="5" t="s">
        <v>3852</v>
      </c>
      <c r="B3318" s="5" t="s">
        <v>3235</v>
      </c>
      <c r="C3318" s="8">
        <v>358</v>
      </c>
      <c r="D3318" s="5" t="s">
        <v>42</v>
      </c>
      <c r="E3318" s="5"/>
      <c r="G3318" s="5"/>
      <c r="H3318" s="5"/>
    </row>
    <row r="3319" spans="1:8" x14ac:dyDescent="0.2">
      <c r="A3319" s="5" t="s">
        <v>3853</v>
      </c>
      <c r="B3319" s="5" t="s">
        <v>3237</v>
      </c>
      <c r="C3319" s="8">
        <v>47</v>
      </c>
      <c r="D3319" s="5" t="s">
        <v>42</v>
      </c>
      <c r="E3319" s="5"/>
      <c r="G3319" s="5"/>
      <c r="H3319" s="5"/>
    </row>
    <row r="3320" spans="1:8" x14ac:dyDescent="0.2">
      <c r="A3320" s="5" t="s">
        <v>3854</v>
      </c>
      <c r="B3320" s="5" t="s">
        <v>3244</v>
      </c>
      <c r="C3320" s="8">
        <v>150</v>
      </c>
      <c r="D3320" s="5" t="s">
        <v>42</v>
      </c>
      <c r="E3320" s="5"/>
      <c r="G3320" s="5"/>
      <c r="H3320" s="5"/>
    </row>
    <row r="3321" spans="1:8" x14ac:dyDescent="0.2">
      <c r="A3321" s="5" t="s">
        <v>3855</v>
      </c>
      <c r="B3321" s="5" t="s">
        <v>3711</v>
      </c>
      <c r="C3321" s="8">
        <v>143</v>
      </c>
      <c r="D3321" s="5" t="s">
        <v>155</v>
      </c>
      <c r="E3321" s="5"/>
      <c r="G3321" s="5"/>
      <c r="H3321" s="5"/>
    </row>
    <row r="3322" spans="1:8" x14ac:dyDescent="0.2">
      <c r="A3322" s="5" t="s">
        <v>3856</v>
      </c>
      <c r="B3322" s="5" t="s">
        <v>3713</v>
      </c>
      <c r="C3322" s="8">
        <v>9</v>
      </c>
      <c r="D3322" s="5" t="s">
        <v>155</v>
      </c>
      <c r="E3322" s="5"/>
      <c r="G3322" s="5"/>
      <c r="H3322" s="5"/>
    </row>
    <row r="3323" spans="1:8" x14ac:dyDescent="0.2">
      <c r="A3323" s="5"/>
      <c r="B3323" s="5" t="s">
        <v>3857</v>
      </c>
      <c r="C3323" s="5"/>
      <c r="D3323" s="5" t="s">
        <v>366</v>
      </c>
      <c r="E3323" s="5"/>
      <c r="G3323" s="5"/>
      <c r="H3323" s="5"/>
    </row>
    <row r="3324" spans="1:8" x14ac:dyDescent="0.2">
      <c r="A3324" s="5" t="s">
        <v>3858</v>
      </c>
      <c r="B3324" s="5" t="s">
        <v>3235</v>
      </c>
      <c r="C3324" s="8">
        <v>96</v>
      </c>
      <c r="D3324" s="5" t="s">
        <v>42</v>
      </c>
      <c r="E3324" s="5"/>
      <c r="G3324" s="5"/>
      <c r="H3324" s="5"/>
    </row>
    <row r="3325" spans="1:8" x14ac:dyDescent="0.2">
      <c r="A3325" s="5" t="s">
        <v>3859</v>
      </c>
      <c r="B3325" s="5" t="s">
        <v>3237</v>
      </c>
      <c r="C3325" s="8">
        <v>268</v>
      </c>
      <c r="D3325" s="5" t="s">
        <v>42</v>
      </c>
      <c r="E3325" s="5"/>
      <c r="G3325" s="5"/>
      <c r="H3325" s="5"/>
    </row>
    <row r="3326" spans="1:8" x14ac:dyDescent="0.2">
      <c r="A3326" s="5" t="s">
        <v>3860</v>
      </c>
      <c r="B3326" s="5" t="s">
        <v>3244</v>
      </c>
      <c r="C3326" s="8">
        <v>288</v>
      </c>
      <c r="D3326" s="5" t="s">
        <v>42</v>
      </c>
      <c r="E3326" s="5"/>
      <c r="G3326" s="5"/>
      <c r="H3326" s="5"/>
    </row>
    <row r="3327" spans="1:8" x14ac:dyDescent="0.2">
      <c r="A3327" s="5" t="s">
        <v>3861</v>
      </c>
      <c r="B3327" s="5" t="s">
        <v>3726</v>
      </c>
      <c r="C3327" s="8">
        <v>6</v>
      </c>
      <c r="D3327" s="5" t="s">
        <v>155</v>
      </c>
      <c r="E3327" s="5"/>
      <c r="G3327" s="5"/>
      <c r="H3327" s="5"/>
    </row>
    <row r="3328" spans="1:8" x14ac:dyDescent="0.2">
      <c r="A3328" s="5"/>
      <c r="B3328" s="5" t="s">
        <v>3727</v>
      </c>
      <c r="C3328" s="5"/>
      <c r="D3328" s="5" t="s">
        <v>366</v>
      </c>
      <c r="E3328" s="5"/>
      <c r="G3328" s="5"/>
      <c r="H3328" s="5"/>
    </row>
    <row r="3329" spans="1:8" x14ac:dyDescent="0.2">
      <c r="A3329" s="5" t="s">
        <v>3862</v>
      </c>
      <c r="B3329" s="5" t="s">
        <v>3235</v>
      </c>
      <c r="C3329" s="8">
        <v>28</v>
      </c>
      <c r="D3329" s="5" t="s">
        <v>42</v>
      </c>
      <c r="E3329" s="5"/>
      <c r="G3329" s="5"/>
      <c r="H3329" s="5"/>
    </row>
    <row r="3330" spans="1:8" x14ac:dyDescent="0.2">
      <c r="A3330" s="5" t="s">
        <v>3863</v>
      </c>
      <c r="B3330" s="5" t="s">
        <v>3239</v>
      </c>
      <c r="C3330" s="8">
        <v>3</v>
      </c>
      <c r="D3330" s="5" t="s">
        <v>42</v>
      </c>
      <c r="E3330" s="5"/>
      <c r="G3330" s="5"/>
      <c r="H3330" s="5"/>
    </row>
    <row r="3331" spans="1:8" x14ac:dyDescent="0.2">
      <c r="A3331" s="5"/>
      <c r="B3331" s="5" t="s">
        <v>3742</v>
      </c>
      <c r="C3331" s="5"/>
      <c r="D3331" s="5" t="s">
        <v>366</v>
      </c>
      <c r="E3331" s="5"/>
      <c r="G3331" s="5"/>
      <c r="H3331" s="5"/>
    </row>
    <row r="3332" spans="1:8" x14ac:dyDescent="0.2">
      <c r="A3332" s="5" t="s">
        <v>3864</v>
      </c>
      <c r="B3332" s="5" t="s">
        <v>3235</v>
      </c>
      <c r="C3332" s="8">
        <v>3</v>
      </c>
      <c r="D3332" s="5" t="s">
        <v>42</v>
      </c>
      <c r="E3332" s="5"/>
      <c r="G3332" s="5"/>
      <c r="H3332" s="5"/>
    </row>
    <row r="3333" spans="1:8" x14ac:dyDescent="0.2">
      <c r="A3333" s="5"/>
      <c r="B3333" s="5" t="s">
        <v>3746</v>
      </c>
      <c r="C3333" s="5"/>
      <c r="D3333" s="5" t="s">
        <v>366</v>
      </c>
      <c r="E3333" s="5"/>
      <c r="G3333" s="5"/>
      <c r="H3333" s="5"/>
    </row>
    <row r="3334" spans="1:8" x14ac:dyDescent="0.2">
      <c r="A3334" s="5" t="s">
        <v>3865</v>
      </c>
      <c r="B3334" s="5" t="s">
        <v>3237</v>
      </c>
      <c r="C3334" s="8">
        <v>7</v>
      </c>
      <c r="D3334" s="5" t="s">
        <v>155</v>
      </c>
      <c r="E3334" s="5"/>
      <c r="G3334" s="5"/>
      <c r="H3334" s="5"/>
    </row>
    <row r="3335" spans="1:8" x14ac:dyDescent="0.2">
      <c r="A3335" s="5" t="s">
        <v>3866</v>
      </c>
      <c r="B3335" s="5" t="s">
        <v>3867</v>
      </c>
      <c r="C3335" s="8">
        <v>2</v>
      </c>
      <c r="D3335" s="5" t="s">
        <v>155</v>
      </c>
      <c r="E3335" s="5"/>
      <c r="G3335" s="5"/>
      <c r="H3335" s="5"/>
    </row>
    <row r="3336" spans="1:8" x14ac:dyDescent="0.2">
      <c r="A3336" s="5"/>
      <c r="B3336" s="5" t="s">
        <v>3868</v>
      </c>
      <c r="C3336" s="5"/>
      <c r="D3336" s="5" t="s">
        <v>366</v>
      </c>
      <c r="E3336" s="5"/>
      <c r="G3336" s="5"/>
      <c r="H3336" s="5"/>
    </row>
    <row r="3337" spans="1:8" x14ac:dyDescent="0.2">
      <c r="A3337" s="5" t="s">
        <v>3869</v>
      </c>
      <c r="B3337" s="5" t="s">
        <v>3237</v>
      </c>
      <c r="C3337" s="8">
        <v>14</v>
      </c>
      <c r="D3337" s="5" t="s">
        <v>42</v>
      </c>
      <c r="E3337" s="5"/>
      <c r="G3337" s="5"/>
      <c r="H3337" s="5"/>
    </row>
    <row r="3338" spans="1:8" x14ac:dyDescent="0.2">
      <c r="A3338" s="5" t="s">
        <v>3870</v>
      </c>
      <c r="B3338" s="5" t="s">
        <v>3867</v>
      </c>
      <c r="C3338" s="8">
        <v>5</v>
      </c>
      <c r="D3338" s="5" t="s">
        <v>155</v>
      </c>
      <c r="E3338" s="5"/>
      <c r="G3338" s="5"/>
      <c r="H3338" s="5"/>
    </row>
    <row r="3339" spans="1:8" x14ac:dyDescent="0.2">
      <c r="A3339" s="5"/>
      <c r="B3339" s="5" t="s">
        <v>3748</v>
      </c>
      <c r="C3339" s="5"/>
      <c r="D3339" s="5" t="s">
        <v>322</v>
      </c>
      <c r="E3339" s="5"/>
      <c r="G3339" s="5"/>
      <c r="H3339" s="5"/>
    </row>
    <row r="3340" spans="1:8" x14ac:dyDescent="0.2">
      <c r="A3340" s="5"/>
      <c r="B3340" s="5" t="s">
        <v>3684</v>
      </c>
      <c r="C3340" s="5"/>
      <c r="D3340" s="5" t="s">
        <v>366</v>
      </c>
      <c r="E3340" s="5"/>
      <c r="G3340" s="5"/>
      <c r="H3340" s="5"/>
    </row>
    <row r="3341" spans="1:8" x14ac:dyDescent="0.2">
      <c r="A3341" s="5" t="s">
        <v>3871</v>
      </c>
      <c r="B3341" s="5" t="s">
        <v>3235</v>
      </c>
      <c r="C3341" s="8">
        <v>7</v>
      </c>
      <c r="D3341" s="5" t="s">
        <v>42</v>
      </c>
      <c r="E3341" s="5"/>
      <c r="G3341" s="5"/>
      <c r="H3341" s="5"/>
    </row>
    <row r="3342" spans="1:8" x14ac:dyDescent="0.2">
      <c r="A3342" s="5" t="s">
        <v>3872</v>
      </c>
      <c r="B3342" s="5" t="s">
        <v>3237</v>
      </c>
      <c r="C3342" s="8">
        <v>8</v>
      </c>
      <c r="D3342" s="5" t="s">
        <v>42</v>
      </c>
      <c r="E3342" s="5"/>
      <c r="G3342" s="5"/>
      <c r="H3342" s="5"/>
    </row>
    <row r="3343" spans="1:8" x14ac:dyDescent="0.2">
      <c r="A3343" s="5" t="s">
        <v>3873</v>
      </c>
      <c r="B3343" s="5" t="s">
        <v>3751</v>
      </c>
      <c r="C3343" s="8">
        <v>4</v>
      </c>
      <c r="D3343" s="5" t="s">
        <v>155</v>
      </c>
      <c r="E3343" s="5"/>
      <c r="G3343" s="5"/>
      <c r="H3343" s="5"/>
    </row>
    <row r="3344" spans="1:8" x14ac:dyDescent="0.2">
      <c r="A3344" s="5"/>
      <c r="B3344" s="5" t="s">
        <v>3686</v>
      </c>
      <c r="C3344" s="5"/>
      <c r="D3344" s="5" t="s">
        <v>366</v>
      </c>
      <c r="E3344" s="5"/>
      <c r="G3344" s="5"/>
      <c r="H3344" s="5"/>
    </row>
    <row r="3345" spans="1:8" x14ac:dyDescent="0.2">
      <c r="A3345" s="5" t="s">
        <v>3874</v>
      </c>
      <c r="B3345" s="5" t="s">
        <v>3244</v>
      </c>
      <c r="C3345" s="8">
        <v>32</v>
      </c>
      <c r="D3345" s="5" t="s">
        <v>42</v>
      </c>
      <c r="E3345" s="5"/>
      <c r="G3345" s="5"/>
      <c r="H3345" s="5"/>
    </row>
    <row r="3346" spans="1:8" x14ac:dyDescent="0.2">
      <c r="A3346" s="5"/>
      <c r="B3346" s="5" t="s">
        <v>3706</v>
      </c>
      <c r="C3346" s="5"/>
      <c r="D3346" s="5" t="s">
        <v>366</v>
      </c>
      <c r="E3346" s="5"/>
      <c r="G3346" s="5"/>
      <c r="H3346" s="5"/>
    </row>
    <row r="3347" spans="1:8" x14ac:dyDescent="0.2">
      <c r="A3347" s="5" t="s">
        <v>3875</v>
      </c>
      <c r="B3347" s="5" t="s">
        <v>3237</v>
      </c>
      <c r="C3347" s="8">
        <v>145</v>
      </c>
      <c r="D3347" s="5" t="s">
        <v>42</v>
      </c>
      <c r="E3347" s="5"/>
      <c r="G3347" s="5"/>
      <c r="H3347" s="5"/>
    </row>
    <row r="3348" spans="1:8" x14ac:dyDescent="0.2">
      <c r="A3348" s="5"/>
      <c r="B3348" s="5" t="s">
        <v>3876</v>
      </c>
      <c r="C3348" s="5"/>
      <c r="D3348" s="5" t="s">
        <v>366</v>
      </c>
      <c r="E3348" s="5"/>
      <c r="G3348" s="5"/>
      <c r="H3348" s="5"/>
    </row>
    <row r="3349" spans="1:8" x14ac:dyDescent="0.2">
      <c r="A3349" s="5" t="s">
        <v>3877</v>
      </c>
      <c r="B3349" s="5" t="s">
        <v>3237</v>
      </c>
      <c r="C3349" s="8">
        <v>106</v>
      </c>
      <c r="D3349" s="5" t="s">
        <v>42</v>
      </c>
      <c r="E3349" s="5"/>
      <c r="G3349" s="5"/>
      <c r="H3349" s="5"/>
    </row>
    <row r="3350" spans="1:8" x14ac:dyDescent="0.2">
      <c r="A3350" s="5" t="s">
        <v>3878</v>
      </c>
      <c r="B3350" s="5" t="s">
        <v>3879</v>
      </c>
      <c r="C3350" s="8">
        <v>11</v>
      </c>
      <c r="D3350" s="5" t="s">
        <v>155</v>
      </c>
      <c r="E3350" s="5"/>
      <c r="G3350" s="5"/>
      <c r="H3350" s="5"/>
    </row>
    <row r="3351" spans="1:8" x14ac:dyDescent="0.2">
      <c r="A3351" s="5"/>
      <c r="B3351" s="5" t="s">
        <v>3727</v>
      </c>
      <c r="C3351" s="5"/>
      <c r="D3351" s="5" t="s">
        <v>366</v>
      </c>
      <c r="E3351" s="5"/>
      <c r="G3351" s="5"/>
      <c r="H3351" s="5"/>
    </row>
    <row r="3352" spans="1:8" x14ac:dyDescent="0.2">
      <c r="A3352" s="5" t="s">
        <v>3880</v>
      </c>
      <c r="B3352" s="5" t="s">
        <v>3235</v>
      </c>
      <c r="C3352" s="8">
        <v>40</v>
      </c>
      <c r="D3352" s="5" t="s">
        <v>42</v>
      </c>
      <c r="E3352" s="5"/>
      <c r="G3352" s="5"/>
      <c r="H3352" s="5"/>
    </row>
    <row r="3353" spans="1:8" x14ac:dyDescent="0.2">
      <c r="A3353" s="5" t="s">
        <v>3881</v>
      </c>
      <c r="B3353" s="5" t="s">
        <v>3732</v>
      </c>
      <c r="C3353" s="8">
        <v>7</v>
      </c>
      <c r="D3353" s="5" t="s">
        <v>155</v>
      </c>
      <c r="E3353" s="5"/>
      <c r="G3353" s="5"/>
      <c r="H3353" s="5"/>
    </row>
    <row r="3354" spans="1:8" x14ac:dyDescent="0.2">
      <c r="A3354" s="5" t="s">
        <v>3882</v>
      </c>
      <c r="B3354" s="5" t="s">
        <v>3760</v>
      </c>
      <c r="C3354" s="8">
        <v>7</v>
      </c>
      <c r="D3354" s="5" t="s">
        <v>155</v>
      </c>
      <c r="E3354" s="5"/>
      <c r="G3354" s="5"/>
      <c r="H3354" s="5"/>
    </row>
    <row r="3355" spans="1:8" x14ac:dyDescent="0.2">
      <c r="A3355" s="5"/>
      <c r="B3355" s="5" t="s">
        <v>3770</v>
      </c>
      <c r="C3355" s="5"/>
      <c r="D3355" s="5" t="s">
        <v>15</v>
      </c>
      <c r="E3355" s="5"/>
      <c r="G3355" s="5"/>
      <c r="H3355" s="5"/>
    </row>
    <row r="3356" spans="1:8" x14ac:dyDescent="0.2">
      <c r="A3356" s="5"/>
      <c r="B3356" s="5" t="s">
        <v>3771</v>
      </c>
      <c r="C3356" s="5"/>
      <c r="D3356" s="5" t="s">
        <v>322</v>
      </c>
      <c r="E3356" s="5"/>
      <c r="G3356" s="5"/>
      <c r="H3356" s="5"/>
    </row>
    <row r="3357" spans="1:8" x14ac:dyDescent="0.2">
      <c r="A3357" s="5"/>
      <c r="B3357" s="5" t="s">
        <v>3778</v>
      </c>
      <c r="C3357" s="5"/>
      <c r="D3357" s="5" t="s">
        <v>366</v>
      </c>
      <c r="E3357" s="5"/>
      <c r="G3357" s="5"/>
      <c r="H3357" s="5"/>
    </row>
    <row r="3358" spans="1:8" x14ac:dyDescent="0.2">
      <c r="A3358" s="5" t="s">
        <v>3883</v>
      </c>
      <c r="B3358" s="5" t="s">
        <v>3235</v>
      </c>
      <c r="C3358" s="8">
        <v>17</v>
      </c>
      <c r="D3358" s="5" t="s">
        <v>42</v>
      </c>
      <c r="E3358" s="5"/>
      <c r="G3358" s="5"/>
      <c r="H3358" s="5"/>
    </row>
    <row r="3359" spans="1:8" x14ac:dyDescent="0.2">
      <c r="A3359" s="5"/>
      <c r="B3359" s="5" t="s">
        <v>3782</v>
      </c>
      <c r="C3359" s="5"/>
      <c r="D3359" s="5" t="s">
        <v>366</v>
      </c>
      <c r="E3359" s="5"/>
      <c r="G3359" s="5"/>
      <c r="H3359" s="5"/>
    </row>
    <row r="3360" spans="1:8" x14ac:dyDescent="0.2">
      <c r="A3360" s="5" t="s">
        <v>3884</v>
      </c>
      <c r="B3360" s="5" t="s">
        <v>3235</v>
      </c>
      <c r="C3360" s="8">
        <v>4</v>
      </c>
      <c r="D3360" s="5" t="s">
        <v>42</v>
      </c>
      <c r="E3360" s="5"/>
      <c r="G3360" s="5"/>
      <c r="H3360" s="5"/>
    </row>
    <row r="3361" spans="1:8" x14ac:dyDescent="0.2">
      <c r="A3361" s="5" t="s">
        <v>3885</v>
      </c>
      <c r="B3361" s="5" t="s">
        <v>3237</v>
      </c>
      <c r="C3361" s="8">
        <v>31</v>
      </c>
      <c r="D3361" s="5" t="s">
        <v>42</v>
      </c>
      <c r="E3361" s="5"/>
      <c r="G3361" s="5"/>
      <c r="H3361" s="5"/>
    </row>
    <row r="3362" spans="1:8" x14ac:dyDescent="0.2">
      <c r="A3362" s="5" t="s">
        <v>3886</v>
      </c>
      <c r="B3362" s="5" t="s">
        <v>3244</v>
      </c>
      <c r="C3362" s="8">
        <v>47</v>
      </c>
      <c r="D3362" s="5" t="s">
        <v>42</v>
      </c>
      <c r="E3362" s="5"/>
      <c r="G3362" s="5"/>
      <c r="H3362" s="5"/>
    </row>
    <row r="3363" spans="1:8" x14ac:dyDescent="0.2">
      <c r="A3363" s="5"/>
      <c r="B3363" s="5" t="s">
        <v>3887</v>
      </c>
      <c r="C3363" s="5"/>
      <c r="D3363" s="5" t="s">
        <v>366</v>
      </c>
      <c r="E3363" s="5"/>
      <c r="G3363" s="5"/>
      <c r="H3363" s="5"/>
    </row>
    <row r="3364" spans="1:8" x14ac:dyDescent="0.2">
      <c r="A3364" s="5" t="s">
        <v>3888</v>
      </c>
      <c r="B3364" s="5" t="s">
        <v>3237</v>
      </c>
      <c r="C3364" s="8">
        <v>9</v>
      </c>
      <c r="D3364" s="5" t="s">
        <v>42</v>
      </c>
      <c r="E3364" s="5"/>
      <c r="G3364" s="5"/>
      <c r="H3364" s="5"/>
    </row>
    <row r="3365" spans="1:8" x14ac:dyDescent="0.2">
      <c r="A3365" s="5"/>
      <c r="B3365" s="5" t="s">
        <v>3796</v>
      </c>
      <c r="C3365" s="5"/>
      <c r="D3365" s="5" t="s">
        <v>322</v>
      </c>
      <c r="E3365" s="5"/>
      <c r="G3365" s="5"/>
      <c r="H3365" s="5"/>
    </row>
    <row r="3366" spans="1:8" x14ac:dyDescent="0.2">
      <c r="A3366" s="5"/>
      <c r="B3366" s="5" t="s">
        <v>3799</v>
      </c>
      <c r="C3366" s="5"/>
      <c r="D3366" s="5" t="s">
        <v>366</v>
      </c>
      <c r="E3366" s="5"/>
      <c r="G3366" s="5"/>
      <c r="H3366" s="5"/>
    </row>
    <row r="3367" spans="1:8" x14ac:dyDescent="0.2">
      <c r="A3367" s="5" t="s">
        <v>3889</v>
      </c>
      <c r="B3367" s="5" t="s">
        <v>3235</v>
      </c>
      <c r="C3367" s="8">
        <v>14</v>
      </c>
      <c r="D3367" s="5" t="s">
        <v>155</v>
      </c>
      <c r="E3367" s="5"/>
      <c r="G3367" s="5"/>
      <c r="H3367" s="5"/>
    </row>
    <row r="3368" spans="1:8" x14ac:dyDescent="0.2">
      <c r="A3368" s="5" t="s">
        <v>3890</v>
      </c>
      <c r="B3368" s="5" t="s">
        <v>3237</v>
      </c>
      <c r="C3368" s="8">
        <v>45</v>
      </c>
      <c r="D3368" s="5" t="s">
        <v>155</v>
      </c>
      <c r="E3368" s="5"/>
      <c r="G3368" s="5"/>
      <c r="H3368" s="5"/>
    </row>
    <row r="3369" spans="1:8" x14ac:dyDescent="0.2">
      <c r="A3369" s="5" t="s">
        <v>3891</v>
      </c>
      <c r="B3369" s="5" t="s">
        <v>3244</v>
      </c>
      <c r="C3369" s="8">
        <v>45</v>
      </c>
      <c r="D3369" s="5" t="s">
        <v>155</v>
      </c>
      <c r="E3369" s="5"/>
      <c r="G3369" s="5"/>
      <c r="H3369" s="5"/>
    </row>
    <row r="3370" spans="1:8" x14ac:dyDescent="0.2">
      <c r="A3370" s="5"/>
      <c r="B3370" s="5" t="s">
        <v>3803</v>
      </c>
      <c r="C3370" s="5"/>
      <c r="D3370" s="5" t="s">
        <v>366</v>
      </c>
      <c r="E3370" s="5"/>
      <c r="G3370" s="5"/>
      <c r="H3370" s="5"/>
    </row>
    <row r="3371" spans="1:8" x14ac:dyDescent="0.2">
      <c r="A3371" s="5" t="s">
        <v>3892</v>
      </c>
      <c r="B3371" s="5" t="s">
        <v>3235</v>
      </c>
      <c r="C3371" s="8">
        <v>114</v>
      </c>
      <c r="D3371" s="5" t="s">
        <v>155</v>
      </c>
      <c r="E3371" s="5"/>
      <c r="G3371" s="5"/>
      <c r="H3371" s="5"/>
    </row>
    <row r="3372" spans="1:8" x14ac:dyDescent="0.2">
      <c r="A3372" s="5" t="s">
        <v>3893</v>
      </c>
      <c r="B3372" s="5" t="s">
        <v>3237</v>
      </c>
      <c r="C3372" s="8">
        <v>42</v>
      </c>
      <c r="D3372" s="5" t="s">
        <v>155</v>
      </c>
      <c r="E3372" s="5"/>
      <c r="G3372" s="5"/>
      <c r="H3372" s="5"/>
    </row>
    <row r="3373" spans="1:8" x14ac:dyDescent="0.2">
      <c r="A3373" s="5" t="s">
        <v>3894</v>
      </c>
      <c r="B3373" s="5" t="s">
        <v>3239</v>
      </c>
      <c r="C3373" s="8">
        <v>7</v>
      </c>
      <c r="D3373" s="5" t="s">
        <v>155</v>
      </c>
      <c r="E3373" s="5"/>
      <c r="G3373" s="5"/>
      <c r="H3373" s="5"/>
    </row>
    <row r="3374" spans="1:8" x14ac:dyDescent="0.2">
      <c r="A3374" s="5"/>
      <c r="B3374" s="5" t="s">
        <v>3807</v>
      </c>
      <c r="C3374" s="5"/>
      <c r="D3374" s="5" t="s">
        <v>366</v>
      </c>
      <c r="E3374" s="5"/>
      <c r="G3374" s="5"/>
      <c r="H3374" s="5"/>
    </row>
    <row r="3375" spans="1:8" x14ac:dyDescent="0.2">
      <c r="A3375" s="5" t="s">
        <v>3895</v>
      </c>
      <c r="B3375" s="5" t="s">
        <v>3235</v>
      </c>
      <c r="C3375" s="8">
        <v>365</v>
      </c>
      <c r="D3375" s="5" t="s">
        <v>155</v>
      </c>
      <c r="E3375" s="5"/>
      <c r="G3375" s="5"/>
      <c r="H3375" s="5"/>
    </row>
    <row r="3376" spans="1:8" x14ac:dyDescent="0.2">
      <c r="A3376" s="5" t="s">
        <v>3896</v>
      </c>
      <c r="B3376" s="5" t="s">
        <v>3237</v>
      </c>
      <c r="C3376" s="8">
        <v>344</v>
      </c>
      <c r="D3376" s="5" t="s">
        <v>155</v>
      </c>
      <c r="E3376" s="5"/>
      <c r="G3376" s="5"/>
      <c r="H3376" s="5"/>
    </row>
    <row r="3377" spans="1:9" x14ac:dyDescent="0.2">
      <c r="A3377" s="5" t="s">
        <v>3897</v>
      </c>
      <c r="B3377" s="5" t="s">
        <v>3244</v>
      </c>
      <c r="C3377" s="8">
        <v>351</v>
      </c>
      <c r="D3377" s="5" t="s">
        <v>155</v>
      </c>
      <c r="E3377" s="5"/>
      <c r="G3377" s="5"/>
      <c r="H3377" s="5"/>
    </row>
    <row r="3378" spans="1:9" x14ac:dyDescent="0.2">
      <c r="A3378" s="5" t="s">
        <v>3898</v>
      </c>
      <c r="B3378" s="5" t="s">
        <v>3239</v>
      </c>
      <c r="C3378" s="8">
        <v>148</v>
      </c>
      <c r="D3378" s="5" t="s">
        <v>155</v>
      </c>
      <c r="E3378" s="5"/>
      <c r="G3378" s="5"/>
      <c r="H3378" s="5"/>
    </row>
    <row r="3379" spans="1:9" x14ac:dyDescent="0.2">
      <c r="A3379" s="5"/>
      <c r="B3379" s="5" t="s">
        <v>3812</v>
      </c>
      <c r="C3379" s="5"/>
      <c r="D3379" s="5" t="s">
        <v>366</v>
      </c>
      <c r="E3379" s="5"/>
      <c r="G3379" s="5"/>
      <c r="H3379" s="5"/>
    </row>
    <row r="3380" spans="1:9" x14ac:dyDescent="0.2">
      <c r="A3380" s="5" t="s">
        <v>3899</v>
      </c>
      <c r="B3380" s="5" t="s">
        <v>3237</v>
      </c>
      <c r="C3380" s="8">
        <v>170</v>
      </c>
      <c r="D3380" s="5" t="s">
        <v>155</v>
      </c>
      <c r="E3380" s="5"/>
      <c r="G3380" s="5"/>
      <c r="H3380" s="5"/>
    </row>
    <row r="3381" spans="1:9" x14ac:dyDescent="0.2">
      <c r="A3381" s="5" t="s">
        <v>3900</v>
      </c>
      <c r="B3381" s="5" t="s">
        <v>3244</v>
      </c>
      <c r="C3381" s="8">
        <v>178</v>
      </c>
      <c r="D3381" s="5" t="s">
        <v>155</v>
      </c>
      <c r="E3381" s="5"/>
      <c r="G3381" s="5"/>
      <c r="H3381" s="5"/>
    </row>
    <row r="3382" spans="1:9" x14ac:dyDescent="0.2">
      <c r="A3382" s="5"/>
      <c r="B3382" s="5" t="s">
        <v>3816</v>
      </c>
      <c r="C3382" s="5"/>
      <c r="D3382" s="5" t="s">
        <v>322</v>
      </c>
      <c r="E3382" s="5"/>
      <c r="G3382" s="5"/>
      <c r="H3382" s="5"/>
    </row>
    <row r="3383" spans="1:9" x14ac:dyDescent="0.2">
      <c r="A3383" s="5"/>
      <c r="B3383" s="5" t="s">
        <v>3817</v>
      </c>
      <c r="C3383" s="5"/>
      <c r="D3383" s="5" t="s">
        <v>366</v>
      </c>
      <c r="E3383" s="5"/>
      <c r="G3383" s="5"/>
      <c r="H3383" s="5"/>
    </row>
    <row r="3384" spans="1:9" x14ac:dyDescent="0.2">
      <c r="A3384" s="5" t="s">
        <v>3901</v>
      </c>
      <c r="B3384" s="5" t="s">
        <v>3902</v>
      </c>
      <c r="C3384" s="8">
        <v>18</v>
      </c>
      <c r="D3384" s="5" t="s">
        <v>162</v>
      </c>
      <c r="E3384" s="5"/>
      <c r="G3384" s="5"/>
      <c r="H3384" s="5"/>
    </row>
    <row r="3385" spans="1:9" x14ac:dyDescent="0.2">
      <c r="A3385" s="5" t="s">
        <v>3903</v>
      </c>
      <c r="B3385" s="5" t="s">
        <v>3904</v>
      </c>
      <c r="C3385" s="8">
        <v>7</v>
      </c>
      <c r="D3385" s="5" t="s">
        <v>162</v>
      </c>
      <c r="E3385" s="5"/>
      <c r="G3385" s="5"/>
      <c r="H3385" s="5"/>
    </row>
    <row r="3386" spans="1:9" x14ac:dyDescent="0.2">
      <c r="A3386" s="5" t="s">
        <v>3905</v>
      </c>
      <c r="B3386" s="5" t="s">
        <v>3906</v>
      </c>
      <c r="C3386" s="8">
        <v>5</v>
      </c>
      <c r="D3386" s="5" t="s">
        <v>162</v>
      </c>
      <c r="E3386" s="5"/>
      <c r="G3386" s="5"/>
      <c r="H3386" s="5"/>
    </row>
    <row r="3387" spans="1:9" x14ac:dyDescent="0.2">
      <c r="B3387" s="6" t="s">
        <v>3907</v>
      </c>
      <c r="C3387" s="6"/>
      <c r="D3387" s="6"/>
      <c r="E3387" s="6"/>
      <c r="F3387" s="9">
        <f>SUM(H3125:H3387)</f>
        <v>0</v>
      </c>
      <c r="G3387" s="6"/>
      <c r="I3387" s="9">
        <f>PRODUCT(F3387,G3387)</f>
        <v>0</v>
      </c>
    </row>
    <row r="3389" spans="1:9" x14ac:dyDescent="0.2">
      <c r="A3389" s="6" t="s">
        <v>3908</v>
      </c>
      <c r="B3389" s="6" t="s">
        <v>3909</v>
      </c>
    </row>
    <row r="3390" spans="1:9" x14ac:dyDescent="0.2">
      <c r="A3390" s="5"/>
      <c r="B3390" s="5" t="s">
        <v>64</v>
      </c>
      <c r="C3390" s="5"/>
      <c r="D3390" s="5" t="s">
        <v>13</v>
      </c>
      <c r="E3390" s="5"/>
      <c r="G3390" s="5"/>
      <c r="H3390" s="5"/>
    </row>
    <row r="3391" spans="1:9" x14ac:dyDescent="0.2">
      <c r="A3391" s="5" t="s">
        <v>3910</v>
      </c>
      <c r="B3391" s="5" t="s">
        <v>2961</v>
      </c>
      <c r="C3391" s="5"/>
      <c r="D3391" s="5" t="s">
        <v>18</v>
      </c>
      <c r="E3391" s="5"/>
      <c r="G3391" s="5"/>
      <c r="H3391" s="5"/>
    </row>
    <row r="3392" spans="1:9" x14ac:dyDescent="0.2">
      <c r="A3392" s="5" t="s">
        <v>3911</v>
      </c>
      <c r="B3392" s="5" t="s">
        <v>68</v>
      </c>
      <c r="C3392" s="5"/>
      <c r="D3392" s="5" t="s">
        <v>18</v>
      </c>
      <c r="E3392" s="5"/>
      <c r="G3392" s="5"/>
      <c r="H3392" s="5"/>
    </row>
    <row r="3393" spans="1:8" x14ac:dyDescent="0.2">
      <c r="A3393" s="5"/>
      <c r="B3393" s="5" t="s">
        <v>71</v>
      </c>
      <c r="C3393" s="5"/>
      <c r="D3393" s="5" t="s">
        <v>13</v>
      </c>
      <c r="E3393" s="5"/>
      <c r="G3393" s="5"/>
      <c r="H3393" s="5"/>
    </row>
    <row r="3394" spans="1:8" x14ac:dyDescent="0.2">
      <c r="A3394" s="5" t="s">
        <v>3912</v>
      </c>
      <c r="B3394" s="5" t="s">
        <v>269</v>
      </c>
      <c r="C3394" s="5"/>
      <c r="D3394" s="5" t="s">
        <v>18</v>
      </c>
      <c r="E3394" s="5"/>
      <c r="G3394" s="5"/>
      <c r="H3394" s="5"/>
    </row>
    <row r="3395" spans="1:8" x14ac:dyDescent="0.2">
      <c r="A3395" s="5" t="s">
        <v>3913</v>
      </c>
      <c r="B3395" s="5" t="s">
        <v>2967</v>
      </c>
      <c r="C3395" s="5"/>
      <c r="D3395" s="5" t="s">
        <v>18</v>
      </c>
      <c r="E3395" s="5"/>
      <c r="G3395" s="5"/>
      <c r="H3395" s="5"/>
    </row>
    <row r="3396" spans="1:8" x14ac:dyDescent="0.2">
      <c r="A3396" s="5"/>
      <c r="B3396" s="5" t="s">
        <v>76</v>
      </c>
      <c r="C3396" s="5"/>
      <c r="D3396" s="5" t="s">
        <v>13</v>
      </c>
      <c r="E3396" s="5"/>
      <c r="G3396" s="5"/>
      <c r="H3396" s="5"/>
    </row>
    <row r="3397" spans="1:8" x14ac:dyDescent="0.2">
      <c r="A3397" s="5"/>
      <c r="B3397" s="5" t="s">
        <v>77</v>
      </c>
      <c r="C3397" s="5"/>
      <c r="D3397" s="5" t="s">
        <v>15</v>
      </c>
      <c r="E3397" s="5"/>
      <c r="G3397" s="5"/>
      <c r="H3397" s="5"/>
    </row>
    <row r="3398" spans="1:8" x14ac:dyDescent="0.2">
      <c r="A3398" s="5" t="s">
        <v>3914</v>
      </c>
      <c r="B3398" s="5" t="s">
        <v>3915</v>
      </c>
      <c r="C3398" s="5"/>
      <c r="D3398" s="5" t="s">
        <v>18</v>
      </c>
      <c r="E3398" s="5"/>
      <c r="G3398" s="5"/>
      <c r="H3398" s="5"/>
    </row>
    <row r="3399" spans="1:8" x14ac:dyDescent="0.2">
      <c r="A3399" s="5" t="s">
        <v>3916</v>
      </c>
      <c r="B3399" s="5" t="s">
        <v>3917</v>
      </c>
      <c r="C3399" s="5"/>
      <c r="D3399" s="5" t="s">
        <v>18</v>
      </c>
      <c r="E3399" s="5"/>
      <c r="G3399" s="5"/>
      <c r="H3399" s="5"/>
    </row>
    <row r="3400" spans="1:8" x14ac:dyDescent="0.2">
      <c r="A3400" s="5" t="s">
        <v>3918</v>
      </c>
      <c r="B3400" s="5" t="s">
        <v>299</v>
      </c>
      <c r="C3400" s="5"/>
      <c r="D3400" s="5" t="s">
        <v>18</v>
      </c>
      <c r="E3400" s="5"/>
      <c r="G3400" s="5"/>
      <c r="H3400" s="5"/>
    </row>
    <row r="3401" spans="1:8" x14ac:dyDescent="0.2">
      <c r="A3401" s="5"/>
      <c r="B3401" s="5" t="s">
        <v>94</v>
      </c>
      <c r="C3401" s="5"/>
      <c r="D3401" s="5" t="s">
        <v>13</v>
      </c>
      <c r="E3401" s="5"/>
      <c r="G3401" s="5"/>
      <c r="H3401" s="5"/>
    </row>
    <row r="3402" spans="1:8" x14ac:dyDescent="0.2">
      <c r="A3402" s="5" t="s">
        <v>3919</v>
      </c>
      <c r="B3402" s="5" t="s">
        <v>111</v>
      </c>
      <c r="C3402" s="8">
        <v>1</v>
      </c>
      <c r="D3402" s="5" t="s">
        <v>97</v>
      </c>
      <c r="E3402" s="5"/>
      <c r="G3402" s="5"/>
      <c r="H3402" s="5"/>
    </row>
    <row r="3403" spans="1:8" x14ac:dyDescent="0.2">
      <c r="A3403" s="5" t="s">
        <v>3920</v>
      </c>
      <c r="B3403" s="5" t="s">
        <v>2976</v>
      </c>
      <c r="C3403" s="8">
        <v>1</v>
      </c>
      <c r="D3403" s="5" t="s">
        <v>97</v>
      </c>
      <c r="E3403" s="5"/>
      <c r="G3403" s="5"/>
      <c r="H3403" s="5"/>
    </row>
    <row r="3404" spans="1:8" x14ac:dyDescent="0.2">
      <c r="A3404" s="5" t="s">
        <v>3921</v>
      </c>
      <c r="B3404" s="5" t="s">
        <v>2758</v>
      </c>
      <c r="C3404" s="8">
        <v>1</v>
      </c>
      <c r="D3404" s="5" t="s">
        <v>97</v>
      </c>
      <c r="E3404" s="5"/>
      <c r="G3404" s="5"/>
      <c r="H3404" s="5"/>
    </row>
    <row r="3405" spans="1:8" x14ac:dyDescent="0.2">
      <c r="A3405" s="5" t="s">
        <v>3922</v>
      </c>
      <c r="B3405" s="5" t="s">
        <v>2979</v>
      </c>
      <c r="C3405" s="8">
        <v>1</v>
      </c>
      <c r="D3405" s="5" t="s">
        <v>97</v>
      </c>
      <c r="E3405" s="5"/>
      <c r="G3405" s="5"/>
      <c r="H3405" s="5"/>
    </row>
    <row r="3406" spans="1:8" x14ac:dyDescent="0.2">
      <c r="A3406" s="5" t="s">
        <v>3923</v>
      </c>
      <c r="B3406" s="5" t="s">
        <v>113</v>
      </c>
      <c r="C3406" s="8">
        <v>1</v>
      </c>
      <c r="D3406" s="5" t="s">
        <v>97</v>
      </c>
      <c r="E3406" s="5"/>
      <c r="G3406" s="5"/>
      <c r="H3406" s="5"/>
    </row>
    <row r="3407" spans="1:8" x14ac:dyDescent="0.2">
      <c r="A3407" s="5" t="s">
        <v>3924</v>
      </c>
      <c r="B3407" s="5" t="s">
        <v>2982</v>
      </c>
      <c r="C3407" s="8">
        <v>1</v>
      </c>
      <c r="D3407" s="5" t="s">
        <v>97</v>
      </c>
      <c r="E3407" s="5"/>
      <c r="G3407" s="5"/>
      <c r="H3407" s="5"/>
    </row>
    <row r="3408" spans="1:8" x14ac:dyDescent="0.2">
      <c r="A3408" s="5" t="s">
        <v>3925</v>
      </c>
      <c r="B3408" s="5" t="s">
        <v>313</v>
      </c>
      <c r="C3408" s="8">
        <v>1</v>
      </c>
      <c r="D3408" s="5" t="s">
        <v>97</v>
      </c>
      <c r="E3408" s="5"/>
      <c r="G3408" s="5"/>
      <c r="H3408" s="5"/>
    </row>
    <row r="3409" spans="1:8" x14ac:dyDescent="0.2">
      <c r="A3409" s="5" t="s">
        <v>3926</v>
      </c>
      <c r="B3409" s="5" t="s">
        <v>589</v>
      </c>
      <c r="C3409" s="8">
        <v>1</v>
      </c>
      <c r="D3409" s="5" t="s">
        <v>97</v>
      </c>
      <c r="E3409" s="5"/>
      <c r="G3409" s="5"/>
      <c r="H3409" s="5"/>
    </row>
    <row r="3410" spans="1:8" x14ac:dyDescent="0.2">
      <c r="A3410" s="5"/>
      <c r="B3410" s="5" t="s">
        <v>38</v>
      </c>
      <c r="C3410" s="5"/>
      <c r="D3410" s="5" t="s">
        <v>13</v>
      </c>
      <c r="E3410" s="5"/>
      <c r="G3410" s="5"/>
      <c r="H3410" s="5"/>
    </row>
    <row r="3411" spans="1:8" x14ac:dyDescent="0.2">
      <c r="A3411" s="5"/>
      <c r="B3411" s="5" t="s">
        <v>3927</v>
      </c>
      <c r="C3411" s="5"/>
      <c r="D3411" s="5" t="s">
        <v>15</v>
      </c>
      <c r="E3411" s="5"/>
      <c r="G3411" s="5"/>
      <c r="H3411" s="5"/>
    </row>
    <row r="3412" spans="1:8" x14ac:dyDescent="0.2">
      <c r="A3412" s="5"/>
      <c r="B3412" s="5" t="s">
        <v>3928</v>
      </c>
      <c r="C3412" s="5"/>
      <c r="D3412" s="5" t="s">
        <v>322</v>
      </c>
      <c r="E3412" s="5"/>
      <c r="G3412" s="5"/>
      <c r="H3412" s="5"/>
    </row>
    <row r="3413" spans="1:8" x14ac:dyDescent="0.2">
      <c r="A3413" s="5" t="s">
        <v>3929</v>
      </c>
      <c r="B3413" s="5" t="s">
        <v>3930</v>
      </c>
      <c r="C3413" s="8">
        <v>76</v>
      </c>
      <c r="D3413" s="5" t="s">
        <v>42</v>
      </c>
      <c r="E3413" s="5"/>
      <c r="G3413" s="5"/>
      <c r="H3413" s="5"/>
    </row>
    <row r="3414" spans="1:8" x14ac:dyDescent="0.2">
      <c r="A3414" s="5" t="s">
        <v>3931</v>
      </c>
      <c r="B3414" s="5" t="s">
        <v>3932</v>
      </c>
      <c r="C3414" s="8">
        <v>54</v>
      </c>
      <c r="D3414" s="5" t="s">
        <v>42</v>
      </c>
      <c r="E3414" s="5"/>
      <c r="G3414" s="5"/>
      <c r="H3414" s="5"/>
    </row>
    <row r="3415" spans="1:8" x14ac:dyDescent="0.2">
      <c r="A3415" s="5" t="s">
        <v>3933</v>
      </c>
      <c r="B3415" s="5" t="s">
        <v>2526</v>
      </c>
      <c r="C3415" s="8">
        <v>42</v>
      </c>
      <c r="D3415" s="5" t="s">
        <v>42</v>
      </c>
      <c r="E3415" s="5"/>
      <c r="G3415" s="5"/>
      <c r="H3415" s="5"/>
    </row>
    <row r="3416" spans="1:8" x14ac:dyDescent="0.2">
      <c r="A3416" s="5" t="s">
        <v>3934</v>
      </c>
      <c r="B3416" s="5" t="s">
        <v>2559</v>
      </c>
      <c r="C3416" s="8">
        <v>37</v>
      </c>
      <c r="D3416" s="5" t="s">
        <v>42</v>
      </c>
      <c r="E3416" s="5"/>
      <c r="G3416" s="5"/>
      <c r="H3416" s="5"/>
    </row>
    <row r="3417" spans="1:8" x14ac:dyDescent="0.2">
      <c r="A3417" s="5"/>
      <c r="B3417" s="5" t="s">
        <v>53</v>
      </c>
      <c r="C3417" s="5"/>
      <c r="D3417" s="5" t="s">
        <v>13</v>
      </c>
      <c r="E3417" s="5"/>
      <c r="G3417" s="5"/>
      <c r="H3417" s="5"/>
    </row>
    <row r="3418" spans="1:8" x14ac:dyDescent="0.2">
      <c r="A3418" s="5"/>
      <c r="B3418" s="5" t="s">
        <v>3935</v>
      </c>
      <c r="C3418" s="5"/>
      <c r="D3418" s="5" t="s">
        <v>15</v>
      </c>
      <c r="E3418" s="5"/>
      <c r="G3418" s="5"/>
      <c r="H3418" s="5"/>
    </row>
    <row r="3419" spans="1:8" x14ac:dyDescent="0.2">
      <c r="A3419" s="5"/>
      <c r="B3419" s="5" t="s">
        <v>3936</v>
      </c>
      <c r="C3419" s="5"/>
      <c r="D3419" s="5" t="s">
        <v>322</v>
      </c>
      <c r="E3419" s="5"/>
      <c r="G3419" s="5"/>
      <c r="H3419" s="5"/>
    </row>
    <row r="3420" spans="1:8" x14ac:dyDescent="0.2">
      <c r="A3420" s="5" t="s">
        <v>3937</v>
      </c>
      <c r="B3420" s="5" t="s">
        <v>2992</v>
      </c>
      <c r="C3420" s="8">
        <v>20</v>
      </c>
      <c r="D3420" s="5" t="s">
        <v>42</v>
      </c>
      <c r="E3420" s="5"/>
      <c r="G3420" s="5"/>
      <c r="H3420" s="5"/>
    </row>
    <row r="3421" spans="1:8" x14ac:dyDescent="0.2">
      <c r="A3421" s="5"/>
      <c r="B3421" s="5" t="s">
        <v>3927</v>
      </c>
      <c r="C3421" s="5"/>
      <c r="D3421" s="5" t="s">
        <v>15</v>
      </c>
      <c r="E3421" s="5"/>
      <c r="G3421" s="5"/>
      <c r="H3421" s="5"/>
    </row>
    <row r="3422" spans="1:8" x14ac:dyDescent="0.2">
      <c r="A3422" s="5"/>
      <c r="B3422" s="5" t="s">
        <v>3928</v>
      </c>
      <c r="C3422" s="5"/>
      <c r="D3422" s="5" t="s">
        <v>322</v>
      </c>
      <c r="E3422" s="5"/>
      <c r="G3422" s="5"/>
      <c r="H3422" s="5"/>
    </row>
    <row r="3423" spans="1:8" x14ac:dyDescent="0.2">
      <c r="A3423" s="5" t="s">
        <v>3938</v>
      </c>
      <c r="B3423" s="5" t="s">
        <v>3939</v>
      </c>
      <c r="C3423" s="8">
        <v>50</v>
      </c>
      <c r="D3423" s="5" t="s">
        <v>42</v>
      </c>
      <c r="E3423" s="5"/>
      <c r="G3423" s="5"/>
      <c r="H3423" s="5"/>
    </row>
    <row r="3424" spans="1:8" x14ac:dyDescent="0.2">
      <c r="A3424" s="5" t="s">
        <v>3940</v>
      </c>
      <c r="B3424" s="5" t="s">
        <v>3941</v>
      </c>
      <c r="C3424" s="8">
        <v>42</v>
      </c>
      <c r="D3424" s="5" t="s">
        <v>42</v>
      </c>
      <c r="E3424" s="5"/>
      <c r="G3424" s="5"/>
      <c r="H3424" s="5"/>
    </row>
    <row r="3425" spans="1:9" x14ac:dyDescent="0.2">
      <c r="A3425" s="5" t="s">
        <v>3942</v>
      </c>
      <c r="B3425" s="5" t="s">
        <v>2572</v>
      </c>
      <c r="C3425" s="8">
        <v>33</v>
      </c>
      <c r="D3425" s="5" t="s">
        <v>42</v>
      </c>
      <c r="E3425" s="5"/>
      <c r="G3425" s="5"/>
      <c r="H3425" s="5"/>
    </row>
    <row r="3426" spans="1:9" x14ac:dyDescent="0.2">
      <c r="A3426" s="5" t="s">
        <v>3943</v>
      </c>
      <c r="B3426" s="5" t="s">
        <v>3944</v>
      </c>
      <c r="C3426" s="8">
        <v>36</v>
      </c>
      <c r="D3426" s="5" t="s">
        <v>42</v>
      </c>
      <c r="E3426" s="5"/>
      <c r="G3426" s="5"/>
      <c r="H3426" s="5"/>
    </row>
    <row r="3427" spans="1:9" x14ac:dyDescent="0.2">
      <c r="B3427" s="6" t="s">
        <v>3945</v>
      </c>
      <c r="C3427" s="6"/>
      <c r="D3427" s="6"/>
      <c r="E3427" s="6"/>
      <c r="F3427" s="9">
        <f>SUM(H3390:H3427)</f>
        <v>0</v>
      </c>
      <c r="G3427" s="6"/>
      <c r="I3427" s="9">
        <f>PRODUCT(F3427,G3427)</f>
        <v>0</v>
      </c>
    </row>
    <row r="3429" spans="1:9" x14ac:dyDescent="0.2">
      <c r="A3429" s="6" t="s">
        <v>3946</v>
      </c>
      <c r="B3429" s="6" t="s">
        <v>3947</v>
      </c>
    </row>
    <row r="3430" spans="1:9" x14ac:dyDescent="0.2">
      <c r="A3430" s="5"/>
      <c r="B3430" s="5" t="s">
        <v>64</v>
      </c>
      <c r="C3430" s="5"/>
      <c r="D3430" s="5" t="s">
        <v>13</v>
      </c>
      <c r="E3430" s="5"/>
      <c r="G3430" s="5"/>
      <c r="H3430" s="5"/>
    </row>
    <row r="3431" spans="1:9" x14ac:dyDescent="0.2">
      <c r="A3431" s="5" t="s">
        <v>3948</v>
      </c>
      <c r="B3431" s="5" t="s">
        <v>66</v>
      </c>
      <c r="C3431" s="5"/>
      <c r="D3431" s="5" t="s">
        <v>18</v>
      </c>
      <c r="E3431" s="5"/>
      <c r="G3431" s="5"/>
      <c r="H3431" s="5"/>
    </row>
    <row r="3432" spans="1:9" x14ac:dyDescent="0.2">
      <c r="A3432" s="5" t="s">
        <v>3949</v>
      </c>
      <c r="B3432" s="5" t="s">
        <v>68</v>
      </c>
      <c r="C3432" s="5"/>
      <c r="D3432" s="5" t="s">
        <v>18</v>
      </c>
      <c r="E3432" s="5"/>
      <c r="G3432" s="5"/>
      <c r="H3432" s="5"/>
    </row>
    <row r="3433" spans="1:9" x14ac:dyDescent="0.2">
      <c r="A3433" s="5"/>
      <c r="B3433" s="5" t="s">
        <v>71</v>
      </c>
      <c r="C3433" s="5"/>
      <c r="D3433" s="5" t="s">
        <v>13</v>
      </c>
      <c r="E3433" s="5"/>
      <c r="G3433" s="5"/>
      <c r="H3433" s="5"/>
    </row>
    <row r="3434" spans="1:9" x14ac:dyDescent="0.2">
      <c r="A3434" s="5" t="s">
        <v>3950</v>
      </c>
      <c r="B3434" s="5" t="s">
        <v>3951</v>
      </c>
      <c r="C3434" s="5"/>
      <c r="D3434" s="5" t="s">
        <v>18</v>
      </c>
      <c r="E3434" s="5"/>
      <c r="G3434" s="5"/>
      <c r="H3434" s="5"/>
    </row>
    <row r="3435" spans="1:9" x14ac:dyDescent="0.2">
      <c r="A3435" s="5" t="s">
        <v>3952</v>
      </c>
      <c r="B3435" s="5" t="s">
        <v>269</v>
      </c>
      <c r="C3435" s="5"/>
      <c r="D3435" s="5" t="s">
        <v>18</v>
      </c>
      <c r="E3435" s="5"/>
      <c r="G3435" s="5"/>
      <c r="H3435" s="5"/>
    </row>
    <row r="3436" spans="1:9" x14ac:dyDescent="0.2">
      <c r="A3436" s="5"/>
      <c r="B3436" s="5" t="s">
        <v>76</v>
      </c>
      <c r="C3436" s="5"/>
      <c r="D3436" s="5" t="s">
        <v>13</v>
      </c>
      <c r="E3436" s="5"/>
      <c r="G3436" s="5"/>
      <c r="H3436" s="5"/>
    </row>
    <row r="3437" spans="1:9" x14ac:dyDescent="0.2">
      <c r="A3437" s="5"/>
      <c r="B3437" s="5" t="s">
        <v>77</v>
      </c>
      <c r="C3437" s="5"/>
      <c r="D3437" s="5" t="s">
        <v>15</v>
      </c>
      <c r="E3437" s="5"/>
      <c r="G3437" s="5"/>
      <c r="H3437" s="5"/>
    </row>
    <row r="3438" spans="1:9" x14ac:dyDescent="0.2">
      <c r="A3438" s="5" t="s">
        <v>3953</v>
      </c>
      <c r="B3438" s="5" t="s">
        <v>3954</v>
      </c>
      <c r="C3438" s="5"/>
      <c r="D3438" s="5" t="s">
        <v>18</v>
      </c>
      <c r="E3438" s="5"/>
      <c r="G3438" s="5"/>
      <c r="H3438" s="5"/>
    </row>
    <row r="3439" spans="1:9" x14ac:dyDescent="0.2">
      <c r="A3439" s="5" t="s">
        <v>3955</v>
      </c>
      <c r="B3439" s="5" t="s">
        <v>3956</v>
      </c>
      <c r="C3439" s="5"/>
      <c r="D3439" s="5" t="s">
        <v>18</v>
      </c>
      <c r="E3439" s="5"/>
      <c r="G3439" s="5"/>
      <c r="H3439" s="5"/>
    </row>
    <row r="3440" spans="1:9" x14ac:dyDescent="0.2">
      <c r="A3440" s="5" t="s">
        <v>3957</v>
      </c>
      <c r="B3440" s="5" t="s">
        <v>2970</v>
      </c>
      <c r="C3440" s="5"/>
      <c r="D3440" s="5" t="s">
        <v>18</v>
      </c>
      <c r="E3440" s="5"/>
      <c r="G3440" s="5"/>
      <c r="H3440" s="5"/>
    </row>
    <row r="3441" spans="1:8" x14ac:dyDescent="0.2">
      <c r="A3441" s="5" t="s">
        <v>3958</v>
      </c>
      <c r="B3441" s="5" t="s">
        <v>3959</v>
      </c>
      <c r="C3441" s="5"/>
      <c r="D3441" s="5" t="s">
        <v>18</v>
      </c>
      <c r="E3441" s="5"/>
      <c r="G3441" s="5"/>
      <c r="H3441" s="5"/>
    </row>
    <row r="3442" spans="1:8" x14ac:dyDescent="0.2">
      <c r="A3442" s="5" t="s">
        <v>3960</v>
      </c>
      <c r="B3442" s="5" t="s">
        <v>3961</v>
      </c>
      <c r="C3442" s="5"/>
      <c r="D3442" s="5" t="s">
        <v>18</v>
      </c>
      <c r="E3442" s="5"/>
      <c r="G3442" s="5"/>
      <c r="H3442" s="5"/>
    </row>
    <row r="3443" spans="1:8" x14ac:dyDescent="0.2">
      <c r="A3443" s="5" t="s">
        <v>3962</v>
      </c>
      <c r="B3443" s="5" t="s">
        <v>299</v>
      </c>
      <c r="C3443" s="5"/>
      <c r="D3443" s="5" t="s">
        <v>18</v>
      </c>
      <c r="E3443" s="5"/>
      <c r="G3443" s="5"/>
      <c r="H3443" s="5"/>
    </row>
    <row r="3444" spans="1:8" x14ac:dyDescent="0.2">
      <c r="A3444" s="5"/>
      <c r="B3444" s="5" t="s">
        <v>94</v>
      </c>
      <c r="C3444" s="5"/>
      <c r="D3444" s="5" t="s">
        <v>13</v>
      </c>
      <c r="E3444" s="5"/>
      <c r="G3444" s="5"/>
      <c r="H3444" s="5"/>
    </row>
    <row r="3445" spans="1:8" x14ac:dyDescent="0.2">
      <c r="A3445" s="5" t="s">
        <v>3963</v>
      </c>
      <c r="B3445" s="5" t="s">
        <v>3964</v>
      </c>
      <c r="C3445" s="8">
        <v>1</v>
      </c>
      <c r="D3445" s="5" t="s">
        <v>97</v>
      </c>
      <c r="E3445" s="5"/>
      <c r="G3445" s="5"/>
      <c r="H3445" s="5"/>
    </row>
    <row r="3446" spans="1:8" x14ac:dyDescent="0.2">
      <c r="A3446" s="5" t="s">
        <v>3965</v>
      </c>
      <c r="B3446" s="5" t="s">
        <v>3966</v>
      </c>
      <c r="C3446" s="8">
        <v>1</v>
      </c>
      <c r="D3446" s="5" t="s">
        <v>97</v>
      </c>
      <c r="E3446" s="5"/>
      <c r="G3446" s="5"/>
      <c r="H3446" s="5"/>
    </row>
    <row r="3447" spans="1:8" x14ac:dyDescent="0.2">
      <c r="A3447" s="5" t="s">
        <v>3967</v>
      </c>
      <c r="B3447" s="5" t="s">
        <v>214</v>
      </c>
      <c r="C3447" s="8">
        <v>1</v>
      </c>
      <c r="D3447" s="5" t="s">
        <v>97</v>
      </c>
      <c r="E3447" s="5"/>
      <c r="G3447" s="5"/>
      <c r="H3447" s="5"/>
    </row>
    <row r="3448" spans="1:8" x14ac:dyDescent="0.2">
      <c r="A3448" s="5" t="s">
        <v>3968</v>
      </c>
      <c r="B3448" s="5" t="s">
        <v>3969</v>
      </c>
      <c r="C3448" s="8">
        <v>1</v>
      </c>
      <c r="D3448" s="5" t="s">
        <v>97</v>
      </c>
      <c r="E3448" s="5"/>
      <c r="G3448" s="5"/>
      <c r="H3448" s="5"/>
    </row>
    <row r="3449" spans="1:8" x14ac:dyDescent="0.2">
      <c r="A3449" s="5" t="s">
        <v>3970</v>
      </c>
      <c r="B3449" s="5" t="s">
        <v>2000</v>
      </c>
      <c r="C3449" s="8">
        <v>1</v>
      </c>
      <c r="D3449" s="5" t="s">
        <v>97</v>
      </c>
      <c r="E3449" s="5"/>
      <c r="G3449" s="5"/>
      <c r="H3449" s="5"/>
    </row>
    <row r="3450" spans="1:8" x14ac:dyDescent="0.2">
      <c r="A3450" s="5" t="s">
        <v>3971</v>
      </c>
      <c r="B3450" s="5" t="s">
        <v>2758</v>
      </c>
      <c r="C3450" s="8">
        <v>1</v>
      </c>
      <c r="D3450" s="5" t="s">
        <v>97</v>
      </c>
      <c r="E3450" s="5"/>
      <c r="G3450" s="5"/>
      <c r="H3450" s="5"/>
    </row>
    <row r="3451" spans="1:8" x14ac:dyDescent="0.2">
      <c r="A3451" s="5" t="s">
        <v>3972</v>
      </c>
      <c r="B3451" s="5" t="s">
        <v>3973</v>
      </c>
      <c r="C3451" s="8">
        <v>1</v>
      </c>
      <c r="D3451" s="5" t="s">
        <v>97</v>
      </c>
      <c r="E3451" s="5"/>
      <c r="G3451" s="5"/>
      <c r="H3451" s="5"/>
    </row>
    <row r="3452" spans="1:8" x14ac:dyDescent="0.2">
      <c r="A3452" s="5" t="s">
        <v>3974</v>
      </c>
      <c r="B3452" s="5" t="s">
        <v>3975</v>
      </c>
      <c r="C3452" s="8">
        <v>1</v>
      </c>
      <c r="D3452" s="5" t="s">
        <v>97</v>
      </c>
      <c r="E3452" s="5"/>
      <c r="G3452" s="5"/>
      <c r="H3452" s="5"/>
    </row>
    <row r="3453" spans="1:8" x14ac:dyDescent="0.2">
      <c r="A3453" s="5" t="s">
        <v>3976</v>
      </c>
      <c r="B3453" s="5" t="s">
        <v>2761</v>
      </c>
      <c r="C3453" s="8">
        <v>1</v>
      </c>
      <c r="D3453" s="5" t="s">
        <v>97</v>
      </c>
      <c r="E3453" s="5"/>
      <c r="G3453" s="5"/>
      <c r="H3453" s="5"/>
    </row>
    <row r="3454" spans="1:8" x14ac:dyDescent="0.2">
      <c r="A3454" s="5"/>
      <c r="B3454" s="5" t="s">
        <v>135</v>
      </c>
      <c r="C3454" s="5"/>
      <c r="D3454" s="5" t="s">
        <v>13</v>
      </c>
      <c r="E3454" s="5"/>
      <c r="G3454" s="5"/>
      <c r="H3454" s="5"/>
    </row>
    <row r="3455" spans="1:8" x14ac:dyDescent="0.2">
      <c r="A3455" s="5" t="s">
        <v>3977</v>
      </c>
      <c r="B3455" s="5" t="s">
        <v>3978</v>
      </c>
      <c r="C3455" s="5"/>
      <c r="D3455" s="5" t="s">
        <v>18</v>
      </c>
      <c r="E3455" s="5"/>
      <c r="G3455" s="5"/>
      <c r="H3455" s="5"/>
    </row>
    <row r="3456" spans="1:8" x14ac:dyDescent="0.2">
      <c r="A3456" s="5" t="s">
        <v>3979</v>
      </c>
      <c r="B3456" s="5" t="s">
        <v>3980</v>
      </c>
      <c r="C3456" s="5"/>
      <c r="D3456" s="5" t="s">
        <v>18</v>
      </c>
      <c r="E3456" s="5"/>
      <c r="G3456" s="5"/>
      <c r="H3456" s="5"/>
    </row>
    <row r="3457" spans="1:8" x14ac:dyDescent="0.2">
      <c r="A3457" s="5" t="s">
        <v>3981</v>
      </c>
      <c r="B3457" s="5" t="s">
        <v>3982</v>
      </c>
      <c r="C3457" s="5"/>
      <c r="D3457" s="5" t="s">
        <v>18</v>
      </c>
      <c r="E3457" s="5"/>
      <c r="G3457" s="5"/>
      <c r="H3457" s="5"/>
    </row>
    <row r="3458" spans="1:8" x14ac:dyDescent="0.2">
      <c r="A3458" s="5" t="s">
        <v>3983</v>
      </c>
      <c r="B3458" s="5" t="s">
        <v>3984</v>
      </c>
      <c r="C3458" s="5"/>
      <c r="D3458" s="5" t="s">
        <v>18</v>
      </c>
      <c r="E3458" s="5"/>
      <c r="G3458" s="5"/>
      <c r="H3458" s="5"/>
    </row>
    <row r="3459" spans="1:8" x14ac:dyDescent="0.2">
      <c r="A3459" s="5"/>
      <c r="B3459" s="5" t="s">
        <v>38</v>
      </c>
      <c r="C3459" s="5"/>
      <c r="D3459" s="5" t="s">
        <v>13</v>
      </c>
      <c r="E3459" s="5"/>
      <c r="G3459" s="5"/>
      <c r="H3459" s="5"/>
    </row>
    <row r="3460" spans="1:8" x14ac:dyDescent="0.2">
      <c r="A3460" s="5"/>
      <c r="B3460" s="5" t="s">
        <v>3985</v>
      </c>
      <c r="C3460" s="5"/>
      <c r="D3460" s="5" t="s">
        <v>15</v>
      </c>
      <c r="E3460" s="5"/>
      <c r="G3460" s="5"/>
      <c r="H3460" s="5"/>
    </row>
    <row r="3461" spans="1:8" x14ac:dyDescent="0.2">
      <c r="A3461" s="5"/>
      <c r="B3461" s="5" t="s">
        <v>41</v>
      </c>
      <c r="C3461" s="5"/>
      <c r="D3461" s="5" t="s">
        <v>322</v>
      </c>
      <c r="E3461" s="5"/>
      <c r="G3461" s="5"/>
      <c r="H3461" s="5"/>
    </row>
    <row r="3462" spans="1:8" x14ac:dyDescent="0.2">
      <c r="A3462" s="5"/>
      <c r="B3462" s="5" t="s">
        <v>3986</v>
      </c>
      <c r="C3462" s="5"/>
      <c r="D3462" s="5" t="s">
        <v>366</v>
      </c>
      <c r="E3462" s="5"/>
      <c r="G3462" s="5"/>
      <c r="H3462" s="5"/>
    </row>
    <row r="3463" spans="1:8" x14ac:dyDescent="0.2">
      <c r="A3463" s="5" t="s">
        <v>3987</v>
      </c>
      <c r="B3463" s="5" t="s">
        <v>3988</v>
      </c>
      <c r="C3463" s="8">
        <v>1</v>
      </c>
      <c r="D3463" s="5" t="s">
        <v>162</v>
      </c>
      <c r="E3463" s="5"/>
      <c r="G3463" s="5"/>
      <c r="H3463" s="5"/>
    </row>
    <row r="3464" spans="1:8" x14ac:dyDescent="0.2">
      <c r="A3464" s="5"/>
      <c r="B3464" s="5" t="s">
        <v>3989</v>
      </c>
      <c r="C3464" s="5"/>
      <c r="D3464" s="5" t="s">
        <v>366</v>
      </c>
      <c r="E3464" s="5"/>
      <c r="G3464" s="5"/>
      <c r="H3464" s="5"/>
    </row>
    <row r="3465" spans="1:8" x14ac:dyDescent="0.2">
      <c r="A3465" s="5" t="s">
        <v>3990</v>
      </c>
      <c r="B3465" s="5" t="s">
        <v>3991</v>
      </c>
      <c r="C3465" s="8">
        <v>1</v>
      </c>
      <c r="D3465" s="5" t="s">
        <v>162</v>
      </c>
      <c r="E3465" s="5"/>
      <c r="G3465" s="5"/>
      <c r="H3465" s="5"/>
    </row>
    <row r="3466" spans="1:8" x14ac:dyDescent="0.2">
      <c r="A3466" s="5" t="s">
        <v>3992</v>
      </c>
      <c r="B3466" s="5" t="s">
        <v>3993</v>
      </c>
      <c r="C3466" s="8">
        <v>1</v>
      </c>
      <c r="D3466" s="5" t="s">
        <v>162</v>
      </c>
      <c r="E3466" s="5"/>
      <c r="G3466" s="5"/>
      <c r="H3466" s="5"/>
    </row>
    <row r="3467" spans="1:8" x14ac:dyDescent="0.2">
      <c r="A3467" s="5"/>
      <c r="B3467" s="5" t="s">
        <v>48</v>
      </c>
      <c r="C3467" s="5"/>
      <c r="D3467" s="5" t="s">
        <v>322</v>
      </c>
      <c r="E3467" s="5"/>
      <c r="G3467" s="5"/>
      <c r="H3467" s="5"/>
    </row>
    <row r="3468" spans="1:8" x14ac:dyDescent="0.2">
      <c r="A3468" s="5"/>
      <c r="B3468" s="5" t="s">
        <v>3986</v>
      </c>
      <c r="C3468" s="5"/>
      <c r="D3468" s="5" t="s">
        <v>366</v>
      </c>
      <c r="E3468" s="5"/>
      <c r="G3468" s="5"/>
      <c r="H3468" s="5"/>
    </row>
    <row r="3469" spans="1:8" x14ac:dyDescent="0.2">
      <c r="A3469" s="5" t="s">
        <v>3994</v>
      </c>
      <c r="B3469" s="5" t="s">
        <v>3988</v>
      </c>
      <c r="C3469" s="8">
        <v>1</v>
      </c>
      <c r="D3469" s="5" t="s">
        <v>162</v>
      </c>
      <c r="E3469" s="5"/>
      <c r="G3469" s="5"/>
      <c r="H3469" s="5"/>
    </row>
    <row r="3470" spans="1:8" x14ac:dyDescent="0.2">
      <c r="A3470" s="5"/>
      <c r="B3470" s="5" t="s">
        <v>3989</v>
      </c>
      <c r="C3470" s="5"/>
      <c r="D3470" s="5" t="s">
        <v>366</v>
      </c>
      <c r="E3470" s="5"/>
      <c r="G3470" s="5"/>
      <c r="H3470" s="5"/>
    </row>
    <row r="3471" spans="1:8" x14ac:dyDescent="0.2">
      <c r="A3471" s="5" t="s">
        <v>3995</v>
      </c>
      <c r="B3471" s="5" t="s">
        <v>3996</v>
      </c>
      <c r="C3471" s="8">
        <v>1</v>
      </c>
      <c r="D3471" s="5" t="s">
        <v>162</v>
      </c>
      <c r="E3471" s="5"/>
      <c r="G3471" s="5"/>
      <c r="H3471" s="5"/>
    </row>
    <row r="3472" spans="1:8" x14ac:dyDescent="0.2">
      <c r="A3472" s="5"/>
      <c r="B3472" s="5" t="s">
        <v>3997</v>
      </c>
      <c r="C3472" s="5"/>
      <c r="D3472" s="5" t="s">
        <v>15</v>
      </c>
      <c r="E3472" s="5"/>
      <c r="G3472" s="5"/>
      <c r="H3472" s="5"/>
    </row>
    <row r="3473" spans="1:8" x14ac:dyDescent="0.2">
      <c r="A3473" s="5"/>
      <c r="B3473" s="5" t="s">
        <v>41</v>
      </c>
      <c r="C3473" s="5"/>
      <c r="D3473" s="5" t="s">
        <v>322</v>
      </c>
      <c r="E3473" s="5"/>
      <c r="G3473" s="5"/>
      <c r="H3473" s="5"/>
    </row>
    <row r="3474" spans="1:8" x14ac:dyDescent="0.2">
      <c r="A3474" s="5"/>
      <c r="B3474" s="5" t="s">
        <v>3986</v>
      </c>
      <c r="C3474" s="5"/>
      <c r="D3474" s="5" t="s">
        <v>366</v>
      </c>
      <c r="E3474" s="5"/>
      <c r="G3474" s="5"/>
      <c r="H3474" s="5"/>
    </row>
    <row r="3475" spans="1:8" x14ac:dyDescent="0.2">
      <c r="A3475" s="5" t="s">
        <v>3998</v>
      </c>
      <c r="B3475" s="5" t="s">
        <v>3999</v>
      </c>
      <c r="C3475" s="8">
        <v>1</v>
      </c>
      <c r="D3475" s="5" t="s">
        <v>162</v>
      </c>
      <c r="E3475" s="5"/>
      <c r="G3475" s="5"/>
      <c r="H3475" s="5"/>
    </row>
    <row r="3476" spans="1:8" x14ac:dyDescent="0.2">
      <c r="A3476" s="5" t="s">
        <v>4000</v>
      </c>
      <c r="B3476" s="5" t="s">
        <v>4001</v>
      </c>
      <c r="C3476" s="8">
        <v>1</v>
      </c>
      <c r="D3476" s="5" t="s">
        <v>162</v>
      </c>
      <c r="E3476" s="5"/>
      <c r="G3476" s="5"/>
      <c r="H3476" s="5"/>
    </row>
    <row r="3477" spans="1:8" x14ac:dyDescent="0.2">
      <c r="A3477" s="5"/>
      <c r="B3477" s="5" t="s">
        <v>3989</v>
      </c>
      <c r="C3477" s="5"/>
      <c r="D3477" s="5" t="s">
        <v>366</v>
      </c>
      <c r="E3477" s="5"/>
      <c r="G3477" s="5"/>
      <c r="H3477" s="5"/>
    </row>
    <row r="3478" spans="1:8" x14ac:dyDescent="0.2">
      <c r="A3478" s="5" t="s">
        <v>4002</v>
      </c>
      <c r="B3478" s="5" t="s">
        <v>3991</v>
      </c>
      <c r="C3478" s="8">
        <v>2</v>
      </c>
      <c r="D3478" s="5" t="s">
        <v>162</v>
      </c>
      <c r="E3478" s="5"/>
      <c r="G3478" s="5"/>
      <c r="H3478" s="5"/>
    </row>
    <row r="3479" spans="1:8" x14ac:dyDescent="0.2">
      <c r="A3479" s="5" t="s">
        <v>4003</v>
      </c>
      <c r="B3479" s="5" t="s">
        <v>3993</v>
      </c>
      <c r="C3479" s="8">
        <v>1</v>
      </c>
      <c r="D3479" s="5" t="s">
        <v>162</v>
      </c>
      <c r="E3479" s="5"/>
      <c r="G3479" s="5"/>
      <c r="H3479" s="5"/>
    </row>
    <row r="3480" spans="1:8" x14ac:dyDescent="0.2">
      <c r="A3480" s="5" t="s">
        <v>4004</v>
      </c>
      <c r="B3480" s="5" t="s">
        <v>4005</v>
      </c>
      <c r="C3480" s="8">
        <v>1</v>
      </c>
      <c r="D3480" s="5" t="s">
        <v>162</v>
      </c>
      <c r="E3480" s="5"/>
      <c r="G3480" s="5"/>
      <c r="H3480" s="5"/>
    </row>
    <row r="3481" spans="1:8" x14ac:dyDescent="0.2">
      <c r="A3481" s="5" t="s">
        <v>4006</v>
      </c>
      <c r="B3481" s="5" t="s">
        <v>4007</v>
      </c>
      <c r="C3481" s="8">
        <v>3</v>
      </c>
      <c r="D3481" s="5" t="s">
        <v>162</v>
      </c>
      <c r="E3481" s="5"/>
      <c r="G3481" s="5"/>
      <c r="H3481" s="5"/>
    </row>
    <row r="3482" spans="1:8" x14ac:dyDescent="0.2">
      <c r="A3482" s="5" t="s">
        <v>4008</v>
      </c>
      <c r="B3482" s="5" t="s">
        <v>4009</v>
      </c>
      <c r="C3482" s="8">
        <v>1</v>
      </c>
      <c r="D3482" s="5" t="s">
        <v>162</v>
      </c>
      <c r="E3482" s="5"/>
      <c r="G3482" s="5"/>
      <c r="H3482" s="5"/>
    </row>
    <row r="3483" spans="1:8" x14ac:dyDescent="0.2">
      <c r="A3483" s="5" t="s">
        <v>4010</v>
      </c>
      <c r="B3483" s="5" t="s">
        <v>4011</v>
      </c>
      <c r="C3483" s="8">
        <v>1</v>
      </c>
      <c r="D3483" s="5" t="s">
        <v>162</v>
      </c>
      <c r="E3483" s="5"/>
      <c r="G3483" s="5"/>
      <c r="H3483" s="5"/>
    </row>
    <row r="3484" spans="1:8" x14ac:dyDescent="0.2">
      <c r="A3484" s="5"/>
      <c r="B3484" s="5" t="s">
        <v>44</v>
      </c>
      <c r="C3484" s="5"/>
      <c r="D3484" s="5" t="s">
        <v>322</v>
      </c>
      <c r="E3484" s="5"/>
      <c r="G3484" s="5"/>
      <c r="H3484" s="5"/>
    </row>
    <row r="3485" spans="1:8" x14ac:dyDescent="0.2">
      <c r="A3485" s="5"/>
      <c r="B3485" s="5" t="s">
        <v>3986</v>
      </c>
      <c r="C3485" s="5"/>
      <c r="D3485" s="5" t="s">
        <v>366</v>
      </c>
      <c r="E3485" s="5"/>
      <c r="G3485" s="5"/>
      <c r="H3485" s="5"/>
    </row>
    <row r="3486" spans="1:8" x14ac:dyDescent="0.2">
      <c r="A3486" s="5" t="s">
        <v>4012</v>
      </c>
      <c r="B3486" s="5" t="s">
        <v>3988</v>
      </c>
      <c r="C3486" s="8">
        <v>1</v>
      </c>
      <c r="D3486" s="5" t="s">
        <v>162</v>
      </c>
      <c r="E3486" s="5"/>
      <c r="G3486" s="5"/>
      <c r="H3486" s="5"/>
    </row>
    <row r="3487" spans="1:8" x14ac:dyDescent="0.2">
      <c r="A3487" s="5"/>
      <c r="B3487" s="5" t="s">
        <v>4013</v>
      </c>
      <c r="C3487" s="5"/>
      <c r="D3487" s="5" t="s">
        <v>366</v>
      </c>
      <c r="E3487" s="5"/>
      <c r="G3487" s="5"/>
      <c r="H3487" s="5"/>
    </row>
    <row r="3488" spans="1:8" x14ac:dyDescent="0.2">
      <c r="A3488" s="5" t="s">
        <v>4014</v>
      </c>
      <c r="B3488" s="5" t="s">
        <v>4015</v>
      </c>
      <c r="C3488" s="8">
        <v>5</v>
      </c>
      <c r="D3488" s="5" t="s">
        <v>162</v>
      </c>
      <c r="E3488" s="5"/>
      <c r="G3488" s="5"/>
      <c r="H3488" s="5"/>
    </row>
    <row r="3489" spans="1:8" x14ac:dyDescent="0.2">
      <c r="A3489" s="5" t="s">
        <v>4016</v>
      </c>
      <c r="B3489" s="5" t="s">
        <v>4017</v>
      </c>
      <c r="C3489" s="8">
        <v>2</v>
      </c>
      <c r="D3489" s="5" t="s">
        <v>162</v>
      </c>
      <c r="E3489" s="5"/>
      <c r="G3489" s="5"/>
      <c r="H3489" s="5"/>
    </row>
    <row r="3490" spans="1:8" x14ac:dyDescent="0.2">
      <c r="A3490" s="5"/>
      <c r="B3490" s="5" t="s">
        <v>4018</v>
      </c>
      <c r="C3490" s="5"/>
      <c r="D3490" s="5" t="s">
        <v>366</v>
      </c>
      <c r="E3490" s="5"/>
      <c r="G3490" s="5"/>
      <c r="H3490" s="5"/>
    </row>
    <row r="3491" spans="1:8" x14ac:dyDescent="0.2">
      <c r="A3491" s="5" t="s">
        <v>4019</v>
      </c>
      <c r="B3491" s="5" t="s">
        <v>4020</v>
      </c>
      <c r="C3491" s="8">
        <v>1</v>
      </c>
      <c r="D3491" s="5" t="s">
        <v>162</v>
      </c>
      <c r="E3491" s="5"/>
      <c r="G3491" s="5"/>
      <c r="H3491" s="5"/>
    </row>
    <row r="3492" spans="1:8" x14ac:dyDescent="0.2">
      <c r="A3492" s="5" t="s">
        <v>4021</v>
      </c>
      <c r="B3492" s="5" t="s">
        <v>4022</v>
      </c>
      <c r="C3492" s="8">
        <v>1</v>
      </c>
      <c r="D3492" s="5" t="s">
        <v>162</v>
      </c>
      <c r="E3492" s="5"/>
      <c r="G3492" s="5"/>
      <c r="H3492" s="5"/>
    </row>
    <row r="3493" spans="1:8" x14ac:dyDescent="0.2">
      <c r="A3493" s="5"/>
      <c r="B3493" s="5" t="s">
        <v>4023</v>
      </c>
      <c r="C3493" s="5"/>
      <c r="D3493" s="5" t="s">
        <v>366</v>
      </c>
      <c r="E3493" s="5"/>
      <c r="G3493" s="5"/>
      <c r="H3493" s="5"/>
    </row>
    <row r="3494" spans="1:8" x14ac:dyDescent="0.2">
      <c r="A3494" s="5" t="s">
        <v>4024</v>
      </c>
      <c r="B3494" s="5" t="s">
        <v>4025</v>
      </c>
      <c r="C3494" s="8">
        <v>1</v>
      </c>
      <c r="D3494" s="5" t="s">
        <v>162</v>
      </c>
      <c r="E3494" s="5"/>
      <c r="G3494" s="5"/>
      <c r="H3494" s="5"/>
    </row>
    <row r="3495" spans="1:8" x14ac:dyDescent="0.2">
      <c r="A3495" s="5"/>
      <c r="B3495" s="5" t="s">
        <v>3989</v>
      </c>
      <c r="C3495" s="5"/>
      <c r="D3495" s="5" t="s">
        <v>366</v>
      </c>
      <c r="E3495" s="5"/>
      <c r="G3495" s="5"/>
      <c r="H3495" s="5"/>
    </row>
    <row r="3496" spans="1:8" x14ac:dyDescent="0.2">
      <c r="A3496" s="5" t="s">
        <v>4026</v>
      </c>
      <c r="B3496" s="5" t="s">
        <v>4027</v>
      </c>
      <c r="C3496" s="8">
        <v>2</v>
      </c>
      <c r="D3496" s="5" t="s">
        <v>162</v>
      </c>
      <c r="E3496" s="5"/>
      <c r="G3496" s="5"/>
      <c r="H3496" s="5"/>
    </row>
    <row r="3497" spans="1:8" x14ac:dyDescent="0.2">
      <c r="A3497" s="5" t="s">
        <v>4028</v>
      </c>
      <c r="B3497" s="5" t="s">
        <v>3993</v>
      </c>
      <c r="C3497" s="8">
        <v>1</v>
      </c>
      <c r="D3497" s="5" t="s">
        <v>162</v>
      </c>
      <c r="E3497" s="5"/>
      <c r="G3497" s="5"/>
      <c r="H3497" s="5"/>
    </row>
    <row r="3498" spans="1:8" x14ac:dyDescent="0.2">
      <c r="A3498" s="5" t="s">
        <v>4029</v>
      </c>
      <c r="B3498" s="5" t="s">
        <v>4007</v>
      </c>
      <c r="C3498" s="8">
        <v>1</v>
      </c>
      <c r="D3498" s="5" t="s">
        <v>162</v>
      </c>
      <c r="E3498" s="5"/>
      <c r="G3498" s="5"/>
      <c r="H3498" s="5"/>
    </row>
    <row r="3499" spans="1:8" x14ac:dyDescent="0.2">
      <c r="A3499" s="5" t="s">
        <v>4030</v>
      </c>
      <c r="B3499" s="5" t="s">
        <v>4031</v>
      </c>
      <c r="C3499" s="8">
        <v>2</v>
      </c>
      <c r="D3499" s="5" t="s">
        <v>162</v>
      </c>
      <c r="E3499" s="5"/>
      <c r="G3499" s="5"/>
      <c r="H3499" s="5"/>
    </row>
    <row r="3500" spans="1:8" x14ac:dyDescent="0.2">
      <c r="A3500" s="5"/>
      <c r="B3500" s="5" t="s">
        <v>46</v>
      </c>
      <c r="C3500" s="5"/>
      <c r="D3500" s="5" t="s">
        <v>322</v>
      </c>
      <c r="E3500" s="5"/>
      <c r="G3500" s="5"/>
      <c r="H3500" s="5"/>
    </row>
    <row r="3501" spans="1:8" x14ac:dyDescent="0.2">
      <c r="A3501" s="5"/>
      <c r="B3501" s="5" t="s">
        <v>3986</v>
      </c>
      <c r="C3501" s="5"/>
      <c r="D3501" s="5" t="s">
        <v>366</v>
      </c>
      <c r="E3501" s="5"/>
      <c r="G3501" s="5"/>
      <c r="H3501" s="5"/>
    </row>
    <row r="3502" spans="1:8" x14ac:dyDescent="0.2">
      <c r="A3502" s="5" t="s">
        <v>4032</v>
      </c>
      <c r="B3502" s="5" t="s">
        <v>3988</v>
      </c>
      <c r="C3502" s="8">
        <v>1</v>
      </c>
      <c r="D3502" s="5" t="s">
        <v>162</v>
      </c>
      <c r="E3502" s="5"/>
      <c r="G3502" s="5"/>
      <c r="H3502" s="5"/>
    </row>
    <row r="3503" spans="1:8" x14ac:dyDescent="0.2">
      <c r="A3503" s="5"/>
      <c r="B3503" s="5" t="s">
        <v>2859</v>
      </c>
      <c r="C3503" s="5"/>
      <c r="D3503" s="5" t="s">
        <v>366</v>
      </c>
      <c r="E3503" s="5"/>
      <c r="G3503" s="5"/>
      <c r="H3503" s="5"/>
    </row>
    <row r="3504" spans="1:8" x14ac:dyDescent="0.2">
      <c r="A3504" s="5" t="s">
        <v>4033</v>
      </c>
      <c r="B3504" s="5" t="s">
        <v>4015</v>
      </c>
      <c r="C3504" s="8">
        <v>2</v>
      </c>
      <c r="D3504" s="5" t="s">
        <v>162</v>
      </c>
      <c r="E3504" s="5"/>
      <c r="G3504" s="5"/>
      <c r="H3504" s="5"/>
    </row>
    <row r="3505" spans="1:8" x14ac:dyDescent="0.2">
      <c r="A3505" s="5" t="s">
        <v>4034</v>
      </c>
      <c r="B3505" s="5" t="s">
        <v>4035</v>
      </c>
      <c r="C3505" s="8">
        <v>1</v>
      </c>
      <c r="D3505" s="5" t="s">
        <v>162</v>
      </c>
      <c r="E3505" s="5"/>
      <c r="G3505" s="5"/>
      <c r="H3505" s="5"/>
    </row>
    <row r="3506" spans="1:8" x14ac:dyDescent="0.2">
      <c r="A3506" s="5" t="s">
        <v>4036</v>
      </c>
      <c r="B3506" s="5" t="s">
        <v>4037</v>
      </c>
      <c r="C3506" s="8">
        <v>1</v>
      </c>
      <c r="D3506" s="5" t="s">
        <v>162</v>
      </c>
      <c r="E3506" s="5"/>
      <c r="G3506" s="5"/>
      <c r="H3506" s="5"/>
    </row>
    <row r="3507" spans="1:8" x14ac:dyDescent="0.2">
      <c r="A3507" s="5"/>
      <c r="B3507" s="5" t="s">
        <v>4018</v>
      </c>
      <c r="C3507" s="5"/>
      <c r="D3507" s="5" t="s">
        <v>366</v>
      </c>
      <c r="E3507" s="5"/>
      <c r="G3507" s="5"/>
      <c r="H3507" s="5"/>
    </row>
    <row r="3508" spans="1:8" x14ac:dyDescent="0.2">
      <c r="A3508" s="5" t="s">
        <v>4038</v>
      </c>
      <c r="B3508" s="5" t="s">
        <v>4039</v>
      </c>
      <c r="C3508" s="8">
        <v>2</v>
      </c>
      <c r="D3508" s="5" t="s">
        <v>162</v>
      </c>
      <c r="E3508" s="5"/>
      <c r="G3508" s="5"/>
      <c r="H3508" s="5"/>
    </row>
    <row r="3509" spans="1:8" x14ac:dyDescent="0.2">
      <c r="A3509" s="5" t="s">
        <v>4040</v>
      </c>
      <c r="B3509" s="5" t="s">
        <v>4041</v>
      </c>
      <c r="C3509" s="8">
        <v>2</v>
      </c>
      <c r="D3509" s="5" t="s">
        <v>162</v>
      </c>
      <c r="E3509" s="5"/>
      <c r="G3509" s="5"/>
      <c r="H3509" s="5"/>
    </row>
    <row r="3510" spans="1:8" x14ac:dyDescent="0.2">
      <c r="A3510" s="5"/>
      <c r="B3510" s="5" t="s">
        <v>3989</v>
      </c>
      <c r="C3510" s="5"/>
      <c r="D3510" s="5" t="s">
        <v>366</v>
      </c>
      <c r="E3510" s="5"/>
      <c r="G3510" s="5"/>
      <c r="H3510" s="5"/>
    </row>
    <row r="3511" spans="1:8" x14ac:dyDescent="0.2">
      <c r="A3511" s="5" t="s">
        <v>4042</v>
      </c>
      <c r="B3511" s="5" t="s">
        <v>4027</v>
      </c>
      <c r="C3511" s="8">
        <v>2</v>
      </c>
      <c r="D3511" s="5" t="s">
        <v>162</v>
      </c>
      <c r="E3511" s="5"/>
      <c r="G3511" s="5"/>
      <c r="H3511" s="5"/>
    </row>
    <row r="3512" spans="1:8" x14ac:dyDescent="0.2">
      <c r="A3512" s="5" t="s">
        <v>4043</v>
      </c>
      <c r="B3512" s="5" t="s">
        <v>3993</v>
      </c>
      <c r="C3512" s="8">
        <v>1</v>
      </c>
      <c r="D3512" s="5" t="s">
        <v>162</v>
      </c>
      <c r="E3512" s="5"/>
      <c r="G3512" s="5"/>
      <c r="H3512" s="5"/>
    </row>
    <row r="3513" spans="1:8" x14ac:dyDescent="0.2">
      <c r="A3513" s="5" t="s">
        <v>4044</v>
      </c>
      <c r="B3513" s="5" t="s">
        <v>4005</v>
      </c>
      <c r="C3513" s="8">
        <v>11</v>
      </c>
      <c r="D3513" s="5" t="s">
        <v>162</v>
      </c>
      <c r="E3513" s="5"/>
      <c r="G3513" s="5"/>
      <c r="H3513" s="5"/>
    </row>
    <row r="3514" spans="1:8" x14ac:dyDescent="0.2">
      <c r="A3514" s="5" t="s">
        <v>4045</v>
      </c>
      <c r="B3514" s="5" t="s">
        <v>4007</v>
      </c>
      <c r="C3514" s="8">
        <v>1</v>
      </c>
      <c r="D3514" s="5" t="s">
        <v>162</v>
      </c>
      <c r="E3514" s="5"/>
      <c r="G3514" s="5"/>
      <c r="H3514" s="5"/>
    </row>
    <row r="3515" spans="1:8" x14ac:dyDescent="0.2">
      <c r="A3515" s="5" t="s">
        <v>4046</v>
      </c>
      <c r="B3515" s="5" t="s">
        <v>4047</v>
      </c>
      <c r="C3515" s="8">
        <v>2</v>
      </c>
      <c r="D3515" s="5" t="s">
        <v>162</v>
      </c>
      <c r="E3515" s="5"/>
      <c r="G3515" s="5"/>
      <c r="H3515" s="5"/>
    </row>
    <row r="3516" spans="1:8" x14ac:dyDescent="0.2">
      <c r="A3516" s="5" t="s">
        <v>4048</v>
      </c>
      <c r="B3516" s="5" t="s">
        <v>4031</v>
      </c>
      <c r="C3516" s="8">
        <v>1</v>
      </c>
      <c r="D3516" s="5" t="s">
        <v>162</v>
      </c>
      <c r="E3516" s="5"/>
      <c r="G3516" s="5"/>
      <c r="H3516" s="5"/>
    </row>
    <row r="3517" spans="1:8" x14ac:dyDescent="0.2">
      <c r="A3517" s="5"/>
      <c r="B3517" s="5" t="s">
        <v>48</v>
      </c>
      <c r="C3517" s="5"/>
      <c r="D3517" s="5" t="s">
        <v>322</v>
      </c>
      <c r="E3517" s="5"/>
      <c r="G3517" s="5"/>
      <c r="H3517" s="5"/>
    </row>
    <row r="3518" spans="1:8" x14ac:dyDescent="0.2">
      <c r="A3518" s="5"/>
      <c r="B3518" s="5" t="s">
        <v>2871</v>
      </c>
      <c r="C3518" s="5"/>
      <c r="D3518" s="5" t="s">
        <v>366</v>
      </c>
      <c r="E3518" s="5"/>
      <c r="G3518" s="5"/>
      <c r="H3518" s="5"/>
    </row>
    <row r="3519" spans="1:8" x14ac:dyDescent="0.2">
      <c r="A3519" s="5" t="s">
        <v>4049</v>
      </c>
      <c r="B3519" s="5" t="s">
        <v>4050</v>
      </c>
      <c r="C3519" s="8">
        <v>1</v>
      </c>
      <c r="D3519" s="5" t="s">
        <v>162</v>
      </c>
      <c r="E3519" s="5"/>
      <c r="G3519" s="5"/>
      <c r="H3519" s="5"/>
    </row>
    <row r="3520" spans="1:8" x14ac:dyDescent="0.2">
      <c r="A3520" s="5"/>
      <c r="B3520" s="5" t="s">
        <v>4051</v>
      </c>
      <c r="C3520" s="5"/>
      <c r="D3520" s="5" t="s">
        <v>366</v>
      </c>
      <c r="E3520" s="5"/>
      <c r="G3520" s="5"/>
      <c r="H3520" s="5"/>
    </row>
    <row r="3521" spans="1:8" x14ac:dyDescent="0.2">
      <c r="A3521" s="5" t="s">
        <v>4052</v>
      </c>
      <c r="B3521" s="5" t="s">
        <v>4053</v>
      </c>
      <c r="C3521" s="8">
        <v>1</v>
      </c>
      <c r="D3521" s="5" t="s">
        <v>162</v>
      </c>
      <c r="E3521" s="5"/>
      <c r="G3521" s="5"/>
      <c r="H3521" s="5"/>
    </row>
    <row r="3522" spans="1:8" x14ac:dyDescent="0.2">
      <c r="A3522" s="5" t="s">
        <v>4054</v>
      </c>
      <c r="B3522" s="5" t="s">
        <v>4055</v>
      </c>
      <c r="C3522" s="8">
        <v>1</v>
      </c>
      <c r="D3522" s="5" t="s">
        <v>162</v>
      </c>
      <c r="E3522" s="5"/>
      <c r="G3522" s="5"/>
      <c r="H3522" s="5"/>
    </row>
    <row r="3523" spans="1:8" x14ac:dyDescent="0.2">
      <c r="A3523" s="5"/>
      <c r="B3523" s="5" t="s">
        <v>3989</v>
      </c>
      <c r="C3523" s="5"/>
      <c r="D3523" s="5" t="s">
        <v>366</v>
      </c>
      <c r="E3523" s="5"/>
      <c r="G3523" s="5"/>
      <c r="H3523" s="5"/>
    </row>
    <row r="3524" spans="1:8" x14ac:dyDescent="0.2">
      <c r="A3524" s="5" t="s">
        <v>4056</v>
      </c>
      <c r="B3524" s="5" t="s">
        <v>4057</v>
      </c>
      <c r="C3524" s="8">
        <v>2</v>
      </c>
      <c r="D3524" s="5" t="s">
        <v>162</v>
      </c>
      <c r="E3524" s="5"/>
      <c r="G3524" s="5"/>
      <c r="H3524" s="5"/>
    </row>
    <row r="3525" spans="1:8" x14ac:dyDescent="0.2">
      <c r="A3525" s="5" t="s">
        <v>4058</v>
      </c>
      <c r="B3525" s="5" t="s">
        <v>3993</v>
      </c>
      <c r="C3525" s="8">
        <v>1</v>
      </c>
      <c r="D3525" s="5" t="s">
        <v>162</v>
      </c>
      <c r="E3525" s="5"/>
      <c r="G3525" s="5"/>
      <c r="H3525" s="5"/>
    </row>
    <row r="3526" spans="1:8" x14ac:dyDescent="0.2">
      <c r="A3526" s="5" t="s">
        <v>4059</v>
      </c>
      <c r="B3526" s="5" t="s">
        <v>4005</v>
      </c>
      <c r="C3526" s="8">
        <v>5</v>
      </c>
      <c r="D3526" s="5" t="s">
        <v>162</v>
      </c>
      <c r="E3526" s="5"/>
      <c r="G3526" s="5"/>
      <c r="H3526" s="5"/>
    </row>
    <row r="3527" spans="1:8" x14ac:dyDescent="0.2">
      <c r="A3527" s="5"/>
      <c r="B3527" s="5" t="s">
        <v>4060</v>
      </c>
      <c r="C3527" s="5"/>
      <c r="D3527" s="5" t="s">
        <v>15</v>
      </c>
      <c r="E3527" s="5"/>
      <c r="G3527" s="5"/>
      <c r="H3527" s="5"/>
    </row>
    <row r="3528" spans="1:8" x14ac:dyDescent="0.2">
      <c r="A3528" s="5"/>
      <c r="B3528" s="5" t="s">
        <v>4061</v>
      </c>
      <c r="C3528" s="5"/>
      <c r="D3528" s="5" t="s">
        <v>322</v>
      </c>
      <c r="E3528" s="5"/>
      <c r="G3528" s="5"/>
      <c r="H3528" s="5"/>
    </row>
    <row r="3529" spans="1:8" x14ac:dyDescent="0.2">
      <c r="A3529" s="5"/>
      <c r="B3529" s="5" t="s">
        <v>41</v>
      </c>
      <c r="C3529" s="5"/>
      <c r="D3529" s="5" t="s">
        <v>366</v>
      </c>
      <c r="E3529" s="5"/>
      <c r="G3529" s="5"/>
      <c r="H3529" s="5"/>
    </row>
    <row r="3530" spans="1:8" x14ac:dyDescent="0.2">
      <c r="A3530" s="5" t="s">
        <v>4062</v>
      </c>
      <c r="B3530" s="5" t="s">
        <v>4063</v>
      </c>
      <c r="C3530" s="8">
        <v>1</v>
      </c>
      <c r="D3530" s="5" t="s">
        <v>162</v>
      </c>
      <c r="E3530" s="5"/>
      <c r="G3530" s="5"/>
      <c r="H3530" s="5"/>
    </row>
    <row r="3531" spans="1:8" x14ac:dyDescent="0.2">
      <c r="A3531" s="5" t="s">
        <v>4064</v>
      </c>
      <c r="B3531" s="5" t="s">
        <v>4065</v>
      </c>
      <c r="C3531" s="8">
        <v>1</v>
      </c>
      <c r="D3531" s="5" t="s">
        <v>162</v>
      </c>
      <c r="E3531" s="5"/>
      <c r="G3531" s="5"/>
      <c r="H3531" s="5"/>
    </row>
    <row r="3532" spans="1:8" x14ac:dyDescent="0.2">
      <c r="A3532" s="5" t="s">
        <v>4066</v>
      </c>
      <c r="B3532" s="5" t="s">
        <v>4067</v>
      </c>
      <c r="C3532" s="8">
        <v>1</v>
      </c>
      <c r="D3532" s="5" t="s">
        <v>162</v>
      </c>
      <c r="E3532" s="5"/>
      <c r="G3532" s="5"/>
      <c r="H3532" s="5"/>
    </row>
    <row r="3533" spans="1:8" x14ac:dyDescent="0.2">
      <c r="A3533" s="5"/>
      <c r="B3533" s="5" t="s">
        <v>48</v>
      </c>
      <c r="C3533" s="5"/>
      <c r="D3533" s="5" t="s">
        <v>366</v>
      </c>
      <c r="E3533" s="5"/>
      <c r="G3533" s="5"/>
      <c r="H3533" s="5"/>
    </row>
    <row r="3534" spans="1:8" x14ac:dyDescent="0.2">
      <c r="A3534" s="5" t="s">
        <v>4068</v>
      </c>
      <c r="B3534" s="5" t="s">
        <v>4063</v>
      </c>
      <c r="C3534" s="8">
        <v>1</v>
      </c>
      <c r="D3534" s="5" t="s">
        <v>162</v>
      </c>
      <c r="E3534" s="5"/>
      <c r="G3534" s="5"/>
      <c r="H3534" s="5"/>
    </row>
    <row r="3535" spans="1:8" x14ac:dyDescent="0.2">
      <c r="A3535" s="5" t="s">
        <v>4069</v>
      </c>
      <c r="B3535" s="5" t="s">
        <v>4067</v>
      </c>
      <c r="C3535" s="8">
        <v>1</v>
      </c>
      <c r="D3535" s="5" t="s">
        <v>162</v>
      </c>
      <c r="E3535" s="5"/>
      <c r="G3535" s="5"/>
      <c r="H3535" s="5"/>
    </row>
    <row r="3536" spans="1:8" x14ac:dyDescent="0.2">
      <c r="A3536" s="5"/>
      <c r="B3536" s="5" t="s">
        <v>4070</v>
      </c>
      <c r="C3536" s="5"/>
      <c r="D3536" s="5" t="s">
        <v>322</v>
      </c>
      <c r="E3536" s="5"/>
      <c r="G3536" s="5"/>
      <c r="H3536" s="5"/>
    </row>
    <row r="3537" spans="1:8" x14ac:dyDescent="0.2">
      <c r="A3537" s="5"/>
      <c r="B3537" s="5" t="s">
        <v>41</v>
      </c>
      <c r="C3537" s="5"/>
      <c r="D3537" s="5" t="s">
        <v>366</v>
      </c>
      <c r="E3537" s="5"/>
      <c r="G3537" s="5"/>
      <c r="H3537" s="5"/>
    </row>
    <row r="3538" spans="1:8" x14ac:dyDescent="0.2">
      <c r="A3538" s="5" t="s">
        <v>4071</v>
      </c>
      <c r="B3538" s="5" t="s">
        <v>4072</v>
      </c>
      <c r="C3538" s="8">
        <v>1</v>
      </c>
      <c r="D3538" s="5" t="s">
        <v>162</v>
      </c>
      <c r="E3538" s="5"/>
      <c r="G3538" s="5"/>
      <c r="H3538" s="5"/>
    </row>
    <row r="3539" spans="1:8" x14ac:dyDescent="0.2">
      <c r="A3539" s="5" t="s">
        <v>4073</v>
      </c>
      <c r="B3539" s="5" t="s">
        <v>4074</v>
      </c>
      <c r="C3539" s="8">
        <v>1</v>
      </c>
      <c r="D3539" s="5" t="s">
        <v>162</v>
      </c>
      <c r="E3539" s="5"/>
      <c r="G3539" s="5"/>
      <c r="H3539" s="5"/>
    </row>
    <row r="3540" spans="1:8" x14ac:dyDescent="0.2">
      <c r="A3540" s="5" t="s">
        <v>4075</v>
      </c>
      <c r="B3540" s="5" t="s">
        <v>4076</v>
      </c>
      <c r="C3540" s="8">
        <v>7</v>
      </c>
      <c r="D3540" s="5" t="s">
        <v>162</v>
      </c>
      <c r="E3540" s="5"/>
      <c r="G3540" s="5"/>
      <c r="H3540" s="5"/>
    </row>
    <row r="3541" spans="1:8" x14ac:dyDescent="0.2">
      <c r="A3541" s="5" t="s">
        <v>4077</v>
      </c>
      <c r="B3541" s="5" t="s">
        <v>4078</v>
      </c>
      <c r="C3541" s="8">
        <v>2</v>
      </c>
      <c r="D3541" s="5" t="s">
        <v>162</v>
      </c>
      <c r="E3541" s="5"/>
      <c r="G3541" s="5"/>
      <c r="H3541" s="5"/>
    </row>
    <row r="3542" spans="1:8" x14ac:dyDescent="0.2">
      <c r="A3542" s="5"/>
      <c r="B3542" s="5" t="s">
        <v>44</v>
      </c>
      <c r="C3542" s="5"/>
      <c r="D3542" s="5" t="s">
        <v>366</v>
      </c>
      <c r="E3542" s="5"/>
      <c r="G3542" s="5"/>
      <c r="H3542" s="5"/>
    </row>
    <row r="3543" spans="1:8" x14ac:dyDescent="0.2">
      <c r="A3543" s="5" t="s">
        <v>4079</v>
      </c>
      <c r="B3543" s="5" t="s">
        <v>4074</v>
      </c>
      <c r="C3543" s="8">
        <v>1</v>
      </c>
      <c r="D3543" s="5" t="s">
        <v>162</v>
      </c>
      <c r="E3543" s="5"/>
      <c r="G3543" s="5"/>
      <c r="H3543" s="5"/>
    </row>
    <row r="3544" spans="1:8" x14ac:dyDescent="0.2">
      <c r="A3544" s="5" t="s">
        <v>4080</v>
      </c>
      <c r="B3544" s="5" t="s">
        <v>4076</v>
      </c>
      <c r="C3544" s="8">
        <v>5</v>
      </c>
      <c r="D3544" s="5" t="s">
        <v>162</v>
      </c>
      <c r="E3544" s="5"/>
      <c r="G3544" s="5"/>
      <c r="H3544" s="5"/>
    </row>
    <row r="3545" spans="1:8" x14ac:dyDescent="0.2">
      <c r="A3545" s="5" t="s">
        <v>4081</v>
      </c>
      <c r="B3545" s="5" t="s">
        <v>4078</v>
      </c>
      <c r="C3545" s="8">
        <v>1</v>
      </c>
      <c r="D3545" s="5" t="s">
        <v>162</v>
      </c>
      <c r="E3545" s="5"/>
      <c r="G3545" s="5"/>
      <c r="H3545" s="5"/>
    </row>
    <row r="3546" spans="1:8" x14ac:dyDescent="0.2">
      <c r="A3546" s="5"/>
      <c r="B3546" s="5" t="s">
        <v>46</v>
      </c>
      <c r="C3546" s="5"/>
      <c r="D3546" s="5" t="s">
        <v>366</v>
      </c>
      <c r="E3546" s="5"/>
      <c r="G3546" s="5"/>
      <c r="H3546" s="5"/>
    </row>
    <row r="3547" spans="1:8" x14ac:dyDescent="0.2">
      <c r="A3547" s="5" t="s">
        <v>4082</v>
      </c>
      <c r="B3547" s="5" t="s">
        <v>4074</v>
      </c>
      <c r="C3547" s="8">
        <v>1</v>
      </c>
      <c r="D3547" s="5" t="s">
        <v>162</v>
      </c>
      <c r="E3547" s="5"/>
      <c r="G3547" s="5"/>
      <c r="H3547" s="5"/>
    </row>
    <row r="3548" spans="1:8" x14ac:dyDescent="0.2">
      <c r="A3548" s="5" t="s">
        <v>4083</v>
      </c>
      <c r="B3548" s="5" t="s">
        <v>4076</v>
      </c>
      <c r="C3548" s="8">
        <v>17</v>
      </c>
      <c r="D3548" s="5" t="s">
        <v>162</v>
      </c>
      <c r="E3548" s="5"/>
      <c r="G3548" s="5"/>
      <c r="H3548" s="5"/>
    </row>
    <row r="3549" spans="1:8" x14ac:dyDescent="0.2">
      <c r="A3549" s="5" t="s">
        <v>4084</v>
      </c>
      <c r="B3549" s="5" t="s">
        <v>4078</v>
      </c>
      <c r="C3549" s="8">
        <v>1</v>
      </c>
      <c r="D3549" s="5" t="s">
        <v>162</v>
      </c>
      <c r="E3549" s="5"/>
      <c r="G3549" s="5"/>
      <c r="H3549" s="5"/>
    </row>
    <row r="3550" spans="1:8" x14ac:dyDescent="0.2">
      <c r="A3550" s="5"/>
      <c r="B3550" s="5" t="s">
        <v>48</v>
      </c>
      <c r="C3550" s="5"/>
      <c r="D3550" s="5" t="s">
        <v>366</v>
      </c>
      <c r="E3550" s="5"/>
      <c r="G3550" s="5"/>
      <c r="H3550" s="5"/>
    </row>
    <row r="3551" spans="1:8" x14ac:dyDescent="0.2">
      <c r="A3551" s="5" t="s">
        <v>4085</v>
      </c>
      <c r="B3551" s="5" t="s">
        <v>4076</v>
      </c>
      <c r="C3551" s="8">
        <v>7</v>
      </c>
      <c r="D3551" s="5" t="s">
        <v>162</v>
      </c>
      <c r="E3551" s="5"/>
      <c r="G3551" s="5"/>
      <c r="H3551" s="5"/>
    </row>
    <row r="3552" spans="1:8" x14ac:dyDescent="0.2">
      <c r="A3552" s="5" t="s">
        <v>4086</v>
      </c>
      <c r="B3552" s="5" t="s">
        <v>4078</v>
      </c>
      <c r="C3552" s="8">
        <v>1</v>
      </c>
      <c r="D3552" s="5" t="s">
        <v>162</v>
      </c>
      <c r="E3552" s="5"/>
      <c r="G3552" s="5"/>
      <c r="H3552" s="5"/>
    </row>
    <row r="3553" spans="1:8" x14ac:dyDescent="0.2">
      <c r="A3553" s="5"/>
      <c r="B3553" s="5" t="s">
        <v>4087</v>
      </c>
      <c r="C3553" s="5"/>
      <c r="D3553" s="5" t="s">
        <v>15</v>
      </c>
      <c r="E3553" s="5"/>
      <c r="G3553" s="5"/>
      <c r="H3553" s="5"/>
    </row>
    <row r="3554" spans="1:8" x14ac:dyDescent="0.2">
      <c r="A3554" s="5"/>
      <c r="B3554" s="5" t="s">
        <v>41</v>
      </c>
      <c r="C3554" s="5"/>
      <c r="D3554" s="5" t="s">
        <v>322</v>
      </c>
      <c r="E3554" s="5"/>
      <c r="G3554" s="5"/>
      <c r="H3554" s="5"/>
    </row>
    <row r="3555" spans="1:8" x14ac:dyDescent="0.2">
      <c r="A3555" s="5" t="s">
        <v>4088</v>
      </c>
      <c r="B3555" s="5" t="s">
        <v>4089</v>
      </c>
      <c r="C3555" s="8">
        <v>1</v>
      </c>
      <c r="D3555" s="5" t="s">
        <v>162</v>
      </c>
      <c r="E3555" s="5"/>
      <c r="G3555" s="5"/>
      <c r="H3555" s="5"/>
    </row>
    <row r="3556" spans="1:8" x14ac:dyDescent="0.2">
      <c r="A3556" s="5"/>
      <c r="B3556" s="5" t="s">
        <v>44</v>
      </c>
      <c r="C3556" s="5"/>
      <c r="D3556" s="5" t="s">
        <v>322</v>
      </c>
      <c r="E3556" s="5"/>
      <c r="G3556" s="5"/>
      <c r="H3556" s="5"/>
    </row>
    <row r="3557" spans="1:8" x14ac:dyDescent="0.2">
      <c r="A3557" s="5" t="s">
        <v>4090</v>
      </c>
      <c r="B3557" s="5" t="s">
        <v>4089</v>
      </c>
      <c r="C3557" s="8">
        <v>3</v>
      </c>
      <c r="D3557" s="5" t="s">
        <v>162</v>
      </c>
      <c r="E3557" s="5"/>
      <c r="G3557" s="5"/>
      <c r="H3557" s="5"/>
    </row>
    <row r="3558" spans="1:8" x14ac:dyDescent="0.2">
      <c r="A3558" s="5"/>
      <c r="B3558" s="5" t="s">
        <v>46</v>
      </c>
      <c r="C3558" s="5"/>
      <c r="D3558" s="5" t="s">
        <v>322</v>
      </c>
      <c r="E3558" s="5"/>
      <c r="G3558" s="5"/>
      <c r="H3558" s="5"/>
    </row>
    <row r="3559" spans="1:8" x14ac:dyDescent="0.2">
      <c r="A3559" s="5" t="s">
        <v>4091</v>
      </c>
      <c r="B3559" s="5" t="s">
        <v>4089</v>
      </c>
      <c r="C3559" s="8">
        <v>14</v>
      </c>
      <c r="D3559" s="5" t="s">
        <v>162</v>
      </c>
      <c r="E3559" s="5"/>
      <c r="G3559" s="5"/>
      <c r="H3559" s="5"/>
    </row>
    <row r="3560" spans="1:8" x14ac:dyDescent="0.2">
      <c r="A3560" s="5" t="s">
        <v>4092</v>
      </c>
      <c r="B3560" s="5" t="s">
        <v>4093</v>
      </c>
      <c r="C3560" s="8">
        <v>1</v>
      </c>
      <c r="D3560" s="5" t="s">
        <v>162</v>
      </c>
      <c r="E3560" s="5"/>
      <c r="G3560" s="5"/>
      <c r="H3560" s="5"/>
    </row>
    <row r="3561" spans="1:8" x14ac:dyDescent="0.2">
      <c r="A3561" s="5"/>
      <c r="B3561" s="5" t="s">
        <v>48</v>
      </c>
      <c r="C3561" s="5"/>
      <c r="D3561" s="5" t="s">
        <v>322</v>
      </c>
      <c r="E3561" s="5"/>
      <c r="G3561" s="5"/>
      <c r="H3561" s="5"/>
    </row>
    <row r="3562" spans="1:8" x14ac:dyDescent="0.2">
      <c r="A3562" s="5" t="s">
        <v>4094</v>
      </c>
      <c r="B3562" s="5" t="s">
        <v>4089</v>
      </c>
      <c r="C3562" s="8">
        <v>5</v>
      </c>
      <c r="D3562" s="5" t="s">
        <v>162</v>
      </c>
      <c r="E3562" s="5"/>
      <c r="G3562" s="5"/>
      <c r="H3562" s="5"/>
    </row>
    <row r="3563" spans="1:8" x14ac:dyDescent="0.2">
      <c r="A3563" s="5"/>
      <c r="B3563" s="5" t="s">
        <v>2874</v>
      </c>
      <c r="C3563" s="5"/>
      <c r="D3563" s="5" t="s">
        <v>15</v>
      </c>
      <c r="E3563" s="5"/>
      <c r="G3563" s="5"/>
      <c r="H3563" s="5"/>
    </row>
    <row r="3564" spans="1:8" x14ac:dyDescent="0.2">
      <c r="A3564" s="5"/>
      <c r="B3564" s="5" t="s">
        <v>44</v>
      </c>
      <c r="C3564" s="5"/>
      <c r="D3564" s="5" t="s">
        <v>322</v>
      </c>
      <c r="E3564" s="5"/>
      <c r="G3564" s="5"/>
      <c r="H3564" s="5"/>
    </row>
    <row r="3565" spans="1:8" x14ac:dyDescent="0.2">
      <c r="A3565" s="5" t="s">
        <v>4095</v>
      </c>
      <c r="B3565" s="5" t="s">
        <v>4096</v>
      </c>
      <c r="C3565" s="8">
        <v>9</v>
      </c>
      <c r="D3565" s="5" t="s">
        <v>155</v>
      </c>
      <c r="E3565" s="5"/>
      <c r="G3565" s="5"/>
      <c r="H3565" s="5"/>
    </row>
    <row r="3566" spans="1:8" x14ac:dyDescent="0.2">
      <c r="A3566" s="5" t="s">
        <v>4097</v>
      </c>
      <c r="B3566" s="5" t="s">
        <v>4098</v>
      </c>
      <c r="C3566" s="8">
        <v>13</v>
      </c>
      <c r="D3566" s="5" t="s">
        <v>155</v>
      </c>
      <c r="E3566" s="5"/>
      <c r="G3566" s="5"/>
      <c r="H3566" s="5"/>
    </row>
    <row r="3567" spans="1:8" x14ac:dyDescent="0.2">
      <c r="A3567" s="5"/>
      <c r="B3567" s="5" t="s">
        <v>46</v>
      </c>
      <c r="C3567" s="5"/>
      <c r="D3567" s="5" t="s">
        <v>322</v>
      </c>
      <c r="E3567" s="5"/>
      <c r="G3567" s="5"/>
      <c r="H3567" s="5"/>
    </row>
    <row r="3568" spans="1:8" x14ac:dyDescent="0.2">
      <c r="A3568" s="5" t="s">
        <v>4099</v>
      </c>
      <c r="B3568" s="5" t="s">
        <v>4100</v>
      </c>
      <c r="C3568" s="8">
        <v>2</v>
      </c>
      <c r="D3568" s="5" t="s">
        <v>155</v>
      </c>
      <c r="E3568" s="5"/>
      <c r="G3568" s="5"/>
      <c r="H3568" s="5"/>
    </row>
    <row r="3569" spans="1:8" x14ac:dyDescent="0.2">
      <c r="A3569" s="5" t="s">
        <v>4101</v>
      </c>
      <c r="B3569" s="5" t="s">
        <v>4096</v>
      </c>
      <c r="C3569" s="8">
        <v>18</v>
      </c>
      <c r="D3569" s="5" t="s">
        <v>155</v>
      </c>
      <c r="E3569" s="5"/>
      <c r="G3569" s="5"/>
      <c r="H3569" s="5"/>
    </row>
    <row r="3570" spans="1:8" x14ac:dyDescent="0.2">
      <c r="A3570" s="5" t="s">
        <v>4102</v>
      </c>
      <c r="B3570" s="5" t="s">
        <v>4103</v>
      </c>
      <c r="C3570" s="8">
        <v>3</v>
      </c>
      <c r="D3570" s="5" t="s">
        <v>155</v>
      </c>
      <c r="E3570" s="5"/>
      <c r="G3570" s="5"/>
      <c r="H3570" s="5"/>
    </row>
    <row r="3571" spans="1:8" x14ac:dyDescent="0.2">
      <c r="A3571" s="5"/>
      <c r="B3571" s="5" t="s">
        <v>48</v>
      </c>
      <c r="C3571" s="5"/>
      <c r="D3571" s="5" t="s">
        <v>322</v>
      </c>
      <c r="E3571" s="5"/>
      <c r="G3571" s="5"/>
      <c r="H3571" s="5"/>
    </row>
    <row r="3572" spans="1:8" x14ac:dyDescent="0.2">
      <c r="A3572" s="5" t="s">
        <v>4104</v>
      </c>
      <c r="B3572" s="5" t="s">
        <v>4105</v>
      </c>
      <c r="C3572" s="8">
        <v>2</v>
      </c>
      <c r="D3572" s="5" t="s">
        <v>155</v>
      </c>
      <c r="E3572" s="5"/>
      <c r="G3572" s="5"/>
      <c r="H3572" s="5"/>
    </row>
    <row r="3573" spans="1:8" x14ac:dyDescent="0.2">
      <c r="A3573" s="5"/>
      <c r="B3573" s="5" t="s">
        <v>2878</v>
      </c>
      <c r="C3573" s="5"/>
      <c r="D3573" s="5" t="s">
        <v>15</v>
      </c>
      <c r="E3573" s="5"/>
      <c r="G3573" s="5"/>
      <c r="H3573" s="5"/>
    </row>
    <row r="3574" spans="1:8" x14ac:dyDescent="0.2">
      <c r="A3574" s="5"/>
      <c r="B3574" s="5" t="s">
        <v>4106</v>
      </c>
      <c r="C3574" s="5"/>
      <c r="D3574" s="5" t="s">
        <v>322</v>
      </c>
      <c r="E3574" s="5"/>
      <c r="G3574" s="5"/>
      <c r="H3574" s="5"/>
    </row>
    <row r="3575" spans="1:8" x14ac:dyDescent="0.2">
      <c r="A3575" s="5"/>
      <c r="B3575" s="5" t="s">
        <v>41</v>
      </c>
      <c r="C3575" s="5"/>
      <c r="D3575" s="5" t="s">
        <v>366</v>
      </c>
      <c r="E3575" s="5"/>
      <c r="G3575" s="5"/>
      <c r="H3575" s="5"/>
    </row>
    <row r="3576" spans="1:8" x14ac:dyDescent="0.2">
      <c r="A3576" s="5" t="s">
        <v>4107</v>
      </c>
      <c r="B3576" s="5" t="s">
        <v>4108</v>
      </c>
      <c r="C3576" s="8">
        <v>7</v>
      </c>
      <c r="D3576" s="5" t="s">
        <v>162</v>
      </c>
      <c r="E3576" s="5"/>
      <c r="G3576" s="5"/>
      <c r="H3576" s="5"/>
    </row>
    <row r="3577" spans="1:8" x14ac:dyDescent="0.2">
      <c r="A3577" s="5" t="s">
        <v>4109</v>
      </c>
      <c r="B3577" s="5" t="s">
        <v>4110</v>
      </c>
      <c r="C3577" s="8">
        <v>2</v>
      </c>
      <c r="D3577" s="5" t="s">
        <v>162</v>
      </c>
      <c r="E3577" s="5"/>
      <c r="G3577" s="5"/>
      <c r="H3577" s="5"/>
    </row>
    <row r="3578" spans="1:8" x14ac:dyDescent="0.2">
      <c r="A3578" s="5"/>
      <c r="B3578" s="5" t="s">
        <v>44</v>
      </c>
      <c r="C3578" s="5"/>
      <c r="D3578" s="5" t="s">
        <v>366</v>
      </c>
      <c r="E3578" s="5"/>
      <c r="G3578" s="5"/>
      <c r="H3578" s="5"/>
    </row>
    <row r="3579" spans="1:8" x14ac:dyDescent="0.2">
      <c r="A3579" s="5" t="s">
        <v>4111</v>
      </c>
      <c r="B3579" s="5" t="s">
        <v>4108</v>
      </c>
      <c r="C3579" s="8">
        <v>5</v>
      </c>
      <c r="D3579" s="5" t="s">
        <v>162</v>
      </c>
      <c r="E3579" s="5"/>
      <c r="G3579" s="5"/>
      <c r="H3579" s="5"/>
    </row>
    <row r="3580" spans="1:8" x14ac:dyDescent="0.2">
      <c r="A3580" s="5" t="s">
        <v>4112</v>
      </c>
      <c r="B3580" s="5" t="s">
        <v>4110</v>
      </c>
      <c r="C3580" s="8">
        <v>1</v>
      </c>
      <c r="D3580" s="5" t="s">
        <v>162</v>
      </c>
      <c r="E3580" s="5"/>
      <c r="G3580" s="5"/>
      <c r="H3580" s="5"/>
    </row>
    <row r="3581" spans="1:8" x14ac:dyDescent="0.2">
      <c r="A3581" s="5"/>
      <c r="B3581" s="5" t="s">
        <v>46</v>
      </c>
      <c r="C3581" s="5"/>
      <c r="D3581" s="5" t="s">
        <v>366</v>
      </c>
      <c r="E3581" s="5"/>
      <c r="G3581" s="5"/>
      <c r="H3581" s="5"/>
    </row>
    <row r="3582" spans="1:8" x14ac:dyDescent="0.2">
      <c r="A3582" s="5" t="s">
        <v>4113</v>
      </c>
      <c r="B3582" s="5" t="s">
        <v>4108</v>
      </c>
      <c r="C3582" s="8">
        <v>17</v>
      </c>
      <c r="D3582" s="5" t="s">
        <v>162</v>
      </c>
      <c r="E3582" s="5"/>
      <c r="G3582" s="5"/>
      <c r="H3582" s="5"/>
    </row>
    <row r="3583" spans="1:8" x14ac:dyDescent="0.2">
      <c r="A3583" s="5" t="s">
        <v>4114</v>
      </c>
      <c r="B3583" s="5" t="s">
        <v>4110</v>
      </c>
      <c r="C3583" s="8">
        <v>1</v>
      </c>
      <c r="D3583" s="5" t="s">
        <v>162</v>
      </c>
      <c r="E3583" s="5"/>
      <c r="G3583" s="5"/>
      <c r="H3583" s="5"/>
    </row>
    <row r="3584" spans="1:8" x14ac:dyDescent="0.2">
      <c r="A3584" s="5"/>
      <c r="B3584" s="5" t="s">
        <v>48</v>
      </c>
      <c r="C3584" s="5"/>
      <c r="D3584" s="5" t="s">
        <v>366</v>
      </c>
      <c r="E3584" s="5"/>
      <c r="G3584" s="5"/>
      <c r="H3584" s="5"/>
    </row>
    <row r="3585" spans="1:8" x14ac:dyDescent="0.2">
      <c r="A3585" s="5" t="s">
        <v>4115</v>
      </c>
      <c r="B3585" s="5" t="s">
        <v>4108</v>
      </c>
      <c r="C3585" s="8">
        <v>7</v>
      </c>
      <c r="D3585" s="5" t="s">
        <v>162</v>
      </c>
      <c r="E3585" s="5"/>
      <c r="G3585" s="5"/>
      <c r="H3585" s="5"/>
    </row>
    <row r="3586" spans="1:8" x14ac:dyDescent="0.2">
      <c r="A3586" s="5" t="s">
        <v>4116</v>
      </c>
      <c r="B3586" s="5" t="s">
        <v>4110</v>
      </c>
      <c r="C3586" s="8">
        <v>1</v>
      </c>
      <c r="D3586" s="5" t="s">
        <v>162</v>
      </c>
      <c r="E3586" s="5"/>
      <c r="G3586" s="5"/>
      <c r="H3586" s="5"/>
    </row>
    <row r="3587" spans="1:8" x14ac:dyDescent="0.2">
      <c r="A3587" s="5"/>
      <c r="B3587" s="5" t="s">
        <v>4117</v>
      </c>
      <c r="C3587" s="5"/>
      <c r="D3587" s="5" t="s">
        <v>15</v>
      </c>
      <c r="E3587" s="5"/>
      <c r="G3587" s="5"/>
      <c r="H3587" s="5"/>
    </row>
    <row r="3588" spans="1:8" x14ac:dyDescent="0.2">
      <c r="A3588" s="5"/>
      <c r="B3588" s="5" t="s">
        <v>44</v>
      </c>
      <c r="C3588" s="5"/>
      <c r="D3588" s="5" t="s">
        <v>322</v>
      </c>
      <c r="E3588" s="5"/>
      <c r="G3588" s="5"/>
      <c r="H3588" s="5"/>
    </row>
    <row r="3589" spans="1:8" x14ac:dyDescent="0.2">
      <c r="A3589" s="5"/>
      <c r="B3589" s="5" t="s">
        <v>2763</v>
      </c>
      <c r="C3589" s="5"/>
      <c r="D3589" s="5" t="s">
        <v>366</v>
      </c>
      <c r="E3589" s="5"/>
      <c r="G3589" s="5"/>
      <c r="H3589" s="5"/>
    </row>
    <row r="3590" spans="1:8" x14ac:dyDescent="0.2">
      <c r="A3590" s="5" t="s">
        <v>4118</v>
      </c>
      <c r="B3590" s="5" t="s">
        <v>4119</v>
      </c>
      <c r="C3590" s="8">
        <v>1</v>
      </c>
      <c r="D3590" s="5" t="s">
        <v>162</v>
      </c>
      <c r="E3590" s="5"/>
      <c r="G3590" s="5"/>
      <c r="H3590" s="5"/>
    </row>
    <row r="3591" spans="1:8" x14ac:dyDescent="0.2">
      <c r="A3591" s="5" t="s">
        <v>4120</v>
      </c>
      <c r="B3591" s="5" t="s">
        <v>4121</v>
      </c>
      <c r="C3591" s="8">
        <v>1</v>
      </c>
      <c r="D3591" s="5" t="s">
        <v>162</v>
      </c>
      <c r="E3591" s="5"/>
      <c r="G3591" s="5"/>
      <c r="H3591" s="5"/>
    </row>
    <row r="3592" spans="1:8" x14ac:dyDescent="0.2">
      <c r="A3592" s="5" t="s">
        <v>4122</v>
      </c>
      <c r="B3592" s="5" t="s">
        <v>4123</v>
      </c>
      <c r="C3592" s="8">
        <v>3</v>
      </c>
      <c r="D3592" s="5" t="s">
        <v>162</v>
      </c>
      <c r="E3592" s="5"/>
      <c r="G3592" s="5"/>
      <c r="H3592" s="5"/>
    </row>
    <row r="3593" spans="1:8" x14ac:dyDescent="0.2">
      <c r="A3593" s="5" t="s">
        <v>4124</v>
      </c>
      <c r="B3593" s="5" t="s">
        <v>4125</v>
      </c>
      <c r="C3593" s="8">
        <v>1</v>
      </c>
      <c r="D3593" s="5" t="s">
        <v>162</v>
      </c>
      <c r="E3593" s="5"/>
      <c r="G3593" s="5"/>
      <c r="H3593" s="5"/>
    </row>
    <row r="3594" spans="1:8" x14ac:dyDescent="0.2">
      <c r="A3594" s="5"/>
      <c r="B3594" s="5" t="s">
        <v>2766</v>
      </c>
      <c r="C3594" s="5"/>
      <c r="D3594" s="5" t="s">
        <v>366</v>
      </c>
      <c r="E3594" s="5"/>
      <c r="G3594" s="5"/>
      <c r="H3594" s="5"/>
    </row>
    <row r="3595" spans="1:8" x14ac:dyDescent="0.2">
      <c r="A3595" s="5" t="s">
        <v>4126</v>
      </c>
      <c r="B3595" s="5" t="s">
        <v>4127</v>
      </c>
      <c r="C3595" s="8">
        <v>2</v>
      </c>
      <c r="D3595" s="5" t="s">
        <v>162</v>
      </c>
      <c r="E3595" s="5"/>
      <c r="G3595" s="5"/>
      <c r="H3595" s="5"/>
    </row>
    <row r="3596" spans="1:8" x14ac:dyDescent="0.2">
      <c r="A3596" s="5" t="s">
        <v>4128</v>
      </c>
      <c r="B3596" s="5" t="s">
        <v>4129</v>
      </c>
      <c r="C3596" s="8">
        <v>1</v>
      </c>
      <c r="D3596" s="5" t="s">
        <v>162</v>
      </c>
      <c r="E3596" s="5"/>
      <c r="G3596" s="5"/>
      <c r="H3596" s="5"/>
    </row>
    <row r="3597" spans="1:8" x14ac:dyDescent="0.2">
      <c r="A3597" s="5" t="s">
        <v>4130</v>
      </c>
      <c r="B3597" s="5" t="s">
        <v>4131</v>
      </c>
      <c r="C3597" s="8">
        <v>1</v>
      </c>
      <c r="D3597" s="5" t="s">
        <v>162</v>
      </c>
      <c r="E3597" s="5"/>
      <c r="G3597" s="5"/>
      <c r="H3597" s="5"/>
    </row>
    <row r="3598" spans="1:8" x14ac:dyDescent="0.2">
      <c r="A3598" s="5" t="s">
        <v>4132</v>
      </c>
      <c r="B3598" s="5" t="s">
        <v>4133</v>
      </c>
      <c r="C3598" s="8">
        <v>1</v>
      </c>
      <c r="D3598" s="5" t="s">
        <v>162</v>
      </c>
      <c r="E3598" s="5"/>
      <c r="G3598" s="5"/>
      <c r="H3598" s="5"/>
    </row>
    <row r="3599" spans="1:8" x14ac:dyDescent="0.2">
      <c r="A3599" s="5"/>
      <c r="B3599" s="5" t="s">
        <v>46</v>
      </c>
      <c r="C3599" s="5"/>
      <c r="D3599" s="5" t="s">
        <v>322</v>
      </c>
      <c r="E3599" s="5"/>
      <c r="G3599" s="5"/>
      <c r="H3599" s="5"/>
    </row>
    <row r="3600" spans="1:8" x14ac:dyDescent="0.2">
      <c r="A3600" s="5"/>
      <c r="B3600" s="5" t="s">
        <v>2763</v>
      </c>
      <c r="C3600" s="5"/>
      <c r="D3600" s="5" t="s">
        <v>366</v>
      </c>
      <c r="E3600" s="5"/>
      <c r="G3600" s="5"/>
      <c r="H3600" s="5"/>
    </row>
    <row r="3601" spans="1:8" x14ac:dyDescent="0.2">
      <c r="A3601" s="5" t="s">
        <v>4134</v>
      </c>
      <c r="B3601" s="5" t="s">
        <v>4119</v>
      </c>
      <c r="C3601" s="8">
        <v>1</v>
      </c>
      <c r="D3601" s="5" t="s">
        <v>162</v>
      </c>
      <c r="E3601" s="5"/>
      <c r="G3601" s="5"/>
      <c r="H3601" s="5"/>
    </row>
    <row r="3602" spans="1:8" x14ac:dyDescent="0.2">
      <c r="A3602" s="5" t="s">
        <v>4135</v>
      </c>
      <c r="B3602" s="5" t="s">
        <v>4121</v>
      </c>
      <c r="C3602" s="8">
        <v>3</v>
      </c>
      <c r="D3602" s="5" t="s">
        <v>162</v>
      </c>
      <c r="E3602" s="5"/>
      <c r="G3602" s="5"/>
      <c r="H3602" s="5"/>
    </row>
    <row r="3603" spans="1:8" x14ac:dyDescent="0.2">
      <c r="A3603" s="5" t="s">
        <v>4136</v>
      </c>
      <c r="B3603" s="5" t="s">
        <v>4123</v>
      </c>
      <c r="C3603" s="8">
        <v>2</v>
      </c>
      <c r="D3603" s="5" t="s">
        <v>162</v>
      </c>
      <c r="E3603" s="5"/>
      <c r="G3603" s="5"/>
      <c r="H3603" s="5"/>
    </row>
    <row r="3604" spans="1:8" x14ac:dyDescent="0.2">
      <c r="A3604" s="5" t="s">
        <v>4137</v>
      </c>
      <c r="B3604" s="5" t="s">
        <v>4125</v>
      </c>
      <c r="C3604" s="8">
        <v>2</v>
      </c>
      <c r="D3604" s="5" t="s">
        <v>162</v>
      </c>
      <c r="E3604" s="5"/>
      <c r="G3604" s="5"/>
      <c r="H3604" s="5"/>
    </row>
    <row r="3605" spans="1:8" x14ac:dyDescent="0.2">
      <c r="A3605" s="5" t="s">
        <v>4138</v>
      </c>
      <c r="B3605" s="5" t="s">
        <v>4139</v>
      </c>
      <c r="C3605" s="8">
        <v>1</v>
      </c>
      <c r="D3605" s="5" t="s">
        <v>162</v>
      </c>
      <c r="E3605" s="5"/>
      <c r="G3605" s="5"/>
      <c r="H3605" s="5"/>
    </row>
    <row r="3606" spans="1:8" x14ac:dyDescent="0.2">
      <c r="A3606" s="5"/>
      <c r="B3606" s="5" t="s">
        <v>2766</v>
      </c>
      <c r="C3606" s="5"/>
      <c r="D3606" s="5" t="s">
        <v>366</v>
      </c>
      <c r="E3606" s="5"/>
      <c r="G3606" s="5"/>
      <c r="H3606" s="5"/>
    </row>
    <row r="3607" spans="1:8" x14ac:dyDescent="0.2">
      <c r="A3607" s="5" t="s">
        <v>4140</v>
      </c>
      <c r="B3607" s="5" t="s">
        <v>4127</v>
      </c>
      <c r="C3607" s="8">
        <v>4</v>
      </c>
      <c r="D3607" s="5" t="s">
        <v>162</v>
      </c>
      <c r="E3607" s="5"/>
      <c r="G3607" s="5"/>
      <c r="H3607" s="5"/>
    </row>
    <row r="3608" spans="1:8" x14ac:dyDescent="0.2">
      <c r="A3608" s="5" t="s">
        <v>4141</v>
      </c>
      <c r="B3608" s="5" t="s">
        <v>4129</v>
      </c>
      <c r="C3608" s="8">
        <v>1</v>
      </c>
      <c r="D3608" s="5" t="s">
        <v>162</v>
      </c>
      <c r="E3608" s="5"/>
      <c r="G3608" s="5"/>
      <c r="H3608" s="5"/>
    </row>
    <row r="3609" spans="1:8" x14ac:dyDescent="0.2">
      <c r="A3609" s="5" t="s">
        <v>4142</v>
      </c>
      <c r="B3609" s="5" t="s">
        <v>4143</v>
      </c>
      <c r="C3609" s="8">
        <v>1</v>
      </c>
      <c r="D3609" s="5" t="s">
        <v>162</v>
      </c>
      <c r="E3609" s="5"/>
      <c r="G3609" s="5"/>
      <c r="H3609" s="5"/>
    </row>
    <row r="3610" spans="1:8" x14ac:dyDescent="0.2">
      <c r="A3610" s="5"/>
      <c r="B3610" s="5" t="s">
        <v>48</v>
      </c>
      <c r="C3610" s="5"/>
      <c r="D3610" s="5" t="s">
        <v>322</v>
      </c>
      <c r="E3610" s="5"/>
      <c r="G3610" s="5"/>
      <c r="H3610" s="5"/>
    </row>
    <row r="3611" spans="1:8" x14ac:dyDescent="0.2">
      <c r="A3611" s="5"/>
      <c r="B3611" s="5" t="s">
        <v>4144</v>
      </c>
      <c r="C3611" s="5"/>
      <c r="D3611" s="5" t="s">
        <v>366</v>
      </c>
      <c r="E3611" s="5"/>
      <c r="G3611" s="5"/>
      <c r="H3611" s="5"/>
    </row>
    <row r="3612" spans="1:8" x14ac:dyDescent="0.2">
      <c r="A3612" s="5" t="s">
        <v>4145</v>
      </c>
      <c r="B3612" s="5" t="s">
        <v>4146</v>
      </c>
      <c r="C3612" s="8">
        <v>1</v>
      </c>
      <c r="D3612" s="5" t="s">
        <v>162</v>
      </c>
      <c r="E3612" s="5"/>
      <c r="G3612" s="5"/>
      <c r="H3612" s="5"/>
    </row>
    <row r="3613" spans="1:8" x14ac:dyDescent="0.2">
      <c r="A3613" s="5"/>
      <c r="B3613" s="5" t="s">
        <v>4147</v>
      </c>
      <c r="C3613" s="5"/>
      <c r="D3613" s="5" t="s">
        <v>15</v>
      </c>
      <c r="E3613" s="5"/>
      <c r="G3613" s="5"/>
      <c r="H3613" s="5"/>
    </row>
    <row r="3614" spans="1:8" x14ac:dyDescent="0.2">
      <c r="A3614" s="5"/>
      <c r="B3614" s="5" t="s">
        <v>44</v>
      </c>
      <c r="C3614" s="5"/>
      <c r="D3614" s="5" t="s">
        <v>322</v>
      </c>
      <c r="E3614" s="5"/>
      <c r="G3614" s="5"/>
      <c r="H3614" s="5"/>
    </row>
    <row r="3615" spans="1:8" x14ac:dyDescent="0.2">
      <c r="A3615" s="5" t="s">
        <v>4148</v>
      </c>
      <c r="B3615" s="5" t="s">
        <v>2876</v>
      </c>
      <c r="C3615" s="8">
        <v>13</v>
      </c>
      <c r="D3615" s="5" t="s">
        <v>155</v>
      </c>
      <c r="E3615" s="5"/>
      <c r="G3615" s="5"/>
      <c r="H3615" s="5"/>
    </row>
    <row r="3616" spans="1:8" x14ac:dyDescent="0.2">
      <c r="A3616" s="5" t="s">
        <v>4149</v>
      </c>
      <c r="B3616" s="5" t="s">
        <v>4150</v>
      </c>
      <c r="C3616" s="8">
        <v>55</v>
      </c>
      <c r="D3616" s="5" t="s">
        <v>42</v>
      </c>
      <c r="E3616" s="5"/>
      <c r="G3616" s="5"/>
      <c r="H3616" s="5"/>
    </row>
    <row r="3617" spans="1:8" x14ac:dyDescent="0.2">
      <c r="A3617" s="5"/>
      <c r="B3617" s="5" t="s">
        <v>46</v>
      </c>
      <c r="C3617" s="5"/>
      <c r="D3617" s="5" t="s">
        <v>322</v>
      </c>
      <c r="E3617" s="5"/>
      <c r="G3617" s="5"/>
      <c r="H3617" s="5"/>
    </row>
    <row r="3618" spans="1:8" x14ac:dyDescent="0.2">
      <c r="A3618" s="5" t="s">
        <v>4151</v>
      </c>
      <c r="B3618" s="5" t="s">
        <v>2876</v>
      </c>
      <c r="C3618" s="8">
        <v>14</v>
      </c>
      <c r="D3618" s="5" t="s">
        <v>155</v>
      </c>
      <c r="E3618" s="5"/>
      <c r="G3618" s="5"/>
      <c r="H3618" s="5"/>
    </row>
    <row r="3619" spans="1:8" x14ac:dyDescent="0.2">
      <c r="A3619" s="5" t="s">
        <v>4152</v>
      </c>
      <c r="B3619" s="5" t="s">
        <v>4150</v>
      </c>
      <c r="C3619" s="8">
        <v>43</v>
      </c>
      <c r="D3619" s="5" t="s">
        <v>42</v>
      </c>
      <c r="E3619" s="5"/>
      <c r="G3619" s="5"/>
      <c r="H3619" s="5"/>
    </row>
    <row r="3620" spans="1:8" x14ac:dyDescent="0.2">
      <c r="A3620" s="5"/>
      <c r="B3620" s="5" t="s">
        <v>48</v>
      </c>
      <c r="C3620" s="5"/>
      <c r="D3620" s="5" t="s">
        <v>322</v>
      </c>
      <c r="E3620" s="5"/>
      <c r="G3620" s="5"/>
      <c r="H3620" s="5"/>
    </row>
    <row r="3621" spans="1:8" x14ac:dyDescent="0.2">
      <c r="A3621" s="5" t="s">
        <v>4153</v>
      </c>
      <c r="B3621" s="5" t="s">
        <v>2876</v>
      </c>
      <c r="C3621" s="8">
        <v>4</v>
      </c>
      <c r="D3621" s="5" t="s">
        <v>155</v>
      </c>
      <c r="E3621" s="5"/>
      <c r="G3621" s="5"/>
      <c r="H3621" s="5"/>
    </row>
    <row r="3622" spans="1:8" x14ac:dyDescent="0.2">
      <c r="A3622" s="5"/>
      <c r="B3622" s="5" t="s">
        <v>53</v>
      </c>
      <c r="C3622" s="5"/>
      <c r="D3622" s="5" t="s">
        <v>13</v>
      </c>
      <c r="E3622" s="5"/>
      <c r="G3622" s="5"/>
      <c r="H3622" s="5"/>
    </row>
    <row r="3623" spans="1:8" x14ac:dyDescent="0.2">
      <c r="A3623" s="5"/>
      <c r="B3623" s="5" t="s">
        <v>3985</v>
      </c>
      <c r="C3623" s="5"/>
      <c r="D3623" s="5" t="s">
        <v>15</v>
      </c>
      <c r="E3623" s="5"/>
      <c r="G3623" s="5"/>
      <c r="H3623" s="5"/>
    </row>
    <row r="3624" spans="1:8" x14ac:dyDescent="0.2">
      <c r="A3624" s="5"/>
      <c r="B3624" s="5" t="s">
        <v>41</v>
      </c>
      <c r="C3624" s="5"/>
      <c r="D3624" s="5" t="s">
        <v>322</v>
      </c>
      <c r="E3624" s="5"/>
      <c r="G3624" s="5"/>
      <c r="H3624" s="5"/>
    </row>
    <row r="3625" spans="1:8" x14ac:dyDescent="0.2">
      <c r="A3625" s="5"/>
      <c r="B3625" s="5" t="s">
        <v>3986</v>
      </c>
      <c r="C3625" s="5"/>
      <c r="D3625" s="5" t="s">
        <v>366</v>
      </c>
      <c r="E3625" s="5"/>
      <c r="G3625" s="5"/>
      <c r="H3625" s="5"/>
    </row>
    <row r="3626" spans="1:8" x14ac:dyDescent="0.2">
      <c r="A3626" s="5" t="s">
        <v>4154</v>
      </c>
      <c r="B3626" s="5" t="s">
        <v>4155</v>
      </c>
      <c r="C3626" s="8">
        <v>1</v>
      </c>
      <c r="D3626" s="5" t="s">
        <v>162</v>
      </c>
      <c r="E3626" s="5"/>
      <c r="G3626" s="5"/>
      <c r="H3626" s="5"/>
    </row>
    <row r="3627" spans="1:8" x14ac:dyDescent="0.2">
      <c r="A3627" s="5"/>
      <c r="B3627" s="5" t="s">
        <v>3989</v>
      </c>
      <c r="C3627" s="5"/>
      <c r="D3627" s="5" t="s">
        <v>366</v>
      </c>
      <c r="E3627" s="5"/>
      <c r="G3627" s="5"/>
      <c r="H3627" s="5"/>
    </row>
    <row r="3628" spans="1:8" x14ac:dyDescent="0.2">
      <c r="A3628" s="5" t="s">
        <v>4156</v>
      </c>
      <c r="B3628" s="5" t="s">
        <v>3993</v>
      </c>
      <c r="C3628" s="8">
        <v>1</v>
      </c>
      <c r="D3628" s="5" t="s">
        <v>162</v>
      </c>
      <c r="E3628" s="5"/>
      <c r="G3628" s="5"/>
      <c r="H3628" s="5"/>
    </row>
    <row r="3629" spans="1:8" x14ac:dyDescent="0.2">
      <c r="A3629" s="5"/>
      <c r="B3629" s="5" t="s">
        <v>48</v>
      </c>
      <c r="C3629" s="5"/>
      <c r="D3629" s="5" t="s">
        <v>322</v>
      </c>
      <c r="E3629" s="5"/>
      <c r="G3629" s="5"/>
      <c r="H3629" s="5"/>
    </row>
    <row r="3630" spans="1:8" x14ac:dyDescent="0.2">
      <c r="A3630" s="5"/>
      <c r="B3630" s="5" t="s">
        <v>3989</v>
      </c>
      <c r="C3630" s="5"/>
      <c r="D3630" s="5" t="s">
        <v>366</v>
      </c>
      <c r="E3630" s="5"/>
      <c r="G3630" s="5"/>
      <c r="H3630" s="5"/>
    </row>
    <row r="3631" spans="1:8" x14ac:dyDescent="0.2">
      <c r="A3631" s="5" t="s">
        <v>4157</v>
      </c>
      <c r="B3631" s="5" t="s">
        <v>3996</v>
      </c>
      <c r="C3631" s="8">
        <v>2</v>
      </c>
      <c r="D3631" s="5" t="s">
        <v>162</v>
      </c>
      <c r="E3631" s="5"/>
      <c r="G3631" s="5"/>
      <c r="H3631" s="5"/>
    </row>
    <row r="3632" spans="1:8" x14ac:dyDescent="0.2">
      <c r="A3632" s="5"/>
      <c r="B3632" s="5" t="s">
        <v>3997</v>
      </c>
      <c r="C3632" s="5"/>
      <c r="D3632" s="5" t="s">
        <v>15</v>
      </c>
      <c r="E3632" s="5"/>
      <c r="G3632" s="5"/>
      <c r="H3632" s="5"/>
    </row>
    <row r="3633" spans="1:8" x14ac:dyDescent="0.2">
      <c r="A3633" s="5"/>
      <c r="B3633" s="5" t="s">
        <v>41</v>
      </c>
      <c r="C3633" s="5"/>
      <c r="D3633" s="5" t="s">
        <v>322</v>
      </c>
      <c r="E3633" s="5"/>
      <c r="G3633" s="5"/>
      <c r="H3633" s="5"/>
    </row>
    <row r="3634" spans="1:8" x14ac:dyDescent="0.2">
      <c r="A3634" s="5"/>
      <c r="B3634" s="5" t="s">
        <v>2859</v>
      </c>
      <c r="C3634" s="5"/>
      <c r="D3634" s="5" t="s">
        <v>366</v>
      </c>
      <c r="E3634" s="5"/>
      <c r="G3634" s="5"/>
      <c r="H3634" s="5"/>
    </row>
    <row r="3635" spans="1:8" x14ac:dyDescent="0.2">
      <c r="A3635" s="5" t="s">
        <v>4158</v>
      </c>
      <c r="B3635" s="5" t="s">
        <v>4159</v>
      </c>
      <c r="C3635" s="8">
        <v>1</v>
      </c>
      <c r="D3635" s="5" t="s">
        <v>162</v>
      </c>
      <c r="E3635" s="5"/>
      <c r="G3635" s="5"/>
      <c r="H3635" s="5"/>
    </row>
    <row r="3636" spans="1:8" x14ac:dyDescent="0.2">
      <c r="A3636" s="5"/>
      <c r="B3636" s="5" t="s">
        <v>3989</v>
      </c>
      <c r="C3636" s="5"/>
      <c r="D3636" s="5" t="s">
        <v>366</v>
      </c>
      <c r="E3636" s="5"/>
      <c r="G3636" s="5"/>
      <c r="H3636" s="5"/>
    </row>
    <row r="3637" spans="1:8" x14ac:dyDescent="0.2">
      <c r="A3637" s="5" t="s">
        <v>4160</v>
      </c>
      <c r="B3637" s="5" t="s">
        <v>4027</v>
      </c>
      <c r="C3637" s="8">
        <v>2</v>
      </c>
      <c r="D3637" s="5" t="s">
        <v>162</v>
      </c>
      <c r="E3637" s="5"/>
      <c r="G3637" s="5"/>
      <c r="H3637" s="5"/>
    </row>
    <row r="3638" spans="1:8" x14ac:dyDescent="0.2">
      <c r="A3638" s="5" t="s">
        <v>4161</v>
      </c>
      <c r="B3638" s="5" t="s">
        <v>4005</v>
      </c>
      <c r="C3638" s="8">
        <v>6</v>
      </c>
      <c r="D3638" s="5" t="s">
        <v>162</v>
      </c>
      <c r="E3638" s="5"/>
      <c r="G3638" s="5"/>
      <c r="H3638" s="5"/>
    </row>
    <row r="3639" spans="1:8" x14ac:dyDescent="0.2">
      <c r="A3639" s="5" t="s">
        <v>4162</v>
      </c>
      <c r="B3639" s="5" t="s">
        <v>4007</v>
      </c>
      <c r="C3639" s="8">
        <v>1</v>
      </c>
      <c r="D3639" s="5" t="s">
        <v>162</v>
      </c>
      <c r="E3639" s="5"/>
      <c r="G3639" s="5"/>
      <c r="H3639" s="5"/>
    </row>
    <row r="3640" spans="1:8" x14ac:dyDescent="0.2">
      <c r="A3640" s="5" t="s">
        <v>4163</v>
      </c>
      <c r="B3640" s="5" t="s">
        <v>4164</v>
      </c>
      <c r="C3640" s="8">
        <v>2</v>
      </c>
      <c r="D3640" s="5" t="s">
        <v>162</v>
      </c>
      <c r="E3640" s="5"/>
      <c r="G3640" s="5"/>
      <c r="H3640" s="5"/>
    </row>
    <row r="3641" spans="1:8" x14ac:dyDescent="0.2">
      <c r="A3641" s="5" t="s">
        <v>4165</v>
      </c>
      <c r="B3641" s="5" t="s">
        <v>4047</v>
      </c>
      <c r="C3641" s="8">
        <v>1</v>
      </c>
      <c r="D3641" s="5" t="s">
        <v>162</v>
      </c>
      <c r="E3641" s="5"/>
      <c r="G3641" s="5"/>
      <c r="H3641" s="5"/>
    </row>
    <row r="3642" spans="1:8" x14ac:dyDescent="0.2">
      <c r="A3642" s="5" t="s">
        <v>4166</v>
      </c>
      <c r="B3642" s="5" t="s">
        <v>4031</v>
      </c>
      <c r="C3642" s="8">
        <v>2</v>
      </c>
      <c r="D3642" s="5" t="s">
        <v>162</v>
      </c>
      <c r="E3642" s="5"/>
      <c r="G3642" s="5"/>
      <c r="H3642" s="5"/>
    </row>
    <row r="3643" spans="1:8" x14ac:dyDescent="0.2">
      <c r="A3643" s="5" t="s">
        <v>4167</v>
      </c>
      <c r="B3643" s="5" t="s">
        <v>4009</v>
      </c>
      <c r="C3643" s="8">
        <v>2</v>
      </c>
      <c r="D3643" s="5" t="s">
        <v>162</v>
      </c>
      <c r="E3643" s="5"/>
      <c r="G3643" s="5"/>
      <c r="H3643" s="5"/>
    </row>
    <row r="3644" spans="1:8" x14ac:dyDescent="0.2">
      <c r="A3644" s="5"/>
      <c r="B3644" s="5" t="s">
        <v>44</v>
      </c>
      <c r="C3644" s="5"/>
      <c r="D3644" s="5" t="s">
        <v>322</v>
      </c>
      <c r="E3644" s="5"/>
      <c r="G3644" s="5"/>
      <c r="H3644" s="5"/>
    </row>
    <row r="3645" spans="1:8" x14ac:dyDescent="0.2">
      <c r="A3645" s="5"/>
      <c r="B3645" s="5" t="s">
        <v>3986</v>
      </c>
      <c r="C3645" s="5"/>
      <c r="D3645" s="5" t="s">
        <v>366</v>
      </c>
      <c r="E3645" s="5"/>
      <c r="G3645" s="5"/>
      <c r="H3645" s="5"/>
    </row>
    <row r="3646" spans="1:8" x14ac:dyDescent="0.2">
      <c r="A3646" s="5" t="s">
        <v>4168</v>
      </c>
      <c r="B3646" s="5" t="s">
        <v>3988</v>
      </c>
      <c r="C3646" s="8">
        <v>1</v>
      </c>
      <c r="D3646" s="5" t="s">
        <v>162</v>
      </c>
      <c r="E3646" s="5"/>
      <c r="G3646" s="5"/>
      <c r="H3646" s="5"/>
    </row>
    <row r="3647" spans="1:8" x14ac:dyDescent="0.2">
      <c r="A3647" s="5"/>
      <c r="B3647" s="5" t="s">
        <v>2859</v>
      </c>
      <c r="C3647" s="5"/>
      <c r="D3647" s="5" t="s">
        <v>366</v>
      </c>
      <c r="E3647" s="5"/>
      <c r="G3647" s="5"/>
      <c r="H3647" s="5"/>
    </row>
    <row r="3648" spans="1:8" x14ac:dyDescent="0.2">
      <c r="A3648" s="5" t="s">
        <v>4169</v>
      </c>
      <c r="B3648" s="5" t="s">
        <v>4015</v>
      </c>
      <c r="C3648" s="8">
        <v>1</v>
      </c>
      <c r="D3648" s="5" t="s">
        <v>162</v>
      </c>
      <c r="E3648" s="5"/>
      <c r="G3648" s="5"/>
      <c r="H3648" s="5"/>
    </row>
    <row r="3649" spans="1:8" x14ac:dyDescent="0.2">
      <c r="A3649" s="5" t="s">
        <v>4170</v>
      </c>
      <c r="B3649" s="5" t="s">
        <v>4017</v>
      </c>
      <c r="C3649" s="8">
        <v>1</v>
      </c>
      <c r="D3649" s="5" t="s">
        <v>162</v>
      </c>
      <c r="E3649" s="5"/>
      <c r="G3649" s="5"/>
      <c r="H3649" s="5"/>
    </row>
    <row r="3650" spans="1:8" x14ac:dyDescent="0.2">
      <c r="A3650" s="5"/>
      <c r="B3650" s="5" t="s">
        <v>4051</v>
      </c>
      <c r="C3650" s="5"/>
      <c r="D3650" s="5" t="s">
        <v>366</v>
      </c>
      <c r="E3650" s="5"/>
      <c r="G3650" s="5"/>
      <c r="H3650" s="5"/>
    </row>
    <row r="3651" spans="1:8" x14ac:dyDescent="0.2">
      <c r="A3651" s="5" t="s">
        <v>4171</v>
      </c>
      <c r="B3651" s="5" t="s">
        <v>4172</v>
      </c>
      <c r="C3651" s="8">
        <v>1</v>
      </c>
      <c r="D3651" s="5" t="s">
        <v>162</v>
      </c>
      <c r="E3651" s="5"/>
      <c r="G3651" s="5"/>
      <c r="H3651" s="5"/>
    </row>
    <row r="3652" spans="1:8" x14ac:dyDescent="0.2">
      <c r="A3652" s="5" t="s">
        <v>4173</v>
      </c>
      <c r="B3652" s="5" t="s">
        <v>4174</v>
      </c>
      <c r="C3652" s="8">
        <v>1</v>
      </c>
      <c r="D3652" s="5" t="s">
        <v>162</v>
      </c>
      <c r="E3652" s="5"/>
      <c r="G3652" s="5"/>
      <c r="H3652" s="5"/>
    </row>
    <row r="3653" spans="1:8" x14ac:dyDescent="0.2">
      <c r="A3653" s="5"/>
      <c r="B3653" s="5" t="s">
        <v>3989</v>
      </c>
      <c r="C3653" s="5"/>
      <c r="D3653" s="5" t="s">
        <v>366</v>
      </c>
      <c r="E3653" s="5"/>
      <c r="G3653" s="5"/>
      <c r="H3653" s="5"/>
    </row>
    <row r="3654" spans="1:8" x14ac:dyDescent="0.2">
      <c r="A3654" s="5" t="s">
        <v>4175</v>
      </c>
      <c r="B3654" s="5" t="s">
        <v>3993</v>
      </c>
      <c r="C3654" s="8">
        <v>1</v>
      </c>
      <c r="D3654" s="5" t="s">
        <v>162</v>
      </c>
      <c r="E3654" s="5"/>
      <c r="G3654" s="5"/>
      <c r="H3654" s="5"/>
    </row>
    <row r="3655" spans="1:8" x14ac:dyDescent="0.2">
      <c r="A3655" s="5" t="s">
        <v>4176</v>
      </c>
      <c r="B3655" s="5" t="s">
        <v>4007</v>
      </c>
      <c r="C3655" s="8">
        <v>1</v>
      </c>
      <c r="D3655" s="5" t="s">
        <v>162</v>
      </c>
      <c r="E3655" s="5"/>
      <c r="G3655" s="5"/>
      <c r="H3655" s="5"/>
    </row>
    <row r="3656" spans="1:8" x14ac:dyDescent="0.2">
      <c r="A3656" s="5"/>
      <c r="B3656" s="5" t="s">
        <v>46</v>
      </c>
      <c r="C3656" s="5"/>
      <c r="D3656" s="5" t="s">
        <v>322</v>
      </c>
      <c r="E3656" s="5"/>
      <c r="G3656" s="5"/>
      <c r="H3656" s="5"/>
    </row>
    <row r="3657" spans="1:8" x14ac:dyDescent="0.2">
      <c r="A3657" s="5"/>
      <c r="B3657" s="5" t="s">
        <v>3986</v>
      </c>
      <c r="C3657" s="5"/>
      <c r="D3657" s="5" t="s">
        <v>366</v>
      </c>
      <c r="E3657" s="5"/>
      <c r="G3657" s="5"/>
      <c r="H3657" s="5"/>
    </row>
    <row r="3658" spans="1:8" x14ac:dyDescent="0.2">
      <c r="A3658" s="5" t="s">
        <v>4177</v>
      </c>
      <c r="B3658" s="5" t="s">
        <v>3988</v>
      </c>
      <c r="C3658" s="8">
        <v>1</v>
      </c>
      <c r="D3658" s="5" t="s">
        <v>162</v>
      </c>
      <c r="E3658" s="5"/>
      <c r="G3658" s="5"/>
      <c r="H3658" s="5"/>
    </row>
    <row r="3659" spans="1:8" x14ac:dyDescent="0.2">
      <c r="A3659" s="5"/>
      <c r="B3659" s="5" t="s">
        <v>2859</v>
      </c>
      <c r="C3659" s="5"/>
      <c r="D3659" s="5" t="s">
        <v>366</v>
      </c>
      <c r="E3659" s="5"/>
      <c r="G3659" s="5"/>
      <c r="H3659" s="5"/>
    </row>
    <row r="3660" spans="1:8" x14ac:dyDescent="0.2">
      <c r="A3660" s="5" t="s">
        <v>4178</v>
      </c>
      <c r="B3660" s="5" t="s">
        <v>4015</v>
      </c>
      <c r="C3660" s="8">
        <v>1</v>
      </c>
      <c r="D3660" s="5" t="s">
        <v>162</v>
      </c>
      <c r="E3660" s="5"/>
      <c r="G3660" s="5"/>
      <c r="H3660" s="5"/>
    </row>
    <row r="3661" spans="1:8" x14ac:dyDescent="0.2">
      <c r="A3661" s="5" t="s">
        <v>4179</v>
      </c>
      <c r="B3661" s="5" t="s">
        <v>4017</v>
      </c>
      <c r="C3661" s="8">
        <v>1</v>
      </c>
      <c r="D3661" s="5" t="s">
        <v>162</v>
      </c>
      <c r="E3661" s="5"/>
      <c r="G3661" s="5"/>
      <c r="H3661" s="5"/>
    </row>
    <row r="3662" spans="1:8" x14ac:dyDescent="0.2">
      <c r="A3662" s="5"/>
      <c r="B3662" s="5" t="s">
        <v>4051</v>
      </c>
      <c r="C3662" s="5"/>
      <c r="D3662" s="5" t="s">
        <v>366</v>
      </c>
      <c r="E3662" s="5"/>
      <c r="G3662" s="5"/>
      <c r="H3662" s="5"/>
    </row>
    <row r="3663" spans="1:8" x14ac:dyDescent="0.2">
      <c r="A3663" s="5" t="s">
        <v>4180</v>
      </c>
      <c r="B3663" s="5" t="s">
        <v>4172</v>
      </c>
      <c r="C3663" s="8">
        <v>1</v>
      </c>
      <c r="D3663" s="5" t="s">
        <v>162</v>
      </c>
      <c r="E3663" s="5"/>
      <c r="G3663" s="5"/>
      <c r="H3663" s="5"/>
    </row>
    <row r="3664" spans="1:8" x14ac:dyDescent="0.2">
      <c r="A3664" s="5" t="s">
        <v>4181</v>
      </c>
      <c r="B3664" s="5" t="s">
        <v>4174</v>
      </c>
      <c r="C3664" s="8">
        <v>1</v>
      </c>
      <c r="D3664" s="5" t="s">
        <v>162</v>
      </c>
      <c r="E3664" s="5"/>
      <c r="G3664" s="5"/>
      <c r="H3664" s="5"/>
    </row>
    <row r="3665" spans="1:8" x14ac:dyDescent="0.2">
      <c r="A3665" s="5"/>
      <c r="B3665" s="5" t="s">
        <v>3989</v>
      </c>
      <c r="C3665" s="5"/>
      <c r="D3665" s="5" t="s">
        <v>366</v>
      </c>
      <c r="E3665" s="5"/>
      <c r="G3665" s="5"/>
      <c r="H3665" s="5"/>
    </row>
    <row r="3666" spans="1:8" x14ac:dyDescent="0.2">
      <c r="A3666" s="5" t="s">
        <v>4182</v>
      </c>
      <c r="B3666" s="5" t="s">
        <v>3993</v>
      </c>
      <c r="C3666" s="8">
        <v>1</v>
      </c>
      <c r="D3666" s="5" t="s">
        <v>162</v>
      </c>
      <c r="E3666" s="5"/>
      <c r="G3666" s="5"/>
      <c r="H3666" s="5"/>
    </row>
    <row r="3667" spans="1:8" x14ac:dyDescent="0.2">
      <c r="A3667" s="5" t="s">
        <v>4183</v>
      </c>
      <c r="B3667" s="5" t="s">
        <v>4007</v>
      </c>
      <c r="C3667" s="8">
        <v>1</v>
      </c>
      <c r="D3667" s="5" t="s">
        <v>162</v>
      </c>
      <c r="E3667" s="5"/>
      <c r="G3667" s="5"/>
      <c r="H3667" s="5"/>
    </row>
    <row r="3668" spans="1:8" x14ac:dyDescent="0.2">
      <c r="A3668" s="5" t="s">
        <v>4184</v>
      </c>
      <c r="B3668" s="5" t="s">
        <v>4047</v>
      </c>
      <c r="C3668" s="8">
        <v>1</v>
      </c>
      <c r="D3668" s="5" t="s">
        <v>162</v>
      </c>
      <c r="E3668" s="5"/>
      <c r="G3668" s="5"/>
      <c r="H3668" s="5"/>
    </row>
    <row r="3669" spans="1:8" x14ac:dyDescent="0.2">
      <c r="A3669" s="5"/>
      <c r="B3669" s="5" t="s">
        <v>48</v>
      </c>
      <c r="C3669" s="5"/>
      <c r="D3669" s="5" t="s">
        <v>322</v>
      </c>
      <c r="E3669" s="5"/>
      <c r="G3669" s="5"/>
      <c r="H3669" s="5"/>
    </row>
    <row r="3670" spans="1:8" x14ac:dyDescent="0.2">
      <c r="A3670" s="5"/>
      <c r="B3670" s="5" t="s">
        <v>3986</v>
      </c>
      <c r="C3670" s="5"/>
      <c r="D3670" s="5" t="s">
        <v>366</v>
      </c>
      <c r="E3670" s="5"/>
      <c r="G3670" s="5"/>
      <c r="H3670" s="5"/>
    </row>
    <row r="3671" spans="1:8" x14ac:dyDescent="0.2">
      <c r="A3671" s="5" t="s">
        <v>4185</v>
      </c>
      <c r="B3671" s="5" t="s">
        <v>3988</v>
      </c>
      <c r="C3671" s="8">
        <v>1</v>
      </c>
      <c r="D3671" s="5" t="s">
        <v>162</v>
      </c>
      <c r="E3671" s="5"/>
      <c r="G3671" s="5"/>
      <c r="H3671" s="5"/>
    </row>
    <row r="3672" spans="1:8" x14ac:dyDescent="0.2">
      <c r="A3672" s="5"/>
      <c r="B3672" s="5" t="s">
        <v>2859</v>
      </c>
      <c r="C3672" s="5"/>
      <c r="D3672" s="5" t="s">
        <v>366</v>
      </c>
      <c r="E3672" s="5"/>
      <c r="G3672" s="5"/>
      <c r="H3672" s="5"/>
    </row>
    <row r="3673" spans="1:8" x14ac:dyDescent="0.2">
      <c r="A3673" s="5" t="s">
        <v>4186</v>
      </c>
      <c r="B3673" s="5" t="s">
        <v>4187</v>
      </c>
      <c r="C3673" s="8">
        <v>2</v>
      </c>
      <c r="D3673" s="5" t="s">
        <v>162</v>
      </c>
      <c r="E3673" s="5"/>
      <c r="G3673" s="5"/>
      <c r="H3673" s="5"/>
    </row>
    <row r="3674" spans="1:8" x14ac:dyDescent="0.2">
      <c r="A3674" s="5"/>
      <c r="B3674" s="5" t="s">
        <v>3989</v>
      </c>
      <c r="C3674" s="5"/>
      <c r="D3674" s="5" t="s">
        <v>366</v>
      </c>
      <c r="E3674" s="5"/>
      <c r="G3674" s="5"/>
      <c r="H3674" s="5"/>
    </row>
    <row r="3675" spans="1:8" x14ac:dyDescent="0.2">
      <c r="A3675" s="5" t="s">
        <v>4188</v>
      </c>
      <c r="B3675" s="5" t="s">
        <v>4027</v>
      </c>
      <c r="C3675" s="8">
        <v>1</v>
      </c>
      <c r="D3675" s="5" t="s">
        <v>162</v>
      </c>
      <c r="E3675" s="5"/>
      <c r="G3675" s="5"/>
      <c r="H3675" s="5"/>
    </row>
    <row r="3676" spans="1:8" x14ac:dyDescent="0.2">
      <c r="A3676" s="5" t="s">
        <v>4189</v>
      </c>
      <c r="B3676" s="5" t="s">
        <v>3993</v>
      </c>
      <c r="C3676" s="8">
        <v>1</v>
      </c>
      <c r="D3676" s="5" t="s">
        <v>162</v>
      </c>
      <c r="E3676" s="5"/>
      <c r="G3676" s="5"/>
      <c r="H3676" s="5"/>
    </row>
    <row r="3677" spans="1:8" x14ac:dyDescent="0.2">
      <c r="A3677" s="5" t="s">
        <v>4190</v>
      </c>
      <c r="B3677" s="5" t="s">
        <v>4005</v>
      </c>
      <c r="C3677" s="8">
        <v>4</v>
      </c>
      <c r="D3677" s="5" t="s">
        <v>162</v>
      </c>
      <c r="E3677" s="5"/>
      <c r="G3677" s="5"/>
      <c r="H3677" s="5"/>
    </row>
    <row r="3678" spans="1:8" x14ac:dyDescent="0.2">
      <c r="A3678" s="5" t="s">
        <v>4191</v>
      </c>
      <c r="B3678" s="5" t="s">
        <v>3996</v>
      </c>
      <c r="C3678" s="8">
        <v>1</v>
      </c>
      <c r="D3678" s="5" t="s">
        <v>162</v>
      </c>
      <c r="E3678" s="5"/>
      <c r="G3678" s="5"/>
      <c r="H3678" s="5"/>
    </row>
    <row r="3679" spans="1:8" x14ac:dyDescent="0.2">
      <c r="A3679" s="5" t="s">
        <v>4192</v>
      </c>
      <c r="B3679" s="5" t="s">
        <v>4193</v>
      </c>
      <c r="C3679" s="8">
        <v>1</v>
      </c>
      <c r="D3679" s="5" t="s">
        <v>162</v>
      </c>
      <c r="E3679" s="5"/>
      <c r="G3679" s="5"/>
      <c r="H3679" s="5"/>
    </row>
    <row r="3680" spans="1:8" x14ac:dyDescent="0.2">
      <c r="A3680" s="5"/>
      <c r="B3680" s="5" t="s">
        <v>4060</v>
      </c>
      <c r="C3680" s="5"/>
      <c r="D3680" s="5" t="s">
        <v>15</v>
      </c>
      <c r="E3680" s="5"/>
      <c r="G3680" s="5"/>
      <c r="H3680" s="5"/>
    </row>
    <row r="3681" spans="1:8" x14ac:dyDescent="0.2">
      <c r="A3681" s="5"/>
      <c r="B3681" s="5" t="s">
        <v>4061</v>
      </c>
      <c r="C3681" s="5"/>
      <c r="D3681" s="5" t="s">
        <v>322</v>
      </c>
      <c r="E3681" s="5"/>
      <c r="G3681" s="5"/>
      <c r="H3681" s="5"/>
    </row>
    <row r="3682" spans="1:8" x14ac:dyDescent="0.2">
      <c r="A3682" s="5"/>
      <c r="B3682" s="5" t="s">
        <v>41</v>
      </c>
      <c r="C3682" s="5"/>
      <c r="D3682" s="5" t="s">
        <v>366</v>
      </c>
      <c r="E3682" s="5"/>
      <c r="G3682" s="5"/>
      <c r="H3682" s="5"/>
    </row>
    <row r="3683" spans="1:8" x14ac:dyDescent="0.2">
      <c r="A3683" s="5" t="s">
        <v>4194</v>
      </c>
      <c r="B3683" s="5" t="s">
        <v>4063</v>
      </c>
      <c r="C3683" s="8">
        <v>1</v>
      </c>
      <c r="D3683" s="5" t="s">
        <v>162</v>
      </c>
      <c r="E3683" s="5"/>
      <c r="G3683" s="5"/>
      <c r="H3683" s="5"/>
    </row>
    <row r="3684" spans="1:8" x14ac:dyDescent="0.2">
      <c r="A3684" s="5" t="s">
        <v>4195</v>
      </c>
      <c r="B3684" s="5" t="s">
        <v>4067</v>
      </c>
      <c r="C3684" s="8">
        <v>1</v>
      </c>
      <c r="D3684" s="5" t="s">
        <v>162</v>
      </c>
      <c r="E3684" s="5"/>
      <c r="G3684" s="5"/>
      <c r="H3684" s="5"/>
    </row>
    <row r="3685" spans="1:8" x14ac:dyDescent="0.2">
      <c r="A3685" s="5"/>
      <c r="B3685" s="5" t="s">
        <v>48</v>
      </c>
      <c r="C3685" s="5"/>
      <c r="D3685" s="5" t="s">
        <v>366</v>
      </c>
      <c r="E3685" s="5"/>
      <c r="G3685" s="5"/>
      <c r="H3685" s="5"/>
    </row>
    <row r="3686" spans="1:8" x14ac:dyDescent="0.2">
      <c r="A3686" s="5" t="s">
        <v>4196</v>
      </c>
      <c r="B3686" s="5" t="s">
        <v>4067</v>
      </c>
      <c r="C3686" s="8">
        <v>2</v>
      </c>
      <c r="D3686" s="5" t="s">
        <v>162</v>
      </c>
      <c r="E3686" s="5"/>
      <c r="G3686" s="5"/>
      <c r="H3686" s="5"/>
    </row>
    <row r="3687" spans="1:8" x14ac:dyDescent="0.2">
      <c r="A3687" s="5"/>
      <c r="B3687" s="5" t="s">
        <v>4070</v>
      </c>
      <c r="C3687" s="5"/>
      <c r="D3687" s="5" t="s">
        <v>322</v>
      </c>
      <c r="E3687" s="5"/>
      <c r="G3687" s="5"/>
      <c r="H3687" s="5"/>
    </row>
    <row r="3688" spans="1:8" x14ac:dyDescent="0.2">
      <c r="A3688" s="5"/>
      <c r="B3688" s="5" t="s">
        <v>41</v>
      </c>
      <c r="C3688" s="5"/>
      <c r="D3688" s="5" t="s">
        <v>366</v>
      </c>
      <c r="E3688" s="5"/>
      <c r="G3688" s="5"/>
      <c r="H3688" s="5"/>
    </row>
    <row r="3689" spans="1:8" x14ac:dyDescent="0.2">
      <c r="A3689" s="5" t="s">
        <v>4197</v>
      </c>
      <c r="B3689" s="5" t="s">
        <v>4076</v>
      </c>
      <c r="C3689" s="8">
        <v>14</v>
      </c>
      <c r="D3689" s="5" t="s">
        <v>162</v>
      </c>
      <c r="E3689" s="5"/>
      <c r="G3689" s="5"/>
      <c r="H3689" s="5"/>
    </row>
    <row r="3690" spans="1:8" x14ac:dyDescent="0.2">
      <c r="A3690" s="5" t="s">
        <v>4198</v>
      </c>
      <c r="B3690" s="5" t="s">
        <v>4078</v>
      </c>
      <c r="C3690" s="8">
        <v>2</v>
      </c>
      <c r="D3690" s="5" t="s">
        <v>162</v>
      </c>
      <c r="E3690" s="5"/>
      <c r="G3690" s="5"/>
      <c r="H3690" s="5"/>
    </row>
    <row r="3691" spans="1:8" x14ac:dyDescent="0.2">
      <c r="A3691" s="5"/>
      <c r="B3691" s="5" t="s">
        <v>44</v>
      </c>
      <c r="C3691" s="5"/>
      <c r="D3691" s="5" t="s">
        <v>366</v>
      </c>
      <c r="E3691" s="5"/>
      <c r="G3691" s="5"/>
      <c r="H3691" s="5"/>
    </row>
    <row r="3692" spans="1:8" x14ac:dyDescent="0.2">
      <c r="A3692" s="5" t="s">
        <v>4199</v>
      </c>
      <c r="B3692" s="5" t="s">
        <v>4074</v>
      </c>
      <c r="C3692" s="8">
        <v>1</v>
      </c>
      <c r="D3692" s="5" t="s">
        <v>162</v>
      </c>
      <c r="E3692" s="5"/>
      <c r="G3692" s="5"/>
      <c r="H3692" s="5"/>
    </row>
    <row r="3693" spans="1:8" x14ac:dyDescent="0.2">
      <c r="A3693" s="5" t="s">
        <v>4200</v>
      </c>
      <c r="B3693" s="5" t="s">
        <v>4076</v>
      </c>
      <c r="C3693" s="8">
        <v>1</v>
      </c>
      <c r="D3693" s="5" t="s">
        <v>162</v>
      </c>
      <c r="E3693" s="5"/>
      <c r="G3693" s="5"/>
      <c r="H3693" s="5"/>
    </row>
    <row r="3694" spans="1:8" x14ac:dyDescent="0.2">
      <c r="A3694" s="5" t="s">
        <v>4201</v>
      </c>
      <c r="B3694" s="5" t="s">
        <v>4078</v>
      </c>
      <c r="C3694" s="8">
        <v>1</v>
      </c>
      <c r="D3694" s="5" t="s">
        <v>162</v>
      </c>
      <c r="E3694" s="5"/>
      <c r="G3694" s="5"/>
      <c r="H3694" s="5"/>
    </row>
    <row r="3695" spans="1:8" x14ac:dyDescent="0.2">
      <c r="A3695" s="5"/>
      <c r="B3695" s="5" t="s">
        <v>46</v>
      </c>
      <c r="C3695" s="5"/>
      <c r="D3695" s="5" t="s">
        <v>366</v>
      </c>
      <c r="E3695" s="5"/>
      <c r="G3695" s="5"/>
      <c r="H3695" s="5"/>
    </row>
    <row r="3696" spans="1:8" x14ac:dyDescent="0.2">
      <c r="A3696" s="5" t="s">
        <v>4202</v>
      </c>
      <c r="B3696" s="5" t="s">
        <v>4074</v>
      </c>
      <c r="C3696" s="8">
        <v>1</v>
      </c>
      <c r="D3696" s="5" t="s">
        <v>162</v>
      </c>
      <c r="E3696" s="5"/>
      <c r="G3696" s="5"/>
      <c r="H3696" s="5"/>
    </row>
    <row r="3697" spans="1:8" x14ac:dyDescent="0.2">
      <c r="A3697" s="5" t="s">
        <v>4203</v>
      </c>
      <c r="B3697" s="5" t="s">
        <v>4076</v>
      </c>
      <c r="C3697" s="8">
        <v>2</v>
      </c>
      <c r="D3697" s="5" t="s">
        <v>162</v>
      </c>
      <c r="E3697" s="5"/>
      <c r="G3697" s="5"/>
      <c r="H3697" s="5"/>
    </row>
    <row r="3698" spans="1:8" x14ac:dyDescent="0.2">
      <c r="A3698" s="5" t="s">
        <v>4204</v>
      </c>
      <c r="B3698" s="5" t="s">
        <v>4078</v>
      </c>
      <c r="C3698" s="8">
        <v>1</v>
      </c>
      <c r="D3698" s="5" t="s">
        <v>162</v>
      </c>
      <c r="E3698" s="5"/>
      <c r="G3698" s="5"/>
      <c r="H3698" s="5"/>
    </row>
    <row r="3699" spans="1:8" x14ac:dyDescent="0.2">
      <c r="A3699" s="5"/>
      <c r="B3699" s="5" t="s">
        <v>48</v>
      </c>
      <c r="C3699" s="5"/>
      <c r="D3699" s="5" t="s">
        <v>366</v>
      </c>
      <c r="E3699" s="5"/>
      <c r="G3699" s="5"/>
      <c r="H3699" s="5"/>
    </row>
    <row r="3700" spans="1:8" x14ac:dyDescent="0.2">
      <c r="A3700" s="5" t="s">
        <v>4205</v>
      </c>
      <c r="B3700" s="5" t="s">
        <v>4074</v>
      </c>
      <c r="C3700" s="8">
        <v>1</v>
      </c>
      <c r="D3700" s="5" t="s">
        <v>162</v>
      </c>
      <c r="E3700" s="5"/>
      <c r="G3700" s="5"/>
      <c r="H3700" s="5"/>
    </row>
    <row r="3701" spans="1:8" x14ac:dyDescent="0.2">
      <c r="A3701" s="5" t="s">
        <v>4206</v>
      </c>
      <c r="B3701" s="5" t="s">
        <v>4076</v>
      </c>
      <c r="C3701" s="8">
        <v>6</v>
      </c>
      <c r="D3701" s="5" t="s">
        <v>162</v>
      </c>
      <c r="E3701" s="5"/>
      <c r="G3701" s="5"/>
      <c r="H3701" s="5"/>
    </row>
    <row r="3702" spans="1:8" x14ac:dyDescent="0.2">
      <c r="A3702" s="5" t="s">
        <v>4207</v>
      </c>
      <c r="B3702" s="5" t="s">
        <v>4078</v>
      </c>
      <c r="C3702" s="8">
        <v>2</v>
      </c>
      <c r="D3702" s="5" t="s">
        <v>162</v>
      </c>
      <c r="E3702" s="5"/>
      <c r="G3702" s="5"/>
      <c r="H3702" s="5"/>
    </row>
    <row r="3703" spans="1:8" x14ac:dyDescent="0.2">
      <c r="A3703" s="5"/>
      <c r="B3703" s="5" t="s">
        <v>4087</v>
      </c>
      <c r="C3703" s="5"/>
      <c r="D3703" s="5" t="s">
        <v>15</v>
      </c>
      <c r="E3703" s="5"/>
      <c r="G3703" s="5"/>
      <c r="H3703" s="5"/>
    </row>
    <row r="3704" spans="1:8" x14ac:dyDescent="0.2">
      <c r="A3704" s="5"/>
      <c r="B3704" s="5" t="s">
        <v>41</v>
      </c>
      <c r="C3704" s="5"/>
      <c r="D3704" s="5" t="s">
        <v>322</v>
      </c>
      <c r="E3704" s="5"/>
      <c r="G3704" s="5"/>
      <c r="H3704" s="5"/>
    </row>
    <row r="3705" spans="1:8" x14ac:dyDescent="0.2">
      <c r="A3705" s="5" t="s">
        <v>4208</v>
      </c>
      <c r="B3705" s="5" t="s">
        <v>4089</v>
      </c>
      <c r="C3705" s="8">
        <v>8</v>
      </c>
      <c r="D3705" s="5" t="s">
        <v>162</v>
      </c>
      <c r="E3705" s="5"/>
      <c r="G3705" s="5"/>
      <c r="H3705" s="5"/>
    </row>
    <row r="3706" spans="1:8" x14ac:dyDescent="0.2">
      <c r="A3706" s="5"/>
      <c r="B3706" s="5" t="s">
        <v>44</v>
      </c>
      <c r="C3706" s="5"/>
      <c r="D3706" s="5" t="s">
        <v>322</v>
      </c>
      <c r="E3706" s="5"/>
      <c r="G3706" s="5"/>
      <c r="H3706" s="5"/>
    </row>
    <row r="3707" spans="1:8" x14ac:dyDescent="0.2">
      <c r="A3707" s="5" t="s">
        <v>4209</v>
      </c>
      <c r="B3707" s="5" t="s">
        <v>4089</v>
      </c>
      <c r="C3707" s="8">
        <v>1</v>
      </c>
      <c r="D3707" s="5" t="s">
        <v>162</v>
      </c>
      <c r="E3707" s="5"/>
      <c r="G3707" s="5"/>
      <c r="H3707" s="5"/>
    </row>
    <row r="3708" spans="1:8" x14ac:dyDescent="0.2">
      <c r="A3708" s="5"/>
      <c r="B3708" s="5" t="s">
        <v>46</v>
      </c>
      <c r="C3708" s="5"/>
      <c r="D3708" s="5" t="s">
        <v>322</v>
      </c>
      <c r="E3708" s="5"/>
      <c r="G3708" s="5"/>
      <c r="H3708" s="5"/>
    </row>
    <row r="3709" spans="1:8" x14ac:dyDescent="0.2">
      <c r="A3709" s="5" t="s">
        <v>4210</v>
      </c>
      <c r="B3709" s="5" t="s">
        <v>4089</v>
      </c>
      <c r="C3709" s="8">
        <v>1</v>
      </c>
      <c r="D3709" s="5" t="s">
        <v>162</v>
      </c>
      <c r="E3709" s="5"/>
      <c r="G3709" s="5"/>
      <c r="H3709" s="5"/>
    </row>
    <row r="3710" spans="1:8" x14ac:dyDescent="0.2">
      <c r="A3710" s="5"/>
      <c r="B3710" s="5" t="s">
        <v>48</v>
      </c>
      <c r="C3710" s="5"/>
      <c r="D3710" s="5" t="s">
        <v>322</v>
      </c>
      <c r="E3710" s="5"/>
      <c r="G3710" s="5"/>
      <c r="H3710" s="5"/>
    </row>
    <row r="3711" spans="1:8" x14ac:dyDescent="0.2">
      <c r="A3711" s="5" t="s">
        <v>4211</v>
      </c>
      <c r="B3711" s="5" t="s">
        <v>4089</v>
      </c>
      <c r="C3711" s="8">
        <v>5</v>
      </c>
      <c r="D3711" s="5" t="s">
        <v>162</v>
      </c>
      <c r="E3711" s="5"/>
      <c r="G3711" s="5"/>
      <c r="H3711" s="5"/>
    </row>
    <row r="3712" spans="1:8" x14ac:dyDescent="0.2">
      <c r="A3712" s="5"/>
      <c r="B3712" s="5" t="s">
        <v>2874</v>
      </c>
      <c r="C3712" s="5"/>
      <c r="D3712" s="5" t="s">
        <v>15</v>
      </c>
      <c r="E3712" s="5"/>
      <c r="G3712" s="5"/>
      <c r="H3712" s="5"/>
    </row>
    <row r="3713" spans="1:8" x14ac:dyDescent="0.2">
      <c r="A3713" s="5"/>
      <c r="B3713" s="5" t="s">
        <v>41</v>
      </c>
      <c r="C3713" s="5"/>
      <c r="D3713" s="5" t="s">
        <v>322</v>
      </c>
      <c r="E3713" s="5"/>
      <c r="G3713" s="5"/>
      <c r="H3713" s="5"/>
    </row>
    <row r="3714" spans="1:8" x14ac:dyDescent="0.2">
      <c r="A3714" s="5" t="s">
        <v>4212</v>
      </c>
      <c r="B3714" s="5" t="s">
        <v>4096</v>
      </c>
      <c r="C3714" s="8">
        <v>1</v>
      </c>
      <c r="D3714" s="5" t="s">
        <v>155</v>
      </c>
      <c r="E3714" s="5"/>
      <c r="G3714" s="5"/>
      <c r="H3714" s="5"/>
    </row>
    <row r="3715" spans="1:8" x14ac:dyDescent="0.2">
      <c r="A3715" s="5"/>
      <c r="B3715" s="5" t="s">
        <v>44</v>
      </c>
      <c r="C3715" s="5"/>
      <c r="D3715" s="5" t="s">
        <v>322</v>
      </c>
      <c r="E3715" s="5"/>
      <c r="G3715" s="5"/>
      <c r="H3715" s="5"/>
    </row>
    <row r="3716" spans="1:8" x14ac:dyDescent="0.2">
      <c r="A3716" s="5" t="s">
        <v>4213</v>
      </c>
      <c r="B3716" s="5" t="s">
        <v>4214</v>
      </c>
      <c r="C3716" s="8">
        <v>1</v>
      </c>
      <c r="D3716" s="5" t="s">
        <v>155</v>
      </c>
      <c r="E3716" s="5"/>
      <c r="G3716" s="5"/>
      <c r="H3716" s="5"/>
    </row>
    <row r="3717" spans="1:8" x14ac:dyDescent="0.2">
      <c r="A3717" s="5" t="s">
        <v>4215</v>
      </c>
      <c r="B3717" s="5" t="s">
        <v>4098</v>
      </c>
      <c r="C3717" s="8">
        <v>5</v>
      </c>
      <c r="D3717" s="5" t="s">
        <v>155</v>
      </c>
      <c r="E3717" s="5"/>
      <c r="G3717" s="5"/>
      <c r="H3717" s="5"/>
    </row>
    <row r="3718" spans="1:8" x14ac:dyDescent="0.2">
      <c r="A3718" s="5"/>
      <c r="B3718" s="5" t="s">
        <v>46</v>
      </c>
      <c r="C3718" s="5"/>
      <c r="D3718" s="5" t="s">
        <v>322</v>
      </c>
      <c r="E3718" s="5"/>
      <c r="G3718" s="5"/>
      <c r="H3718" s="5"/>
    </row>
    <row r="3719" spans="1:8" x14ac:dyDescent="0.2">
      <c r="A3719" s="5" t="s">
        <v>4216</v>
      </c>
      <c r="B3719" s="5" t="s">
        <v>4098</v>
      </c>
      <c r="C3719" s="8">
        <v>5</v>
      </c>
      <c r="D3719" s="5" t="s">
        <v>155</v>
      </c>
      <c r="E3719" s="5"/>
      <c r="G3719" s="5"/>
      <c r="H3719" s="5"/>
    </row>
    <row r="3720" spans="1:8" x14ac:dyDescent="0.2">
      <c r="A3720" s="5" t="s">
        <v>4217</v>
      </c>
      <c r="B3720" s="5" t="s">
        <v>4096</v>
      </c>
      <c r="C3720" s="8">
        <v>1</v>
      </c>
      <c r="D3720" s="5" t="s">
        <v>155</v>
      </c>
      <c r="E3720" s="5"/>
      <c r="G3720" s="5"/>
      <c r="H3720" s="5"/>
    </row>
    <row r="3721" spans="1:8" x14ac:dyDescent="0.2">
      <c r="A3721" s="5"/>
      <c r="B3721" s="5" t="s">
        <v>48</v>
      </c>
      <c r="C3721" s="5"/>
      <c r="D3721" s="5" t="s">
        <v>322</v>
      </c>
      <c r="E3721" s="5"/>
      <c r="G3721" s="5"/>
      <c r="H3721" s="5"/>
    </row>
    <row r="3722" spans="1:8" x14ac:dyDescent="0.2">
      <c r="A3722" s="5" t="s">
        <v>4218</v>
      </c>
      <c r="B3722" s="5" t="s">
        <v>4100</v>
      </c>
      <c r="C3722" s="8">
        <v>4</v>
      </c>
      <c r="D3722" s="5" t="s">
        <v>155</v>
      </c>
      <c r="E3722" s="5"/>
      <c r="G3722" s="5"/>
      <c r="H3722" s="5"/>
    </row>
    <row r="3723" spans="1:8" x14ac:dyDescent="0.2">
      <c r="A3723" s="5"/>
      <c r="B3723" s="5" t="s">
        <v>2878</v>
      </c>
      <c r="C3723" s="5"/>
      <c r="D3723" s="5" t="s">
        <v>15</v>
      </c>
      <c r="E3723" s="5"/>
      <c r="G3723" s="5"/>
      <c r="H3723" s="5"/>
    </row>
    <row r="3724" spans="1:8" x14ac:dyDescent="0.2">
      <c r="A3724" s="5"/>
      <c r="B3724" s="5" t="s">
        <v>4106</v>
      </c>
      <c r="C3724" s="5"/>
      <c r="D3724" s="5" t="s">
        <v>322</v>
      </c>
      <c r="E3724" s="5"/>
      <c r="G3724" s="5"/>
      <c r="H3724" s="5"/>
    </row>
    <row r="3725" spans="1:8" x14ac:dyDescent="0.2">
      <c r="A3725" s="5"/>
      <c r="B3725" s="5" t="s">
        <v>41</v>
      </c>
      <c r="C3725" s="5"/>
      <c r="D3725" s="5" t="s">
        <v>366</v>
      </c>
      <c r="E3725" s="5"/>
      <c r="G3725" s="5"/>
      <c r="H3725" s="5"/>
    </row>
    <row r="3726" spans="1:8" x14ac:dyDescent="0.2">
      <c r="A3726" s="5" t="s">
        <v>4219</v>
      </c>
      <c r="B3726" s="5" t="s">
        <v>4108</v>
      </c>
      <c r="C3726" s="8">
        <v>14</v>
      </c>
      <c r="D3726" s="5" t="s">
        <v>162</v>
      </c>
      <c r="E3726" s="5"/>
      <c r="G3726" s="5"/>
      <c r="H3726" s="5"/>
    </row>
    <row r="3727" spans="1:8" x14ac:dyDescent="0.2">
      <c r="A3727" s="5" t="s">
        <v>4220</v>
      </c>
      <c r="B3727" s="5" t="s">
        <v>4110</v>
      </c>
      <c r="C3727" s="8">
        <v>2</v>
      </c>
      <c r="D3727" s="5" t="s">
        <v>162</v>
      </c>
      <c r="E3727" s="5"/>
      <c r="G3727" s="5"/>
      <c r="H3727" s="5"/>
    </row>
    <row r="3728" spans="1:8" x14ac:dyDescent="0.2">
      <c r="A3728" s="5"/>
      <c r="B3728" s="5" t="s">
        <v>44</v>
      </c>
      <c r="C3728" s="5"/>
      <c r="D3728" s="5" t="s">
        <v>366</v>
      </c>
      <c r="E3728" s="5"/>
      <c r="G3728" s="5"/>
      <c r="H3728" s="5"/>
    </row>
    <row r="3729" spans="1:8" x14ac:dyDescent="0.2">
      <c r="A3729" s="5" t="s">
        <v>4221</v>
      </c>
      <c r="B3729" s="5" t="s">
        <v>4108</v>
      </c>
      <c r="C3729" s="8">
        <v>1</v>
      </c>
      <c r="D3729" s="5" t="s">
        <v>162</v>
      </c>
      <c r="E3729" s="5"/>
      <c r="G3729" s="5"/>
      <c r="H3729" s="5"/>
    </row>
    <row r="3730" spans="1:8" x14ac:dyDescent="0.2">
      <c r="A3730" s="5" t="s">
        <v>4222</v>
      </c>
      <c r="B3730" s="5" t="s">
        <v>4110</v>
      </c>
      <c r="C3730" s="8">
        <v>1</v>
      </c>
      <c r="D3730" s="5" t="s">
        <v>162</v>
      </c>
      <c r="E3730" s="5"/>
      <c r="G3730" s="5"/>
      <c r="H3730" s="5"/>
    </row>
    <row r="3731" spans="1:8" x14ac:dyDescent="0.2">
      <c r="A3731" s="5"/>
      <c r="B3731" s="5" t="s">
        <v>46</v>
      </c>
      <c r="C3731" s="5"/>
      <c r="D3731" s="5" t="s">
        <v>366</v>
      </c>
      <c r="E3731" s="5"/>
      <c r="G3731" s="5"/>
      <c r="H3731" s="5"/>
    </row>
    <row r="3732" spans="1:8" x14ac:dyDescent="0.2">
      <c r="A3732" s="5" t="s">
        <v>4223</v>
      </c>
      <c r="B3732" s="5" t="s">
        <v>4108</v>
      </c>
      <c r="C3732" s="8">
        <v>2</v>
      </c>
      <c r="D3732" s="5" t="s">
        <v>162</v>
      </c>
      <c r="E3732" s="5"/>
      <c r="G3732" s="5"/>
      <c r="H3732" s="5"/>
    </row>
    <row r="3733" spans="1:8" x14ac:dyDescent="0.2">
      <c r="A3733" s="5" t="s">
        <v>4224</v>
      </c>
      <c r="B3733" s="5" t="s">
        <v>4110</v>
      </c>
      <c r="C3733" s="8">
        <v>1</v>
      </c>
      <c r="D3733" s="5" t="s">
        <v>162</v>
      </c>
      <c r="E3733" s="5"/>
      <c r="G3733" s="5"/>
      <c r="H3733" s="5"/>
    </row>
    <row r="3734" spans="1:8" x14ac:dyDescent="0.2">
      <c r="A3734" s="5"/>
      <c r="B3734" s="5" t="s">
        <v>48</v>
      </c>
      <c r="C3734" s="5"/>
      <c r="D3734" s="5" t="s">
        <v>366</v>
      </c>
      <c r="E3734" s="5"/>
      <c r="G3734" s="5"/>
      <c r="H3734" s="5"/>
    </row>
    <row r="3735" spans="1:8" x14ac:dyDescent="0.2">
      <c r="A3735" s="5" t="s">
        <v>4225</v>
      </c>
      <c r="B3735" s="5" t="s">
        <v>4108</v>
      </c>
      <c r="C3735" s="8">
        <v>6</v>
      </c>
      <c r="D3735" s="5" t="s">
        <v>162</v>
      </c>
      <c r="E3735" s="5"/>
      <c r="G3735" s="5"/>
      <c r="H3735" s="5"/>
    </row>
    <row r="3736" spans="1:8" x14ac:dyDescent="0.2">
      <c r="A3736" s="5" t="s">
        <v>4226</v>
      </c>
      <c r="B3736" s="5" t="s">
        <v>4110</v>
      </c>
      <c r="C3736" s="8">
        <v>2</v>
      </c>
      <c r="D3736" s="5" t="s">
        <v>162</v>
      </c>
      <c r="E3736" s="5"/>
      <c r="G3736" s="5"/>
      <c r="H3736" s="5"/>
    </row>
    <row r="3737" spans="1:8" x14ac:dyDescent="0.2">
      <c r="A3737" s="5"/>
      <c r="B3737" s="5" t="s">
        <v>4117</v>
      </c>
      <c r="C3737" s="5"/>
      <c r="D3737" s="5" t="s">
        <v>15</v>
      </c>
      <c r="E3737" s="5"/>
      <c r="G3737" s="5"/>
      <c r="H3737" s="5"/>
    </row>
    <row r="3738" spans="1:8" x14ac:dyDescent="0.2">
      <c r="A3738" s="5"/>
      <c r="B3738" s="5" t="s">
        <v>41</v>
      </c>
      <c r="C3738" s="5"/>
      <c r="D3738" s="5" t="s">
        <v>322</v>
      </c>
      <c r="E3738" s="5"/>
      <c r="G3738" s="5"/>
      <c r="H3738" s="5"/>
    </row>
    <row r="3739" spans="1:8" x14ac:dyDescent="0.2">
      <c r="A3739" s="5"/>
      <c r="B3739" s="5" t="s">
        <v>2763</v>
      </c>
      <c r="C3739" s="5"/>
      <c r="D3739" s="5" t="s">
        <v>366</v>
      </c>
      <c r="E3739" s="5"/>
      <c r="G3739" s="5"/>
      <c r="H3739" s="5"/>
    </row>
    <row r="3740" spans="1:8" x14ac:dyDescent="0.2">
      <c r="A3740" s="5" t="s">
        <v>4227</v>
      </c>
      <c r="B3740" s="5" t="s">
        <v>4228</v>
      </c>
      <c r="C3740" s="8">
        <v>1</v>
      </c>
      <c r="D3740" s="5" t="s">
        <v>162</v>
      </c>
      <c r="E3740" s="5"/>
      <c r="G3740" s="5"/>
      <c r="H3740" s="5"/>
    </row>
    <row r="3741" spans="1:8" x14ac:dyDescent="0.2">
      <c r="A3741" s="5" t="s">
        <v>4229</v>
      </c>
      <c r="B3741" s="5" t="s">
        <v>4230</v>
      </c>
      <c r="C3741" s="8">
        <v>1</v>
      </c>
      <c r="D3741" s="5" t="s">
        <v>162</v>
      </c>
      <c r="E3741" s="5"/>
      <c r="G3741" s="5"/>
      <c r="H3741" s="5"/>
    </row>
    <row r="3742" spans="1:8" x14ac:dyDescent="0.2">
      <c r="A3742" s="5" t="s">
        <v>4231</v>
      </c>
      <c r="B3742" s="5" t="s">
        <v>4121</v>
      </c>
      <c r="C3742" s="8">
        <v>1</v>
      </c>
      <c r="D3742" s="5" t="s">
        <v>162</v>
      </c>
      <c r="E3742" s="5"/>
      <c r="G3742" s="5"/>
      <c r="H3742" s="5"/>
    </row>
    <row r="3743" spans="1:8" x14ac:dyDescent="0.2">
      <c r="A3743" s="5"/>
      <c r="B3743" s="5" t="s">
        <v>2766</v>
      </c>
      <c r="C3743" s="5"/>
      <c r="D3743" s="5" t="s">
        <v>366</v>
      </c>
      <c r="E3743" s="5"/>
      <c r="G3743" s="5"/>
      <c r="H3743" s="5"/>
    </row>
    <row r="3744" spans="1:8" x14ac:dyDescent="0.2">
      <c r="A3744" s="5" t="s">
        <v>4232</v>
      </c>
      <c r="B3744" s="5" t="s">
        <v>4127</v>
      </c>
      <c r="C3744" s="8">
        <v>1</v>
      </c>
      <c r="D3744" s="5" t="s">
        <v>162</v>
      </c>
      <c r="E3744" s="5"/>
      <c r="G3744" s="5"/>
      <c r="H3744" s="5"/>
    </row>
    <row r="3745" spans="1:8" x14ac:dyDescent="0.2">
      <c r="A3745" s="5" t="s">
        <v>4233</v>
      </c>
      <c r="B3745" s="5" t="s">
        <v>4234</v>
      </c>
      <c r="C3745" s="8">
        <v>2</v>
      </c>
      <c r="D3745" s="5" t="s">
        <v>162</v>
      </c>
      <c r="E3745" s="5"/>
      <c r="G3745" s="5"/>
      <c r="H3745" s="5"/>
    </row>
    <row r="3746" spans="1:8" x14ac:dyDescent="0.2">
      <c r="A3746" s="5" t="s">
        <v>4235</v>
      </c>
      <c r="B3746" s="5" t="s">
        <v>4236</v>
      </c>
      <c r="C3746" s="8">
        <v>1</v>
      </c>
      <c r="D3746" s="5" t="s">
        <v>162</v>
      </c>
      <c r="E3746" s="5"/>
      <c r="G3746" s="5"/>
      <c r="H3746" s="5"/>
    </row>
    <row r="3747" spans="1:8" x14ac:dyDescent="0.2">
      <c r="A3747" s="5"/>
      <c r="B3747" s="5" t="s">
        <v>44</v>
      </c>
      <c r="C3747" s="5"/>
      <c r="D3747" s="5" t="s">
        <v>322</v>
      </c>
      <c r="E3747" s="5"/>
      <c r="G3747" s="5"/>
      <c r="H3747" s="5"/>
    </row>
    <row r="3748" spans="1:8" x14ac:dyDescent="0.2">
      <c r="A3748" s="5"/>
      <c r="B3748" s="5" t="s">
        <v>2763</v>
      </c>
      <c r="C3748" s="5"/>
      <c r="D3748" s="5" t="s">
        <v>366</v>
      </c>
      <c r="E3748" s="5"/>
      <c r="G3748" s="5"/>
      <c r="H3748" s="5"/>
    </row>
    <row r="3749" spans="1:8" x14ac:dyDescent="0.2">
      <c r="A3749" s="5" t="s">
        <v>4237</v>
      </c>
      <c r="B3749" s="5" t="s">
        <v>4121</v>
      </c>
      <c r="C3749" s="8">
        <v>1</v>
      </c>
      <c r="D3749" s="5" t="s">
        <v>162</v>
      </c>
      <c r="E3749" s="5"/>
      <c r="G3749" s="5"/>
      <c r="H3749" s="5"/>
    </row>
    <row r="3750" spans="1:8" x14ac:dyDescent="0.2">
      <c r="A3750" s="5" t="s">
        <v>4238</v>
      </c>
      <c r="B3750" s="5" t="s">
        <v>4123</v>
      </c>
      <c r="C3750" s="8">
        <v>1</v>
      </c>
      <c r="D3750" s="5" t="s">
        <v>162</v>
      </c>
      <c r="E3750" s="5"/>
      <c r="G3750" s="5"/>
      <c r="H3750" s="5"/>
    </row>
    <row r="3751" spans="1:8" x14ac:dyDescent="0.2">
      <c r="A3751" s="5" t="s">
        <v>4239</v>
      </c>
      <c r="B3751" s="5" t="s">
        <v>4240</v>
      </c>
      <c r="C3751" s="8">
        <v>1</v>
      </c>
      <c r="D3751" s="5" t="s">
        <v>162</v>
      </c>
      <c r="E3751" s="5"/>
      <c r="G3751" s="5"/>
      <c r="H3751" s="5"/>
    </row>
    <row r="3752" spans="1:8" x14ac:dyDescent="0.2">
      <c r="A3752" s="5"/>
      <c r="B3752" s="5" t="s">
        <v>2766</v>
      </c>
      <c r="C3752" s="5"/>
      <c r="D3752" s="5" t="s">
        <v>366</v>
      </c>
      <c r="E3752" s="5"/>
      <c r="G3752" s="5"/>
      <c r="H3752" s="5"/>
    </row>
    <row r="3753" spans="1:8" x14ac:dyDescent="0.2">
      <c r="A3753" s="5" t="s">
        <v>4241</v>
      </c>
      <c r="B3753" s="5" t="s">
        <v>4127</v>
      </c>
      <c r="C3753" s="8">
        <v>3</v>
      </c>
      <c r="D3753" s="5" t="s">
        <v>162</v>
      </c>
      <c r="E3753" s="5"/>
      <c r="G3753" s="5"/>
      <c r="H3753" s="5"/>
    </row>
    <row r="3754" spans="1:8" x14ac:dyDescent="0.2">
      <c r="A3754" s="5" t="s">
        <v>4242</v>
      </c>
      <c r="B3754" s="5" t="s">
        <v>4243</v>
      </c>
      <c r="C3754" s="8">
        <v>2</v>
      </c>
      <c r="D3754" s="5" t="s">
        <v>162</v>
      </c>
      <c r="E3754" s="5"/>
      <c r="G3754" s="5"/>
      <c r="H3754" s="5"/>
    </row>
    <row r="3755" spans="1:8" x14ac:dyDescent="0.2">
      <c r="A3755" s="5" t="s">
        <v>4244</v>
      </c>
      <c r="B3755" s="5" t="s">
        <v>4245</v>
      </c>
      <c r="C3755" s="8">
        <v>1</v>
      </c>
      <c r="D3755" s="5" t="s">
        <v>162</v>
      </c>
      <c r="E3755" s="5"/>
      <c r="G3755" s="5"/>
      <c r="H3755" s="5"/>
    </row>
    <row r="3756" spans="1:8" x14ac:dyDescent="0.2">
      <c r="A3756" s="5" t="s">
        <v>4246</v>
      </c>
      <c r="B3756" s="5" t="s">
        <v>4143</v>
      </c>
      <c r="C3756" s="8">
        <v>2</v>
      </c>
      <c r="D3756" s="5" t="s">
        <v>162</v>
      </c>
      <c r="E3756" s="5"/>
      <c r="G3756" s="5"/>
      <c r="H3756" s="5"/>
    </row>
    <row r="3757" spans="1:8" x14ac:dyDescent="0.2">
      <c r="A3757" s="5" t="s">
        <v>4247</v>
      </c>
      <c r="B3757" s="5" t="s">
        <v>4248</v>
      </c>
      <c r="C3757" s="8">
        <v>1</v>
      </c>
      <c r="D3757" s="5" t="s">
        <v>162</v>
      </c>
      <c r="E3757" s="5"/>
      <c r="G3757" s="5"/>
      <c r="H3757" s="5"/>
    </row>
    <row r="3758" spans="1:8" x14ac:dyDescent="0.2">
      <c r="A3758" s="5"/>
      <c r="B3758" s="5" t="s">
        <v>46</v>
      </c>
      <c r="C3758" s="5"/>
      <c r="D3758" s="5" t="s">
        <v>322</v>
      </c>
      <c r="E3758" s="5"/>
      <c r="G3758" s="5"/>
      <c r="H3758" s="5"/>
    </row>
    <row r="3759" spans="1:8" x14ac:dyDescent="0.2">
      <c r="A3759" s="5"/>
      <c r="B3759" s="5" t="s">
        <v>2763</v>
      </c>
      <c r="C3759" s="5"/>
      <c r="D3759" s="5" t="s">
        <v>366</v>
      </c>
      <c r="E3759" s="5"/>
      <c r="G3759" s="5"/>
      <c r="H3759" s="5"/>
    </row>
    <row r="3760" spans="1:8" x14ac:dyDescent="0.2">
      <c r="A3760" s="5" t="s">
        <v>4249</v>
      </c>
      <c r="B3760" s="5" t="s">
        <v>4119</v>
      </c>
      <c r="C3760" s="8">
        <v>1</v>
      </c>
      <c r="D3760" s="5" t="s">
        <v>162</v>
      </c>
      <c r="E3760" s="5"/>
      <c r="G3760" s="5"/>
      <c r="H3760" s="5"/>
    </row>
    <row r="3761" spans="1:8" x14ac:dyDescent="0.2">
      <c r="A3761" s="5" t="s">
        <v>4250</v>
      </c>
      <c r="B3761" s="5" t="s">
        <v>4121</v>
      </c>
      <c r="C3761" s="8">
        <v>1</v>
      </c>
      <c r="D3761" s="5" t="s">
        <v>162</v>
      </c>
      <c r="E3761" s="5"/>
      <c r="G3761" s="5"/>
      <c r="H3761" s="5"/>
    </row>
    <row r="3762" spans="1:8" x14ac:dyDescent="0.2">
      <c r="A3762" s="5" t="s">
        <v>4251</v>
      </c>
      <c r="B3762" s="5" t="s">
        <v>4139</v>
      </c>
      <c r="C3762" s="8">
        <v>2</v>
      </c>
      <c r="D3762" s="5" t="s">
        <v>162</v>
      </c>
      <c r="E3762" s="5"/>
      <c r="G3762" s="5"/>
      <c r="H3762" s="5"/>
    </row>
    <row r="3763" spans="1:8" x14ac:dyDescent="0.2">
      <c r="A3763" s="5"/>
      <c r="B3763" s="5" t="s">
        <v>2766</v>
      </c>
      <c r="C3763" s="5"/>
      <c r="D3763" s="5" t="s">
        <v>366</v>
      </c>
      <c r="E3763" s="5"/>
      <c r="G3763" s="5"/>
      <c r="H3763" s="5"/>
    </row>
    <row r="3764" spans="1:8" x14ac:dyDescent="0.2">
      <c r="A3764" s="5" t="s">
        <v>4252</v>
      </c>
      <c r="B3764" s="5" t="s">
        <v>4127</v>
      </c>
      <c r="C3764" s="8">
        <v>5</v>
      </c>
      <c r="D3764" s="5" t="s">
        <v>162</v>
      </c>
      <c r="E3764" s="5"/>
      <c r="G3764" s="5"/>
      <c r="H3764" s="5"/>
    </row>
    <row r="3765" spans="1:8" x14ac:dyDescent="0.2">
      <c r="A3765" s="5" t="s">
        <v>4253</v>
      </c>
      <c r="B3765" s="5" t="s">
        <v>4243</v>
      </c>
      <c r="C3765" s="8">
        <v>2</v>
      </c>
      <c r="D3765" s="5" t="s">
        <v>162</v>
      </c>
      <c r="E3765" s="5"/>
      <c r="G3765" s="5"/>
      <c r="H3765" s="5"/>
    </row>
    <row r="3766" spans="1:8" x14ac:dyDescent="0.2">
      <c r="A3766" s="5" t="s">
        <v>4254</v>
      </c>
      <c r="B3766" s="5" t="s">
        <v>4245</v>
      </c>
      <c r="C3766" s="8">
        <v>1</v>
      </c>
      <c r="D3766" s="5" t="s">
        <v>162</v>
      </c>
      <c r="E3766" s="5"/>
      <c r="G3766" s="5"/>
      <c r="H3766" s="5"/>
    </row>
    <row r="3767" spans="1:8" x14ac:dyDescent="0.2">
      <c r="A3767" s="5" t="s">
        <v>4255</v>
      </c>
      <c r="B3767" s="5" t="s">
        <v>4143</v>
      </c>
      <c r="C3767" s="8">
        <v>2</v>
      </c>
      <c r="D3767" s="5" t="s">
        <v>162</v>
      </c>
      <c r="E3767" s="5"/>
      <c r="G3767" s="5"/>
      <c r="H3767" s="5"/>
    </row>
    <row r="3768" spans="1:8" x14ac:dyDescent="0.2">
      <c r="A3768" s="5" t="s">
        <v>4256</v>
      </c>
      <c r="B3768" s="5" t="s">
        <v>4248</v>
      </c>
      <c r="C3768" s="8">
        <v>1</v>
      </c>
      <c r="D3768" s="5" t="s">
        <v>162</v>
      </c>
      <c r="E3768" s="5"/>
      <c r="G3768" s="5"/>
      <c r="H3768" s="5"/>
    </row>
    <row r="3769" spans="1:8" x14ac:dyDescent="0.2">
      <c r="A3769" s="5"/>
      <c r="B3769" s="5" t="s">
        <v>48</v>
      </c>
      <c r="C3769" s="5"/>
      <c r="D3769" s="5" t="s">
        <v>322</v>
      </c>
      <c r="E3769" s="5"/>
      <c r="G3769" s="5"/>
      <c r="H3769" s="5"/>
    </row>
    <row r="3770" spans="1:8" x14ac:dyDescent="0.2">
      <c r="A3770" s="5"/>
      <c r="B3770" s="5" t="s">
        <v>2766</v>
      </c>
      <c r="C3770" s="5"/>
      <c r="D3770" s="5" t="s">
        <v>366</v>
      </c>
      <c r="E3770" s="5"/>
      <c r="G3770" s="5"/>
      <c r="H3770" s="5"/>
    </row>
    <row r="3771" spans="1:8" x14ac:dyDescent="0.2">
      <c r="A3771" s="5" t="s">
        <v>4257</v>
      </c>
      <c r="B3771" s="5" t="s">
        <v>4133</v>
      </c>
      <c r="C3771" s="8">
        <v>1</v>
      </c>
      <c r="D3771" s="5" t="s">
        <v>162</v>
      </c>
      <c r="E3771" s="5"/>
      <c r="G3771" s="5"/>
      <c r="H3771" s="5"/>
    </row>
    <row r="3772" spans="1:8" x14ac:dyDescent="0.2">
      <c r="A3772" s="5"/>
      <c r="B3772" s="5" t="s">
        <v>4147</v>
      </c>
      <c r="C3772" s="5"/>
      <c r="D3772" s="5" t="s">
        <v>15</v>
      </c>
      <c r="E3772" s="5"/>
      <c r="G3772" s="5"/>
      <c r="H3772" s="5"/>
    </row>
    <row r="3773" spans="1:8" x14ac:dyDescent="0.2">
      <c r="A3773" s="5"/>
      <c r="B3773" s="5" t="s">
        <v>41</v>
      </c>
      <c r="C3773" s="5"/>
      <c r="D3773" s="5" t="s">
        <v>322</v>
      </c>
      <c r="E3773" s="5"/>
      <c r="G3773" s="5"/>
      <c r="H3773" s="5"/>
    </row>
    <row r="3774" spans="1:8" x14ac:dyDescent="0.2">
      <c r="A3774" s="5" t="s">
        <v>4258</v>
      </c>
      <c r="B3774" s="5" t="s">
        <v>2876</v>
      </c>
      <c r="C3774" s="8">
        <v>15</v>
      </c>
      <c r="D3774" s="5" t="s">
        <v>155</v>
      </c>
      <c r="E3774" s="5"/>
      <c r="G3774" s="5"/>
      <c r="H3774" s="5"/>
    </row>
    <row r="3775" spans="1:8" x14ac:dyDescent="0.2">
      <c r="A3775" s="5"/>
      <c r="B3775" s="5" t="s">
        <v>44</v>
      </c>
      <c r="C3775" s="5"/>
      <c r="D3775" s="5" t="s">
        <v>322</v>
      </c>
      <c r="E3775" s="5"/>
      <c r="G3775" s="5"/>
      <c r="H3775" s="5"/>
    </row>
    <row r="3776" spans="1:8" x14ac:dyDescent="0.2">
      <c r="A3776" s="5" t="s">
        <v>4259</v>
      </c>
      <c r="B3776" s="5" t="s">
        <v>2876</v>
      </c>
      <c r="C3776" s="8">
        <v>3</v>
      </c>
      <c r="D3776" s="5" t="s">
        <v>155</v>
      </c>
      <c r="E3776" s="5"/>
      <c r="G3776" s="5"/>
      <c r="H3776" s="5"/>
    </row>
    <row r="3777" spans="1:9" x14ac:dyDescent="0.2">
      <c r="A3777" s="5" t="s">
        <v>4260</v>
      </c>
      <c r="B3777" s="5" t="s">
        <v>4150</v>
      </c>
      <c r="C3777" s="8">
        <v>5</v>
      </c>
      <c r="D3777" s="5" t="s">
        <v>42</v>
      </c>
      <c r="E3777" s="5"/>
      <c r="G3777" s="5"/>
      <c r="H3777" s="5"/>
    </row>
    <row r="3778" spans="1:9" x14ac:dyDescent="0.2">
      <c r="A3778" s="5" t="s">
        <v>4261</v>
      </c>
      <c r="B3778" s="5" t="s">
        <v>4262</v>
      </c>
      <c r="C3778" s="8">
        <v>54</v>
      </c>
      <c r="D3778" s="5" t="s">
        <v>42</v>
      </c>
      <c r="E3778" s="5"/>
      <c r="G3778" s="5"/>
      <c r="H3778" s="5"/>
    </row>
    <row r="3779" spans="1:9" x14ac:dyDescent="0.2">
      <c r="A3779" s="5"/>
      <c r="B3779" s="5" t="s">
        <v>46</v>
      </c>
      <c r="C3779" s="5"/>
      <c r="D3779" s="5" t="s">
        <v>322</v>
      </c>
      <c r="E3779" s="5"/>
      <c r="G3779" s="5"/>
      <c r="H3779" s="5"/>
    </row>
    <row r="3780" spans="1:9" x14ac:dyDescent="0.2">
      <c r="A3780" s="5" t="s">
        <v>4263</v>
      </c>
      <c r="B3780" s="5" t="s">
        <v>2876</v>
      </c>
      <c r="C3780" s="8">
        <v>4</v>
      </c>
      <c r="D3780" s="5" t="s">
        <v>155</v>
      </c>
      <c r="E3780" s="5"/>
      <c r="G3780" s="5"/>
      <c r="H3780" s="5"/>
    </row>
    <row r="3781" spans="1:9" x14ac:dyDescent="0.2">
      <c r="A3781" s="5" t="s">
        <v>4264</v>
      </c>
      <c r="B3781" s="5" t="s">
        <v>4150</v>
      </c>
      <c r="C3781" s="8">
        <v>5</v>
      </c>
      <c r="D3781" s="5" t="s">
        <v>42</v>
      </c>
      <c r="E3781" s="5"/>
      <c r="G3781" s="5"/>
      <c r="H3781" s="5"/>
    </row>
    <row r="3782" spans="1:9" x14ac:dyDescent="0.2">
      <c r="A3782" s="5" t="s">
        <v>4265</v>
      </c>
      <c r="B3782" s="5" t="s">
        <v>4262</v>
      </c>
      <c r="C3782" s="8">
        <v>50</v>
      </c>
      <c r="D3782" s="5" t="s">
        <v>42</v>
      </c>
      <c r="E3782" s="5"/>
      <c r="G3782" s="5"/>
      <c r="H3782" s="5"/>
    </row>
    <row r="3783" spans="1:9" x14ac:dyDescent="0.2">
      <c r="A3783" s="5"/>
      <c r="B3783" s="5" t="s">
        <v>48</v>
      </c>
      <c r="C3783" s="5"/>
      <c r="D3783" s="5" t="s">
        <v>322</v>
      </c>
      <c r="E3783" s="5"/>
      <c r="G3783" s="5"/>
      <c r="H3783" s="5"/>
    </row>
    <row r="3784" spans="1:9" x14ac:dyDescent="0.2">
      <c r="A3784" s="5" t="s">
        <v>4266</v>
      </c>
      <c r="B3784" s="5" t="s">
        <v>2876</v>
      </c>
      <c r="C3784" s="8">
        <v>4</v>
      </c>
      <c r="D3784" s="5" t="s">
        <v>155</v>
      </c>
      <c r="E3784" s="5"/>
      <c r="G3784" s="5"/>
      <c r="H3784" s="5"/>
    </row>
    <row r="3785" spans="1:9" x14ac:dyDescent="0.2">
      <c r="B3785" s="6" t="s">
        <v>4267</v>
      </c>
      <c r="C3785" s="6"/>
      <c r="D3785" s="6"/>
      <c r="E3785" s="6"/>
      <c r="F3785" s="9">
        <f>SUM(H3430:H3785)</f>
        <v>0</v>
      </c>
      <c r="G3785" s="6"/>
      <c r="I3785" s="9">
        <f>PRODUCT(F3785,G3785)</f>
        <v>0</v>
      </c>
    </row>
    <row r="3787" spans="1:9" x14ac:dyDescent="0.2">
      <c r="A3787" s="6" t="s">
        <v>4268</v>
      </c>
      <c r="B3787" s="6" t="s">
        <v>4269</v>
      </c>
    </row>
    <row r="3788" spans="1:9" x14ac:dyDescent="0.2">
      <c r="A3788" s="5"/>
      <c r="B3788" s="5" t="s">
        <v>64</v>
      </c>
      <c r="C3788" s="5"/>
      <c r="D3788" s="5" t="s">
        <v>13</v>
      </c>
      <c r="E3788" s="5"/>
      <c r="G3788" s="5"/>
      <c r="H3788" s="5"/>
    </row>
    <row r="3789" spans="1:9" x14ac:dyDescent="0.2">
      <c r="A3789" s="5" t="s">
        <v>4270</v>
      </c>
      <c r="B3789" s="5" t="s">
        <v>66</v>
      </c>
      <c r="C3789" s="5"/>
      <c r="D3789" s="5" t="s">
        <v>18</v>
      </c>
      <c r="E3789" s="5"/>
      <c r="G3789" s="5"/>
      <c r="H3789" s="5"/>
    </row>
    <row r="3790" spans="1:9" x14ac:dyDescent="0.2">
      <c r="A3790" s="5" t="s">
        <v>4271</v>
      </c>
      <c r="B3790" s="5" t="s">
        <v>68</v>
      </c>
      <c r="C3790" s="5"/>
      <c r="D3790" s="5" t="s">
        <v>18</v>
      </c>
      <c r="E3790" s="5"/>
      <c r="G3790" s="5"/>
      <c r="H3790" s="5"/>
    </row>
    <row r="3791" spans="1:9" x14ac:dyDescent="0.2">
      <c r="A3791" s="5"/>
      <c r="B3791" s="5" t="s">
        <v>71</v>
      </c>
      <c r="C3791" s="5"/>
      <c r="D3791" s="5" t="s">
        <v>13</v>
      </c>
      <c r="E3791" s="5"/>
      <c r="G3791" s="5"/>
      <c r="H3791" s="5"/>
    </row>
    <row r="3792" spans="1:9" x14ac:dyDescent="0.2">
      <c r="A3792" s="5" t="s">
        <v>4272</v>
      </c>
      <c r="B3792" s="5" t="s">
        <v>269</v>
      </c>
      <c r="C3792" s="5"/>
      <c r="D3792" s="5" t="s">
        <v>18</v>
      </c>
      <c r="E3792" s="5"/>
      <c r="G3792" s="5"/>
      <c r="H3792" s="5"/>
    </row>
    <row r="3793" spans="1:8" x14ac:dyDescent="0.2">
      <c r="A3793" s="5" t="s">
        <v>4273</v>
      </c>
      <c r="B3793" s="5" t="s">
        <v>4274</v>
      </c>
      <c r="C3793" s="5"/>
      <c r="D3793" s="5" t="s">
        <v>18</v>
      </c>
      <c r="E3793" s="5"/>
      <c r="G3793" s="5"/>
      <c r="H3793" s="5"/>
    </row>
    <row r="3794" spans="1:8" x14ac:dyDescent="0.2">
      <c r="A3794" s="5" t="s">
        <v>4275</v>
      </c>
      <c r="B3794" s="5" t="s">
        <v>4276</v>
      </c>
      <c r="C3794" s="5"/>
      <c r="D3794" s="5" t="s">
        <v>18</v>
      </c>
      <c r="E3794" s="5"/>
      <c r="G3794" s="5"/>
      <c r="H3794" s="5"/>
    </row>
    <row r="3795" spans="1:8" x14ac:dyDescent="0.2">
      <c r="A3795" s="5"/>
      <c r="B3795" s="5" t="s">
        <v>76</v>
      </c>
      <c r="C3795" s="5"/>
      <c r="D3795" s="5" t="s">
        <v>13</v>
      </c>
      <c r="E3795" s="5"/>
      <c r="G3795" s="5"/>
      <c r="H3795" s="5"/>
    </row>
    <row r="3796" spans="1:8" x14ac:dyDescent="0.2">
      <c r="A3796" s="5"/>
      <c r="B3796" s="5" t="s">
        <v>77</v>
      </c>
      <c r="C3796" s="5"/>
      <c r="D3796" s="5" t="s">
        <v>15</v>
      </c>
      <c r="E3796" s="5"/>
      <c r="G3796" s="5"/>
      <c r="H3796" s="5"/>
    </row>
    <row r="3797" spans="1:8" x14ac:dyDescent="0.2">
      <c r="A3797" s="5" t="s">
        <v>4277</v>
      </c>
      <c r="B3797" s="5" t="s">
        <v>3954</v>
      </c>
      <c r="C3797" s="5"/>
      <c r="D3797" s="5" t="s">
        <v>18</v>
      </c>
      <c r="E3797" s="5"/>
      <c r="G3797" s="5"/>
      <c r="H3797" s="5"/>
    </row>
    <row r="3798" spans="1:8" x14ac:dyDescent="0.2">
      <c r="A3798" s="5" t="s">
        <v>4278</v>
      </c>
      <c r="B3798" s="5" t="s">
        <v>3956</v>
      </c>
      <c r="C3798" s="5"/>
      <c r="D3798" s="5" t="s">
        <v>18</v>
      </c>
      <c r="E3798" s="5"/>
      <c r="G3798" s="5"/>
      <c r="H3798" s="5"/>
    </row>
    <row r="3799" spans="1:8" x14ac:dyDescent="0.2">
      <c r="A3799" s="5" t="s">
        <v>4279</v>
      </c>
      <c r="B3799" s="5" t="s">
        <v>2970</v>
      </c>
      <c r="C3799" s="5"/>
      <c r="D3799" s="5" t="s">
        <v>18</v>
      </c>
      <c r="E3799" s="5"/>
      <c r="G3799" s="5"/>
      <c r="H3799" s="5"/>
    </row>
    <row r="3800" spans="1:8" x14ac:dyDescent="0.2">
      <c r="A3800" s="5" t="s">
        <v>4280</v>
      </c>
      <c r="B3800" s="5" t="s">
        <v>4281</v>
      </c>
      <c r="C3800" s="5"/>
      <c r="D3800" s="5" t="s">
        <v>18</v>
      </c>
      <c r="E3800" s="5"/>
      <c r="G3800" s="5"/>
      <c r="H3800" s="5"/>
    </row>
    <row r="3801" spans="1:8" x14ac:dyDescent="0.2">
      <c r="A3801" s="5" t="s">
        <v>4282</v>
      </c>
      <c r="B3801" s="5" t="s">
        <v>4283</v>
      </c>
      <c r="C3801" s="5"/>
      <c r="D3801" s="5" t="s">
        <v>18</v>
      </c>
      <c r="E3801" s="5"/>
      <c r="G3801" s="5"/>
      <c r="H3801" s="5"/>
    </row>
    <row r="3802" spans="1:8" x14ac:dyDescent="0.2">
      <c r="A3802" s="5" t="s">
        <v>4284</v>
      </c>
      <c r="B3802" s="5" t="s">
        <v>4285</v>
      </c>
      <c r="C3802" s="5"/>
      <c r="D3802" s="5" t="s">
        <v>18</v>
      </c>
      <c r="E3802" s="5"/>
      <c r="G3802" s="5"/>
      <c r="H3802" s="5"/>
    </row>
    <row r="3803" spans="1:8" x14ac:dyDescent="0.2">
      <c r="A3803" s="5" t="s">
        <v>4286</v>
      </c>
      <c r="B3803" s="5" t="s">
        <v>4287</v>
      </c>
      <c r="C3803" s="5"/>
      <c r="D3803" s="5" t="s">
        <v>18</v>
      </c>
      <c r="E3803" s="5"/>
      <c r="G3803" s="5"/>
      <c r="H3803" s="5"/>
    </row>
    <row r="3804" spans="1:8" x14ac:dyDescent="0.2">
      <c r="A3804" s="5" t="s">
        <v>4288</v>
      </c>
      <c r="B3804" s="5" t="s">
        <v>2745</v>
      </c>
      <c r="C3804" s="5"/>
      <c r="D3804" s="5" t="s">
        <v>18</v>
      </c>
      <c r="E3804" s="5"/>
      <c r="G3804" s="5"/>
      <c r="H3804" s="5"/>
    </row>
    <row r="3805" spans="1:8" x14ac:dyDescent="0.2">
      <c r="A3805" s="5" t="s">
        <v>4289</v>
      </c>
      <c r="B3805" s="5" t="s">
        <v>299</v>
      </c>
      <c r="C3805" s="5"/>
      <c r="D3805" s="5" t="s">
        <v>18</v>
      </c>
      <c r="E3805" s="5"/>
      <c r="G3805" s="5"/>
      <c r="H3805" s="5"/>
    </row>
    <row r="3806" spans="1:8" x14ac:dyDescent="0.2">
      <c r="A3806" s="5"/>
      <c r="B3806" s="5" t="s">
        <v>94</v>
      </c>
      <c r="C3806" s="5"/>
      <c r="D3806" s="5" t="s">
        <v>13</v>
      </c>
      <c r="E3806" s="5"/>
      <c r="G3806" s="5"/>
      <c r="H3806" s="5"/>
    </row>
    <row r="3807" spans="1:8" x14ac:dyDescent="0.2">
      <c r="A3807" s="5" t="s">
        <v>4290</v>
      </c>
      <c r="B3807" s="5" t="s">
        <v>111</v>
      </c>
      <c r="C3807" s="8">
        <v>1</v>
      </c>
      <c r="D3807" s="5" t="s">
        <v>97</v>
      </c>
      <c r="E3807" s="5"/>
      <c r="G3807" s="5"/>
      <c r="H3807" s="5"/>
    </row>
    <row r="3808" spans="1:8" x14ac:dyDescent="0.2">
      <c r="A3808" s="5" t="s">
        <v>4291</v>
      </c>
      <c r="B3808" s="5" t="s">
        <v>3665</v>
      </c>
      <c r="C3808" s="8">
        <v>1</v>
      </c>
      <c r="D3808" s="5" t="s">
        <v>97</v>
      </c>
      <c r="E3808" s="5"/>
      <c r="G3808" s="5"/>
      <c r="H3808" s="5"/>
    </row>
    <row r="3809" spans="1:8" x14ac:dyDescent="0.2">
      <c r="A3809" s="5" t="s">
        <v>4292</v>
      </c>
      <c r="B3809" s="5" t="s">
        <v>4293</v>
      </c>
      <c r="C3809" s="8">
        <v>1</v>
      </c>
      <c r="D3809" s="5" t="s">
        <v>97</v>
      </c>
      <c r="E3809" s="5"/>
      <c r="G3809" s="5"/>
      <c r="H3809" s="5"/>
    </row>
    <row r="3810" spans="1:8" x14ac:dyDescent="0.2">
      <c r="A3810" s="5" t="s">
        <v>4294</v>
      </c>
      <c r="B3810" s="5" t="s">
        <v>4295</v>
      </c>
      <c r="C3810" s="8">
        <v>1</v>
      </c>
      <c r="D3810" s="5" t="s">
        <v>97</v>
      </c>
      <c r="E3810" s="5"/>
      <c r="G3810" s="5"/>
      <c r="H3810" s="5"/>
    </row>
    <row r="3811" spans="1:8" x14ac:dyDescent="0.2">
      <c r="A3811" s="5" t="s">
        <v>4296</v>
      </c>
      <c r="B3811" s="5" t="s">
        <v>2758</v>
      </c>
      <c r="C3811" s="8">
        <v>1</v>
      </c>
      <c r="D3811" s="5" t="s">
        <v>97</v>
      </c>
      <c r="E3811" s="5"/>
      <c r="G3811" s="5"/>
      <c r="H3811" s="5"/>
    </row>
    <row r="3812" spans="1:8" x14ac:dyDescent="0.2">
      <c r="A3812" s="5" t="s">
        <v>4297</v>
      </c>
      <c r="B3812" s="5" t="s">
        <v>2761</v>
      </c>
      <c r="C3812" s="8">
        <v>1</v>
      </c>
      <c r="D3812" s="5" t="s">
        <v>97</v>
      </c>
      <c r="E3812" s="5"/>
      <c r="G3812" s="5"/>
      <c r="H3812" s="5"/>
    </row>
    <row r="3813" spans="1:8" x14ac:dyDescent="0.2">
      <c r="A3813" s="5"/>
      <c r="B3813" s="5" t="s">
        <v>135</v>
      </c>
      <c r="C3813" s="5"/>
      <c r="D3813" s="5" t="s">
        <v>13</v>
      </c>
      <c r="E3813" s="5"/>
      <c r="G3813" s="5"/>
      <c r="H3813" s="5"/>
    </row>
    <row r="3814" spans="1:8" x14ac:dyDescent="0.2">
      <c r="A3814" s="5" t="s">
        <v>4298</v>
      </c>
      <c r="B3814" s="5" t="s">
        <v>4299</v>
      </c>
      <c r="C3814" s="5"/>
      <c r="D3814" s="5" t="s">
        <v>18</v>
      </c>
      <c r="E3814" s="5"/>
      <c r="G3814" s="5"/>
      <c r="H3814" s="5"/>
    </row>
    <row r="3815" spans="1:8" x14ac:dyDescent="0.2">
      <c r="A3815" s="5"/>
      <c r="B3815" s="5" t="s">
        <v>38</v>
      </c>
      <c r="C3815" s="5"/>
      <c r="D3815" s="5" t="s">
        <v>13</v>
      </c>
      <c r="E3815" s="5"/>
      <c r="G3815" s="5"/>
      <c r="H3815" s="5"/>
    </row>
    <row r="3816" spans="1:8" x14ac:dyDescent="0.2">
      <c r="A3816" s="5"/>
      <c r="B3816" s="5" t="s">
        <v>4300</v>
      </c>
      <c r="C3816" s="5"/>
      <c r="D3816" s="5" t="s">
        <v>15</v>
      </c>
      <c r="E3816" s="5"/>
      <c r="G3816" s="5"/>
      <c r="H3816" s="5"/>
    </row>
    <row r="3817" spans="1:8" x14ac:dyDescent="0.2">
      <c r="A3817" s="5"/>
      <c r="B3817" s="5" t="s">
        <v>3930</v>
      </c>
      <c r="C3817" s="5"/>
      <c r="D3817" s="5" t="s">
        <v>322</v>
      </c>
      <c r="E3817" s="5"/>
      <c r="G3817" s="5"/>
      <c r="H3817" s="5"/>
    </row>
    <row r="3818" spans="1:8" x14ac:dyDescent="0.2">
      <c r="A3818" s="5" t="s">
        <v>4301</v>
      </c>
      <c r="B3818" s="5" t="s">
        <v>4302</v>
      </c>
      <c r="C3818" s="8">
        <v>1</v>
      </c>
      <c r="D3818" s="5" t="s">
        <v>162</v>
      </c>
      <c r="E3818" s="5"/>
      <c r="G3818" s="5"/>
      <c r="H3818" s="5"/>
    </row>
    <row r="3819" spans="1:8" x14ac:dyDescent="0.2">
      <c r="A3819" s="5" t="s">
        <v>4303</v>
      </c>
      <c r="B3819" s="5" t="s">
        <v>4304</v>
      </c>
      <c r="C3819" s="8">
        <v>1</v>
      </c>
      <c r="D3819" s="5" t="s">
        <v>162</v>
      </c>
      <c r="E3819" s="5"/>
      <c r="G3819" s="5"/>
      <c r="H3819" s="5"/>
    </row>
    <row r="3820" spans="1:8" x14ac:dyDescent="0.2">
      <c r="A3820" s="5" t="s">
        <v>4305</v>
      </c>
      <c r="B3820" s="5" t="s">
        <v>4306</v>
      </c>
      <c r="C3820" s="8">
        <v>1</v>
      </c>
      <c r="D3820" s="5" t="s">
        <v>162</v>
      </c>
      <c r="E3820" s="5"/>
      <c r="G3820" s="5"/>
      <c r="H3820" s="5"/>
    </row>
    <row r="3821" spans="1:8" x14ac:dyDescent="0.2">
      <c r="A3821" s="5" t="s">
        <v>4307</v>
      </c>
      <c r="B3821" s="5" t="s">
        <v>4308</v>
      </c>
      <c r="C3821" s="8">
        <v>1</v>
      </c>
      <c r="D3821" s="5" t="s">
        <v>162</v>
      </c>
      <c r="E3821" s="5"/>
      <c r="G3821" s="5"/>
      <c r="H3821" s="5"/>
    </row>
    <row r="3822" spans="1:8" x14ac:dyDescent="0.2">
      <c r="A3822" s="5" t="s">
        <v>4309</v>
      </c>
      <c r="B3822" s="5" t="s">
        <v>4310</v>
      </c>
      <c r="C3822" s="8">
        <v>1</v>
      </c>
      <c r="D3822" s="5" t="s">
        <v>162</v>
      </c>
      <c r="E3822" s="5"/>
      <c r="G3822" s="5"/>
      <c r="H3822" s="5"/>
    </row>
    <row r="3823" spans="1:8" x14ac:dyDescent="0.2">
      <c r="A3823" s="5" t="s">
        <v>4311</v>
      </c>
      <c r="B3823" s="5" t="s">
        <v>4312</v>
      </c>
      <c r="C3823" s="8">
        <v>1</v>
      </c>
      <c r="D3823" s="5" t="s">
        <v>162</v>
      </c>
      <c r="E3823" s="5"/>
      <c r="G3823" s="5"/>
      <c r="H3823" s="5"/>
    </row>
    <row r="3824" spans="1:8" x14ac:dyDescent="0.2">
      <c r="A3824" s="5" t="s">
        <v>4313</v>
      </c>
      <c r="B3824" s="5" t="s">
        <v>4314</v>
      </c>
      <c r="C3824" s="8">
        <v>1</v>
      </c>
      <c r="D3824" s="5" t="s">
        <v>162</v>
      </c>
      <c r="E3824" s="5"/>
      <c r="G3824" s="5"/>
      <c r="H3824" s="5"/>
    </row>
    <row r="3825" spans="1:8" x14ac:dyDescent="0.2">
      <c r="A3825" s="5" t="s">
        <v>4315</v>
      </c>
      <c r="B3825" s="5" t="s">
        <v>4316</v>
      </c>
      <c r="C3825" s="8">
        <v>1</v>
      </c>
      <c r="D3825" s="5" t="s">
        <v>162</v>
      </c>
      <c r="E3825" s="5"/>
      <c r="G3825" s="5"/>
      <c r="H3825" s="5"/>
    </row>
    <row r="3826" spans="1:8" x14ac:dyDescent="0.2">
      <c r="A3826" s="5"/>
      <c r="B3826" s="5" t="s">
        <v>3932</v>
      </c>
      <c r="C3826" s="5"/>
      <c r="D3826" s="5" t="s">
        <v>322</v>
      </c>
      <c r="E3826" s="5"/>
      <c r="G3826" s="5"/>
      <c r="H3826" s="5"/>
    </row>
    <row r="3827" spans="1:8" x14ac:dyDescent="0.2">
      <c r="A3827" s="5" t="s">
        <v>4317</v>
      </c>
      <c r="B3827" s="5" t="s">
        <v>4318</v>
      </c>
      <c r="C3827" s="8">
        <v>1</v>
      </c>
      <c r="D3827" s="5" t="s">
        <v>162</v>
      </c>
      <c r="E3827" s="5"/>
      <c r="G3827" s="5"/>
      <c r="H3827" s="5"/>
    </row>
    <row r="3828" spans="1:8" x14ac:dyDescent="0.2">
      <c r="A3828" s="5" t="s">
        <v>4319</v>
      </c>
      <c r="B3828" s="5" t="s">
        <v>4320</v>
      </c>
      <c r="C3828" s="8">
        <v>1</v>
      </c>
      <c r="D3828" s="5" t="s">
        <v>162</v>
      </c>
      <c r="E3828" s="5"/>
      <c r="G3828" s="5"/>
      <c r="H3828" s="5"/>
    </row>
    <row r="3829" spans="1:8" x14ac:dyDescent="0.2">
      <c r="A3829" s="5" t="s">
        <v>4321</v>
      </c>
      <c r="B3829" s="5" t="s">
        <v>4322</v>
      </c>
      <c r="C3829" s="8">
        <v>1</v>
      </c>
      <c r="D3829" s="5" t="s">
        <v>162</v>
      </c>
      <c r="E3829" s="5"/>
      <c r="G3829" s="5"/>
      <c r="H3829" s="5"/>
    </row>
    <row r="3830" spans="1:8" x14ac:dyDescent="0.2">
      <c r="A3830" s="5" t="s">
        <v>4323</v>
      </c>
      <c r="B3830" s="5" t="s">
        <v>4324</v>
      </c>
      <c r="C3830" s="8">
        <v>1</v>
      </c>
      <c r="D3830" s="5" t="s">
        <v>162</v>
      </c>
      <c r="E3830" s="5"/>
      <c r="G3830" s="5"/>
      <c r="H3830" s="5"/>
    </row>
    <row r="3831" spans="1:8" x14ac:dyDescent="0.2">
      <c r="A3831" s="5" t="s">
        <v>4325</v>
      </c>
      <c r="B3831" s="5" t="s">
        <v>4326</v>
      </c>
      <c r="C3831" s="8">
        <v>1</v>
      </c>
      <c r="D3831" s="5" t="s">
        <v>162</v>
      </c>
      <c r="E3831" s="5"/>
      <c r="G3831" s="5"/>
      <c r="H3831" s="5"/>
    </row>
    <row r="3832" spans="1:8" x14ac:dyDescent="0.2">
      <c r="A3832" s="5" t="s">
        <v>4327</v>
      </c>
      <c r="B3832" s="5" t="s">
        <v>4328</v>
      </c>
      <c r="C3832" s="8">
        <v>1</v>
      </c>
      <c r="D3832" s="5" t="s">
        <v>162</v>
      </c>
      <c r="E3832" s="5"/>
      <c r="G3832" s="5"/>
      <c r="H3832" s="5"/>
    </row>
    <row r="3833" spans="1:8" x14ac:dyDescent="0.2">
      <c r="A3833" s="5" t="s">
        <v>4329</v>
      </c>
      <c r="B3833" s="5" t="s">
        <v>4330</v>
      </c>
      <c r="C3833" s="8">
        <v>1</v>
      </c>
      <c r="D3833" s="5" t="s">
        <v>162</v>
      </c>
      <c r="E3833" s="5"/>
      <c r="G3833" s="5"/>
      <c r="H3833" s="5"/>
    </row>
    <row r="3834" spans="1:8" x14ac:dyDescent="0.2">
      <c r="A3834" s="5" t="s">
        <v>4331</v>
      </c>
      <c r="B3834" s="5" t="s">
        <v>4332</v>
      </c>
      <c r="C3834" s="8">
        <v>2</v>
      </c>
      <c r="D3834" s="5" t="s">
        <v>162</v>
      </c>
      <c r="E3834" s="5"/>
      <c r="G3834" s="5"/>
      <c r="H3834" s="5"/>
    </row>
    <row r="3835" spans="1:8" x14ac:dyDescent="0.2">
      <c r="A3835" s="5" t="s">
        <v>4333</v>
      </c>
      <c r="B3835" s="5" t="s">
        <v>4334</v>
      </c>
      <c r="C3835" s="8">
        <v>2</v>
      </c>
      <c r="D3835" s="5" t="s">
        <v>162</v>
      </c>
      <c r="E3835" s="5"/>
      <c r="G3835" s="5"/>
      <c r="H3835" s="5"/>
    </row>
    <row r="3836" spans="1:8" x14ac:dyDescent="0.2">
      <c r="A3836" s="5" t="s">
        <v>4335</v>
      </c>
      <c r="B3836" s="5" t="s">
        <v>4336</v>
      </c>
      <c r="C3836" s="8">
        <v>1</v>
      </c>
      <c r="D3836" s="5" t="s">
        <v>162</v>
      </c>
      <c r="E3836" s="5"/>
      <c r="G3836" s="5"/>
      <c r="H3836" s="5"/>
    </row>
    <row r="3837" spans="1:8" x14ac:dyDescent="0.2">
      <c r="A3837" s="5" t="s">
        <v>4337</v>
      </c>
      <c r="B3837" s="5" t="s">
        <v>4338</v>
      </c>
      <c r="C3837" s="8">
        <v>1</v>
      </c>
      <c r="D3837" s="5" t="s">
        <v>162</v>
      </c>
      <c r="E3837" s="5"/>
      <c r="G3837" s="5"/>
      <c r="H3837" s="5"/>
    </row>
    <row r="3838" spans="1:8" x14ac:dyDescent="0.2">
      <c r="A3838" s="5" t="s">
        <v>4339</v>
      </c>
      <c r="B3838" s="5" t="s">
        <v>4340</v>
      </c>
      <c r="C3838" s="8">
        <v>1</v>
      </c>
      <c r="D3838" s="5" t="s">
        <v>162</v>
      </c>
      <c r="E3838" s="5"/>
      <c r="G3838" s="5"/>
      <c r="H3838" s="5"/>
    </row>
    <row r="3839" spans="1:8" x14ac:dyDescent="0.2">
      <c r="A3839" s="5" t="s">
        <v>4341</v>
      </c>
      <c r="B3839" s="5" t="s">
        <v>4342</v>
      </c>
      <c r="C3839" s="8">
        <v>1</v>
      </c>
      <c r="D3839" s="5" t="s">
        <v>162</v>
      </c>
      <c r="E3839" s="5"/>
      <c r="G3839" s="5"/>
      <c r="H3839" s="5"/>
    </row>
    <row r="3840" spans="1:8" x14ac:dyDescent="0.2">
      <c r="A3840" s="5" t="s">
        <v>4343</v>
      </c>
      <c r="B3840" s="5" t="s">
        <v>4344</v>
      </c>
      <c r="C3840" s="8">
        <v>1</v>
      </c>
      <c r="D3840" s="5" t="s">
        <v>162</v>
      </c>
      <c r="E3840" s="5"/>
      <c r="G3840" s="5"/>
      <c r="H3840" s="5"/>
    </row>
    <row r="3841" spans="1:8" x14ac:dyDescent="0.2">
      <c r="A3841" s="5" t="s">
        <v>4345</v>
      </c>
      <c r="B3841" s="5" t="s">
        <v>4346</v>
      </c>
      <c r="C3841" s="8">
        <v>1</v>
      </c>
      <c r="D3841" s="5" t="s">
        <v>162</v>
      </c>
      <c r="E3841" s="5"/>
      <c r="G3841" s="5"/>
      <c r="H3841" s="5"/>
    </row>
    <row r="3842" spans="1:8" x14ac:dyDescent="0.2">
      <c r="A3842" s="5" t="s">
        <v>4347</v>
      </c>
      <c r="B3842" s="5" t="s">
        <v>4348</v>
      </c>
      <c r="C3842" s="8">
        <v>1</v>
      </c>
      <c r="D3842" s="5" t="s">
        <v>162</v>
      </c>
      <c r="E3842" s="5"/>
      <c r="G3842" s="5"/>
      <c r="H3842" s="5"/>
    </row>
    <row r="3843" spans="1:8" x14ac:dyDescent="0.2">
      <c r="A3843" s="5" t="s">
        <v>4349</v>
      </c>
      <c r="B3843" s="5" t="s">
        <v>4350</v>
      </c>
      <c r="C3843" s="8">
        <v>1</v>
      </c>
      <c r="D3843" s="5" t="s">
        <v>162</v>
      </c>
      <c r="E3843" s="5"/>
      <c r="G3843" s="5"/>
      <c r="H3843" s="5"/>
    </row>
    <row r="3844" spans="1:8" x14ac:dyDescent="0.2">
      <c r="A3844" s="5" t="s">
        <v>4351</v>
      </c>
      <c r="B3844" s="5" t="s">
        <v>4352</v>
      </c>
      <c r="C3844" s="8">
        <v>1</v>
      </c>
      <c r="D3844" s="5" t="s">
        <v>162</v>
      </c>
      <c r="E3844" s="5"/>
      <c r="G3844" s="5"/>
      <c r="H3844" s="5"/>
    </row>
    <row r="3845" spans="1:8" x14ac:dyDescent="0.2">
      <c r="A3845" s="5"/>
      <c r="B3845" s="5" t="s">
        <v>2526</v>
      </c>
      <c r="C3845" s="5"/>
      <c r="D3845" s="5" t="s">
        <v>322</v>
      </c>
      <c r="E3845" s="5"/>
      <c r="G3845" s="5"/>
      <c r="H3845" s="5"/>
    </row>
    <row r="3846" spans="1:8" x14ac:dyDescent="0.2">
      <c r="A3846" s="5" t="s">
        <v>4353</v>
      </c>
      <c r="B3846" s="5" t="s">
        <v>4354</v>
      </c>
      <c r="C3846" s="8">
        <v>1</v>
      </c>
      <c r="D3846" s="5" t="s">
        <v>162</v>
      </c>
      <c r="E3846" s="5"/>
      <c r="G3846" s="5"/>
      <c r="H3846" s="5"/>
    </row>
    <row r="3847" spans="1:8" x14ac:dyDescent="0.2">
      <c r="A3847" s="5" t="s">
        <v>4355</v>
      </c>
      <c r="B3847" s="5" t="s">
        <v>4356</v>
      </c>
      <c r="C3847" s="8">
        <v>1</v>
      </c>
      <c r="D3847" s="5" t="s">
        <v>162</v>
      </c>
      <c r="E3847" s="5"/>
      <c r="G3847" s="5"/>
      <c r="H3847" s="5"/>
    </row>
    <row r="3848" spans="1:8" x14ac:dyDescent="0.2">
      <c r="A3848" s="5" t="s">
        <v>4357</v>
      </c>
      <c r="B3848" s="5" t="s">
        <v>4358</v>
      </c>
      <c r="C3848" s="8">
        <v>2</v>
      </c>
      <c r="D3848" s="5" t="s">
        <v>162</v>
      </c>
      <c r="E3848" s="5"/>
      <c r="G3848" s="5"/>
      <c r="H3848" s="5"/>
    </row>
    <row r="3849" spans="1:8" x14ac:dyDescent="0.2">
      <c r="A3849" s="5" t="s">
        <v>4359</v>
      </c>
      <c r="B3849" s="5" t="s">
        <v>4360</v>
      </c>
      <c r="C3849" s="8">
        <v>1</v>
      </c>
      <c r="D3849" s="5" t="s">
        <v>162</v>
      </c>
      <c r="E3849" s="5"/>
      <c r="G3849" s="5"/>
      <c r="H3849" s="5"/>
    </row>
    <row r="3850" spans="1:8" x14ac:dyDescent="0.2">
      <c r="A3850" s="5" t="s">
        <v>4361</v>
      </c>
      <c r="B3850" s="5" t="s">
        <v>4362</v>
      </c>
      <c r="C3850" s="8">
        <v>1</v>
      </c>
      <c r="D3850" s="5" t="s">
        <v>162</v>
      </c>
      <c r="E3850" s="5"/>
      <c r="G3850" s="5"/>
      <c r="H3850" s="5"/>
    </row>
    <row r="3851" spans="1:8" x14ac:dyDescent="0.2">
      <c r="A3851" s="5" t="s">
        <v>4363</v>
      </c>
      <c r="B3851" s="5" t="s">
        <v>4364</v>
      </c>
      <c r="C3851" s="8">
        <v>1</v>
      </c>
      <c r="D3851" s="5" t="s">
        <v>162</v>
      </c>
      <c r="E3851" s="5"/>
      <c r="G3851" s="5"/>
      <c r="H3851" s="5"/>
    </row>
    <row r="3852" spans="1:8" x14ac:dyDescent="0.2">
      <c r="A3852" s="5" t="s">
        <v>4365</v>
      </c>
      <c r="B3852" s="5" t="s">
        <v>4366</v>
      </c>
      <c r="C3852" s="8">
        <v>1</v>
      </c>
      <c r="D3852" s="5" t="s">
        <v>162</v>
      </c>
      <c r="E3852" s="5"/>
      <c r="G3852" s="5"/>
      <c r="H3852" s="5"/>
    </row>
    <row r="3853" spans="1:8" x14ac:dyDescent="0.2">
      <c r="A3853" s="5" t="s">
        <v>4367</v>
      </c>
      <c r="B3853" s="5" t="s">
        <v>4368</v>
      </c>
      <c r="C3853" s="8">
        <v>1</v>
      </c>
      <c r="D3853" s="5" t="s">
        <v>162</v>
      </c>
      <c r="E3853" s="5"/>
      <c r="G3853" s="5"/>
      <c r="H3853" s="5"/>
    </row>
    <row r="3854" spans="1:8" x14ac:dyDescent="0.2">
      <c r="A3854" s="5" t="s">
        <v>4369</v>
      </c>
      <c r="B3854" s="5" t="s">
        <v>4370</v>
      </c>
      <c r="C3854" s="8">
        <v>1</v>
      </c>
      <c r="D3854" s="5" t="s">
        <v>162</v>
      </c>
      <c r="E3854" s="5"/>
      <c r="G3854" s="5"/>
      <c r="H3854" s="5"/>
    </row>
    <row r="3855" spans="1:8" x14ac:dyDescent="0.2">
      <c r="A3855" s="5" t="s">
        <v>4371</v>
      </c>
      <c r="B3855" s="5" t="s">
        <v>4372</v>
      </c>
      <c r="C3855" s="8">
        <v>2</v>
      </c>
      <c r="D3855" s="5" t="s">
        <v>162</v>
      </c>
      <c r="E3855" s="5"/>
      <c r="G3855" s="5"/>
      <c r="H3855" s="5"/>
    </row>
    <row r="3856" spans="1:8" x14ac:dyDescent="0.2">
      <c r="A3856" s="5" t="s">
        <v>4373</v>
      </c>
      <c r="B3856" s="5" t="s">
        <v>4374</v>
      </c>
      <c r="C3856" s="8">
        <v>2</v>
      </c>
      <c r="D3856" s="5" t="s">
        <v>162</v>
      </c>
      <c r="E3856" s="5"/>
      <c r="G3856" s="5"/>
      <c r="H3856" s="5"/>
    </row>
    <row r="3857" spans="1:8" x14ac:dyDescent="0.2">
      <c r="A3857" s="5" t="s">
        <v>4375</v>
      </c>
      <c r="B3857" s="5" t="s">
        <v>4376</v>
      </c>
      <c r="C3857" s="8">
        <v>1</v>
      </c>
      <c r="D3857" s="5" t="s">
        <v>162</v>
      </c>
      <c r="E3857" s="5"/>
      <c r="G3857" s="5"/>
      <c r="H3857" s="5"/>
    </row>
    <row r="3858" spans="1:8" x14ac:dyDescent="0.2">
      <c r="A3858" s="5" t="s">
        <v>4377</v>
      </c>
      <c r="B3858" s="5" t="s">
        <v>4352</v>
      </c>
      <c r="C3858" s="8">
        <v>1</v>
      </c>
      <c r="D3858" s="5" t="s">
        <v>162</v>
      </c>
      <c r="E3858" s="5"/>
      <c r="G3858" s="5"/>
      <c r="H3858" s="5"/>
    </row>
    <row r="3859" spans="1:8" x14ac:dyDescent="0.2">
      <c r="A3859" s="5"/>
      <c r="B3859" s="5" t="s">
        <v>2559</v>
      </c>
      <c r="C3859" s="5"/>
      <c r="D3859" s="5" t="s">
        <v>322</v>
      </c>
      <c r="E3859" s="5"/>
      <c r="G3859" s="5"/>
      <c r="H3859" s="5"/>
    </row>
    <row r="3860" spans="1:8" x14ac:dyDescent="0.2">
      <c r="A3860" s="5" t="s">
        <v>4378</v>
      </c>
      <c r="B3860" s="5" t="s">
        <v>4379</v>
      </c>
      <c r="C3860" s="8">
        <v>1</v>
      </c>
      <c r="D3860" s="5" t="s">
        <v>162</v>
      </c>
      <c r="E3860" s="5"/>
      <c r="G3860" s="5"/>
      <c r="H3860" s="5"/>
    </row>
    <row r="3861" spans="1:8" x14ac:dyDescent="0.2">
      <c r="A3861" s="5" t="s">
        <v>4380</v>
      </c>
      <c r="B3861" s="5" t="s">
        <v>4381</v>
      </c>
      <c r="C3861" s="8">
        <v>1</v>
      </c>
      <c r="D3861" s="5" t="s">
        <v>162</v>
      </c>
      <c r="E3861" s="5"/>
      <c r="G3861" s="5"/>
      <c r="H3861" s="5"/>
    </row>
    <row r="3862" spans="1:8" x14ac:dyDescent="0.2">
      <c r="A3862" s="5" t="s">
        <v>4382</v>
      </c>
      <c r="B3862" s="5" t="s">
        <v>4383</v>
      </c>
      <c r="C3862" s="8">
        <v>1</v>
      </c>
      <c r="D3862" s="5" t="s">
        <v>162</v>
      </c>
      <c r="E3862" s="5"/>
      <c r="G3862" s="5"/>
      <c r="H3862" s="5"/>
    </row>
    <row r="3863" spans="1:8" x14ac:dyDescent="0.2">
      <c r="A3863" s="5"/>
      <c r="B3863" s="5" t="s">
        <v>4384</v>
      </c>
      <c r="C3863" s="5"/>
      <c r="D3863" s="5" t="s">
        <v>15</v>
      </c>
      <c r="E3863" s="5"/>
      <c r="G3863" s="5"/>
      <c r="H3863" s="5"/>
    </row>
    <row r="3864" spans="1:8" x14ac:dyDescent="0.2">
      <c r="A3864" s="5"/>
      <c r="B3864" s="5" t="s">
        <v>4385</v>
      </c>
      <c r="C3864" s="5"/>
      <c r="D3864" s="5" t="s">
        <v>322</v>
      </c>
      <c r="E3864" s="5"/>
      <c r="G3864" s="5"/>
      <c r="H3864" s="5"/>
    </row>
    <row r="3865" spans="1:8" x14ac:dyDescent="0.2">
      <c r="A3865" s="5" t="s">
        <v>4386</v>
      </c>
      <c r="B3865" s="5" t="s">
        <v>3932</v>
      </c>
      <c r="C3865" s="8">
        <v>49</v>
      </c>
      <c r="D3865" s="5" t="s">
        <v>42</v>
      </c>
      <c r="E3865" s="5"/>
      <c r="G3865" s="5"/>
      <c r="H3865" s="5"/>
    </row>
    <row r="3866" spans="1:8" x14ac:dyDescent="0.2">
      <c r="A3866" s="5" t="s">
        <v>4387</v>
      </c>
      <c r="B3866" s="5" t="s">
        <v>2526</v>
      </c>
      <c r="C3866" s="8">
        <v>35</v>
      </c>
      <c r="D3866" s="5" t="s">
        <v>42</v>
      </c>
      <c r="E3866" s="5"/>
      <c r="G3866" s="5"/>
      <c r="H3866" s="5"/>
    </row>
    <row r="3867" spans="1:8" x14ac:dyDescent="0.2">
      <c r="A3867" s="5" t="s">
        <v>4388</v>
      </c>
      <c r="B3867" s="5" t="s">
        <v>2559</v>
      </c>
      <c r="C3867" s="8">
        <v>31</v>
      </c>
      <c r="D3867" s="5" t="s">
        <v>42</v>
      </c>
      <c r="E3867" s="5"/>
      <c r="G3867" s="5"/>
      <c r="H3867" s="5"/>
    </row>
    <row r="3868" spans="1:8" x14ac:dyDescent="0.2">
      <c r="A3868" s="5"/>
      <c r="B3868" s="5" t="s">
        <v>4389</v>
      </c>
      <c r="C3868" s="5"/>
      <c r="D3868" s="5" t="s">
        <v>15</v>
      </c>
      <c r="E3868" s="5"/>
      <c r="G3868" s="5"/>
      <c r="H3868" s="5"/>
    </row>
    <row r="3869" spans="1:8" x14ac:dyDescent="0.2">
      <c r="A3869" s="5"/>
      <c r="B3869" s="5" t="s">
        <v>4390</v>
      </c>
      <c r="C3869" s="5"/>
      <c r="D3869" s="5" t="s">
        <v>322</v>
      </c>
      <c r="E3869" s="5"/>
      <c r="G3869" s="5"/>
      <c r="H3869" s="5"/>
    </row>
    <row r="3870" spans="1:8" x14ac:dyDescent="0.2">
      <c r="A3870" s="5" t="s">
        <v>4391</v>
      </c>
      <c r="B3870" s="5" t="s">
        <v>3932</v>
      </c>
      <c r="C3870" s="8">
        <v>80</v>
      </c>
      <c r="D3870" s="5" t="s">
        <v>42</v>
      </c>
      <c r="E3870" s="5"/>
      <c r="G3870" s="5"/>
      <c r="H3870" s="5"/>
    </row>
    <row r="3871" spans="1:8" x14ac:dyDescent="0.2">
      <c r="A3871" s="5" t="s">
        <v>4392</v>
      </c>
      <c r="B3871" s="5" t="s">
        <v>2526</v>
      </c>
      <c r="C3871" s="8">
        <v>42</v>
      </c>
      <c r="D3871" s="5" t="s">
        <v>42</v>
      </c>
      <c r="E3871" s="5"/>
      <c r="G3871" s="5"/>
      <c r="H3871" s="5"/>
    </row>
    <row r="3872" spans="1:8" x14ac:dyDescent="0.2">
      <c r="A3872" s="5"/>
      <c r="B3872" s="5" t="s">
        <v>4393</v>
      </c>
      <c r="C3872" s="5"/>
      <c r="D3872" s="5" t="s">
        <v>322</v>
      </c>
      <c r="E3872" s="5"/>
      <c r="G3872" s="5"/>
      <c r="H3872" s="5"/>
    </row>
    <row r="3873" spans="1:8" x14ac:dyDescent="0.2">
      <c r="A3873" s="5" t="s">
        <v>4394</v>
      </c>
      <c r="B3873" s="5" t="s">
        <v>2526</v>
      </c>
      <c r="C3873" s="8">
        <v>21</v>
      </c>
      <c r="D3873" s="5" t="s">
        <v>42</v>
      </c>
      <c r="E3873" s="5"/>
      <c r="G3873" s="5"/>
      <c r="H3873" s="5"/>
    </row>
    <row r="3874" spans="1:8" x14ac:dyDescent="0.2">
      <c r="A3874" s="5"/>
      <c r="B3874" s="5" t="s">
        <v>4395</v>
      </c>
      <c r="C3874" s="5"/>
      <c r="D3874" s="5" t="s">
        <v>322</v>
      </c>
      <c r="E3874" s="5"/>
      <c r="G3874" s="5"/>
      <c r="H3874" s="5"/>
    </row>
    <row r="3875" spans="1:8" x14ac:dyDescent="0.2">
      <c r="A3875" s="5" t="s">
        <v>4396</v>
      </c>
      <c r="B3875" s="5" t="s">
        <v>3932</v>
      </c>
      <c r="C3875" s="8">
        <v>21</v>
      </c>
      <c r="D3875" s="5" t="s">
        <v>42</v>
      </c>
      <c r="E3875" s="5"/>
      <c r="G3875" s="5"/>
      <c r="H3875" s="5"/>
    </row>
    <row r="3876" spans="1:8" x14ac:dyDescent="0.2">
      <c r="A3876" s="5"/>
      <c r="B3876" s="5" t="s">
        <v>4397</v>
      </c>
      <c r="C3876" s="5"/>
      <c r="D3876" s="5" t="s">
        <v>322</v>
      </c>
      <c r="E3876" s="5"/>
      <c r="G3876" s="5"/>
      <c r="H3876" s="5"/>
    </row>
    <row r="3877" spans="1:8" x14ac:dyDescent="0.2">
      <c r="A3877" s="5" t="s">
        <v>4398</v>
      </c>
      <c r="B3877" s="5" t="s">
        <v>3932</v>
      </c>
      <c r="C3877" s="8">
        <v>4</v>
      </c>
      <c r="D3877" s="5" t="s">
        <v>42</v>
      </c>
      <c r="E3877" s="5"/>
      <c r="G3877" s="5"/>
      <c r="H3877" s="5"/>
    </row>
    <row r="3878" spans="1:8" x14ac:dyDescent="0.2">
      <c r="A3878" s="5"/>
      <c r="B3878" s="5" t="s">
        <v>53</v>
      </c>
      <c r="C3878" s="5"/>
      <c r="D3878" s="5" t="s">
        <v>13</v>
      </c>
      <c r="E3878" s="5"/>
      <c r="G3878" s="5"/>
      <c r="H3878" s="5"/>
    </row>
    <row r="3879" spans="1:8" x14ac:dyDescent="0.2">
      <c r="A3879" s="5"/>
      <c r="B3879" s="5" t="s">
        <v>4300</v>
      </c>
      <c r="C3879" s="5"/>
      <c r="D3879" s="5" t="s">
        <v>15</v>
      </c>
      <c r="E3879" s="5"/>
      <c r="G3879" s="5"/>
      <c r="H3879" s="5"/>
    </row>
    <row r="3880" spans="1:8" x14ac:dyDescent="0.2">
      <c r="A3880" s="5"/>
      <c r="B3880" s="5" t="s">
        <v>3939</v>
      </c>
      <c r="C3880" s="5"/>
      <c r="D3880" s="5" t="s">
        <v>322</v>
      </c>
      <c r="E3880" s="5"/>
      <c r="G3880" s="5"/>
      <c r="H3880" s="5"/>
    </row>
    <row r="3881" spans="1:8" x14ac:dyDescent="0.2">
      <c r="A3881" s="5" t="s">
        <v>4399</v>
      </c>
      <c r="B3881" s="5" t="s">
        <v>4400</v>
      </c>
      <c r="C3881" s="8">
        <v>1</v>
      </c>
      <c r="D3881" s="5" t="s">
        <v>162</v>
      </c>
      <c r="E3881" s="5"/>
      <c r="G3881" s="5"/>
      <c r="H3881" s="5"/>
    </row>
    <row r="3882" spans="1:8" x14ac:dyDescent="0.2">
      <c r="A3882" s="5" t="s">
        <v>4401</v>
      </c>
      <c r="B3882" s="5" t="s">
        <v>4402</v>
      </c>
      <c r="C3882" s="8">
        <v>1</v>
      </c>
      <c r="D3882" s="5" t="s">
        <v>162</v>
      </c>
      <c r="E3882" s="5"/>
      <c r="G3882" s="5"/>
      <c r="H3882" s="5"/>
    </row>
    <row r="3883" spans="1:8" x14ac:dyDescent="0.2">
      <c r="A3883" s="5" t="s">
        <v>4403</v>
      </c>
      <c r="B3883" s="5" t="s">
        <v>4404</v>
      </c>
      <c r="C3883" s="8">
        <v>1</v>
      </c>
      <c r="D3883" s="5" t="s">
        <v>162</v>
      </c>
      <c r="E3883" s="5"/>
      <c r="G3883" s="5"/>
      <c r="H3883" s="5"/>
    </row>
    <row r="3884" spans="1:8" x14ac:dyDescent="0.2">
      <c r="A3884" s="5" t="s">
        <v>4405</v>
      </c>
      <c r="B3884" s="5" t="s">
        <v>4406</v>
      </c>
      <c r="C3884" s="8">
        <v>1</v>
      </c>
      <c r="D3884" s="5" t="s">
        <v>162</v>
      </c>
      <c r="E3884" s="5"/>
      <c r="G3884" s="5"/>
      <c r="H3884" s="5"/>
    </row>
    <row r="3885" spans="1:8" x14ac:dyDescent="0.2">
      <c r="A3885" s="5" t="s">
        <v>4407</v>
      </c>
      <c r="B3885" s="5" t="s">
        <v>4408</v>
      </c>
      <c r="C3885" s="8">
        <v>1</v>
      </c>
      <c r="D3885" s="5" t="s">
        <v>162</v>
      </c>
      <c r="E3885" s="5"/>
      <c r="G3885" s="5"/>
      <c r="H3885" s="5"/>
    </row>
    <row r="3886" spans="1:8" x14ac:dyDescent="0.2">
      <c r="A3886" s="5" t="s">
        <v>4409</v>
      </c>
      <c r="B3886" s="5" t="s">
        <v>4410</v>
      </c>
      <c r="C3886" s="8">
        <v>1</v>
      </c>
      <c r="D3886" s="5" t="s">
        <v>162</v>
      </c>
      <c r="E3886" s="5"/>
      <c r="G3886" s="5"/>
      <c r="H3886" s="5"/>
    </row>
    <row r="3887" spans="1:8" x14ac:dyDescent="0.2">
      <c r="A3887" s="5" t="s">
        <v>4411</v>
      </c>
      <c r="B3887" s="5" t="s">
        <v>4412</v>
      </c>
      <c r="C3887" s="8">
        <v>1</v>
      </c>
      <c r="D3887" s="5" t="s">
        <v>162</v>
      </c>
      <c r="E3887" s="5"/>
      <c r="G3887" s="5"/>
      <c r="H3887" s="5"/>
    </row>
    <row r="3888" spans="1:8" x14ac:dyDescent="0.2">
      <c r="A3888" s="5" t="s">
        <v>4413</v>
      </c>
      <c r="B3888" s="5" t="s">
        <v>4414</v>
      </c>
      <c r="C3888" s="8">
        <v>1</v>
      </c>
      <c r="D3888" s="5" t="s">
        <v>162</v>
      </c>
      <c r="E3888" s="5"/>
      <c r="G3888" s="5"/>
      <c r="H3888" s="5"/>
    </row>
    <row r="3889" spans="1:8" x14ac:dyDescent="0.2">
      <c r="A3889" s="5" t="s">
        <v>4415</v>
      </c>
      <c r="B3889" s="5" t="s">
        <v>4416</v>
      </c>
      <c r="C3889" s="8">
        <v>1</v>
      </c>
      <c r="D3889" s="5" t="s">
        <v>162</v>
      </c>
      <c r="E3889" s="5"/>
      <c r="G3889" s="5"/>
      <c r="H3889" s="5"/>
    </row>
    <row r="3890" spans="1:8" x14ac:dyDescent="0.2">
      <c r="A3890" s="5" t="s">
        <v>4417</v>
      </c>
      <c r="B3890" s="5" t="s">
        <v>4418</v>
      </c>
      <c r="C3890" s="8">
        <v>1</v>
      </c>
      <c r="D3890" s="5" t="s">
        <v>162</v>
      </c>
      <c r="E3890" s="5"/>
      <c r="G3890" s="5"/>
      <c r="H3890" s="5"/>
    </row>
    <row r="3891" spans="1:8" x14ac:dyDescent="0.2">
      <c r="A3891" s="5" t="s">
        <v>4419</v>
      </c>
      <c r="B3891" s="5" t="s">
        <v>4420</v>
      </c>
      <c r="C3891" s="8">
        <v>1</v>
      </c>
      <c r="D3891" s="5" t="s">
        <v>162</v>
      </c>
      <c r="E3891" s="5"/>
      <c r="G3891" s="5"/>
      <c r="H3891" s="5"/>
    </row>
    <row r="3892" spans="1:8" x14ac:dyDescent="0.2">
      <c r="A3892" s="5" t="s">
        <v>4421</v>
      </c>
      <c r="B3892" s="5" t="s">
        <v>4422</v>
      </c>
      <c r="C3892" s="8">
        <v>1</v>
      </c>
      <c r="D3892" s="5" t="s">
        <v>162</v>
      </c>
      <c r="E3892" s="5"/>
      <c r="G3892" s="5"/>
      <c r="H3892" s="5"/>
    </row>
    <row r="3893" spans="1:8" x14ac:dyDescent="0.2">
      <c r="A3893" s="5" t="s">
        <v>4423</v>
      </c>
      <c r="B3893" s="5" t="s">
        <v>4424</v>
      </c>
      <c r="C3893" s="8">
        <v>1</v>
      </c>
      <c r="D3893" s="5" t="s">
        <v>162</v>
      </c>
      <c r="E3893" s="5"/>
      <c r="G3893" s="5"/>
      <c r="H3893" s="5"/>
    </row>
    <row r="3894" spans="1:8" x14ac:dyDescent="0.2">
      <c r="A3894" s="5"/>
      <c r="B3894" s="5" t="s">
        <v>3941</v>
      </c>
      <c r="C3894" s="5"/>
      <c r="D3894" s="5" t="s">
        <v>322</v>
      </c>
      <c r="E3894" s="5"/>
      <c r="G3894" s="5"/>
      <c r="H3894" s="5"/>
    </row>
    <row r="3895" spans="1:8" x14ac:dyDescent="0.2">
      <c r="A3895" s="5" t="s">
        <v>4425</v>
      </c>
      <c r="B3895" s="5" t="s">
        <v>4426</v>
      </c>
      <c r="C3895" s="8">
        <v>1</v>
      </c>
      <c r="D3895" s="5" t="s">
        <v>162</v>
      </c>
      <c r="E3895" s="5"/>
      <c r="G3895" s="5"/>
      <c r="H3895" s="5"/>
    </row>
    <row r="3896" spans="1:8" x14ac:dyDescent="0.2">
      <c r="A3896" s="5" t="s">
        <v>4427</v>
      </c>
      <c r="B3896" s="5" t="s">
        <v>4428</v>
      </c>
      <c r="C3896" s="8">
        <v>1</v>
      </c>
      <c r="D3896" s="5" t="s">
        <v>162</v>
      </c>
      <c r="E3896" s="5"/>
      <c r="G3896" s="5"/>
      <c r="H3896" s="5"/>
    </row>
    <row r="3897" spans="1:8" x14ac:dyDescent="0.2">
      <c r="A3897" s="5" t="s">
        <v>4429</v>
      </c>
      <c r="B3897" s="5" t="s">
        <v>4430</v>
      </c>
      <c r="C3897" s="8">
        <v>4</v>
      </c>
      <c r="D3897" s="5" t="s">
        <v>162</v>
      </c>
      <c r="E3897" s="5"/>
      <c r="G3897" s="5"/>
      <c r="H3897" s="5"/>
    </row>
    <row r="3898" spans="1:8" x14ac:dyDescent="0.2">
      <c r="A3898" s="5" t="s">
        <v>4431</v>
      </c>
      <c r="B3898" s="5" t="s">
        <v>4432</v>
      </c>
      <c r="C3898" s="8">
        <v>4</v>
      </c>
      <c r="D3898" s="5" t="s">
        <v>162</v>
      </c>
      <c r="E3898" s="5"/>
      <c r="G3898" s="5"/>
      <c r="H3898" s="5"/>
    </row>
    <row r="3899" spans="1:8" x14ac:dyDescent="0.2">
      <c r="A3899" s="5" t="s">
        <v>4433</v>
      </c>
      <c r="B3899" s="5" t="s">
        <v>4434</v>
      </c>
      <c r="C3899" s="8">
        <v>8</v>
      </c>
      <c r="D3899" s="5" t="s">
        <v>162</v>
      </c>
      <c r="E3899" s="5"/>
      <c r="G3899" s="5"/>
      <c r="H3899" s="5"/>
    </row>
    <row r="3900" spans="1:8" x14ac:dyDescent="0.2">
      <c r="A3900" s="5" t="s">
        <v>4435</v>
      </c>
      <c r="B3900" s="5" t="s">
        <v>4436</v>
      </c>
      <c r="C3900" s="8">
        <v>1</v>
      </c>
      <c r="D3900" s="5" t="s">
        <v>162</v>
      </c>
      <c r="E3900" s="5"/>
      <c r="G3900" s="5"/>
      <c r="H3900" s="5"/>
    </row>
    <row r="3901" spans="1:8" x14ac:dyDescent="0.2">
      <c r="A3901" s="5" t="s">
        <v>4437</v>
      </c>
      <c r="B3901" s="5" t="s">
        <v>4438</v>
      </c>
      <c r="C3901" s="8">
        <v>2</v>
      </c>
      <c r="D3901" s="5" t="s">
        <v>162</v>
      </c>
      <c r="E3901" s="5"/>
      <c r="G3901" s="5"/>
      <c r="H3901" s="5"/>
    </row>
    <row r="3902" spans="1:8" x14ac:dyDescent="0.2">
      <c r="A3902" s="5" t="s">
        <v>4439</v>
      </c>
      <c r="B3902" s="5" t="s">
        <v>4440</v>
      </c>
      <c r="C3902" s="8">
        <v>1</v>
      </c>
      <c r="D3902" s="5" t="s">
        <v>162</v>
      </c>
      <c r="E3902" s="5"/>
      <c r="G3902" s="5"/>
      <c r="H3902" s="5"/>
    </row>
    <row r="3903" spans="1:8" x14ac:dyDescent="0.2">
      <c r="A3903" s="5" t="s">
        <v>4441</v>
      </c>
      <c r="B3903" s="5" t="s">
        <v>4442</v>
      </c>
      <c r="C3903" s="8">
        <v>1</v>
      </c>
      <c r="D3903" s="5" t="s">
        <v>162</v>
      </c>
      <c r="E3903" s="5"/>
      <c r="G3903" s="5"/>
      <c r="H3903" s="5"/>
    </row>
    <row r="3904" spans="1:8" x14ac:dyDescent="0.2">
      <c r="A3904" s="5" t="s">
        <v>4443</v>
      </c>
      <c r="B3904" s="5" t="s">
        <v>4444</v>
      </c>
      <c r="C3904" s="8">
        <v>1</v>
      </c>
      <c r="D3904" s="5" t="s">
        <v>162</v>
      </c>
      <c r="E3904" s="5"/>
      <c r="G3904" s="5"/>
      <c r="H3904" s="5"/>
    </row>
    <row r="3905" spans="1:8" x14ac:dyDescent="0.2">
      <c r="A3905" s="5" t="s">
        <v>4445</v>
      </c>
      <c r="B3905" s="5" t="s">
        <v>4446</v>
      </c>
      <c r="C3905" s="8">
        <v>1</v>
      </c>
      <c r="D3905" s="5" t="s">
        <v>162</v>
      </c>
      <c r="E3905" s="5"/>
      <c r="G3905" s="5"/>
      <c r="H3905" s="5"/>
    </row>
    <row r="3906" spans="1:8" x14ac:dyDescent="0.2">
      <c r="A3906" s="5" t="s">
        <v>4447</v>
      </c>
      <c r="B3906" s="5" t="s">
        <v>4448</v>
      </c>
      <c r="C3906" s="8">
        <v>1</v>
      </c>
      <c r="D3906" s="5" t="s">
        <v>162</v>
      </c>
      <c r="E3906" s="5"/>
      <c r="G3906" s="5"/>
      <c r="H3906" s="5"/>
    </row>
    <row r="3907" spans="1:8" x14ac:dyDescent="0.2">
      <c r="A3907" s="5" t="s">
        <v>4449</v>
      </c>
      <c r="B3907" s="5" t="s">
        <v>4450</v>
      </c>
      <c r="C3907" s="8">
        <v>1</v>
      </c>
      <c r="D3907" s="5" t="s">
        <v>162</v>
      </c>
      <c r="E3907" s="5"/>
      <c r="G3907" s="5"/>
      <c r="H3907" s="5"/>
    </row>
    <row r="3908" spans="1:8" x14ac:dyDescent="0.2">
      <c r="A3908" s="5"/>
      <c r="B3908" s="5" t="s">
        <v>2572</v>
      </c>
      <c r="C3908" s="5"/>
      <c r="D3908" s="5" t="s">
        <v>322</v>
      </c>
      <c r="E3908" s="5"/>
      <c r="G3908" s="5"/>
      <c r="H3908" s="5"/>
    </row>
    <row r="3909" spans="1:8" x14ac:dyDescent="0.2">
      <c r="A3909" s="5" t="s">
        <v>4451</v>
      </c>
      <c r="B3909" s="5" t="s">
        <v>4430</v>
      </c>
      <c r="C3909" s="8">
        <v>8</v>
      </c>
      <c r="D3909" s="5" t="s">
        <v>162</v>
      </c>
      <c r="E3909" s="5"/>
      <c r="G3909" s="5"/>
      <c r="H3909" s="5"/>
    </row>
    <row r="3910" spans="1:8" x14ac:dyDescent="0.2">
      <c r="A3910" s="5" t="s">
        <v>4452</v>
      </c>
      <c r="B3910" s="5" t="s">
        <v>4432</v>
      </c>
      <c r="C3910" s="8">
        <v>4</v>
      </c>
      <c r="D3910" s="5" t="s">
        <v>162</v>
      </c>
      <c r="E3910" s="5"/>
      <c r="G3910" s="5"/>
      <c r="H3910" s="5"/>
    </row>
    <row r="3911" spans="1:8" x14ac:dyDescent="0.2">
      <c r="A3911" s="5" t="s">
        <v>4453</v>
      </c>
      <c r="B3911" s="5" t="s">
        <v>4434</v>
      </c>
      <c r="C3911" s="8">
        <v>4</v>
      </c>
      <c r="D3911" s="5" t="s">
        <v>162</v>
      </c>
      <c r="E3911" s="5"/>
      <c r="G3911" s="5"/>
      <c r="H3911" s="5"/>
    </row>
    <row r="3912" spans="1:8" x14ac:dyDescent="0.2">
      <c r="A3912" s="5" t="s">
        <v>4454</v>
      </c>
      <c r="B3912" s="5" t="s">
        <v>4436</v>
      </c>
      <c r="C3912" s="8">
        <v>1</v>
      </c>
      <c r="D3912" s="5" t="s">
        <v>162</v>
      </c>
      <c r="E3912" s="5"/>
      <c r="G3912" s="5"/>
      <c r="H3912" s="5"/>
    </row>
    <row r="3913" spans="1:8" x14ac:dyDescent="0.2">
      <c r="A3913" s="5" t="s">
        <v>4455</v>
      </c>
      <c r="B3913" s="5" t="s">
        <v>4456</v>
      </c>
      <c r="C3913" s="8">
        <v>1</v>
      </c>
      <c r="D3913" s="5" t="s">
        <v>162</v>
      </c>
      <c r="E3913" s="5"/>
      <c r="G3913" s="5"/>
      <c r="H3913" s="5"/>
    </row>
    <row r="3914" spans="1:8" x14ac:dyDescent="0.2">
      <c r="A3914" s="5" t="s">
        <v>4457</v>
      </c>
      <c r="B3914" s="5" t="s">
        <v>4438</v>
      </c>
      <c r="C3914" s="8">
        <v>2</v>
      </c>
      <c r="D3914" s="5" t="s">
        <v>162</v>
      </c>
      <c r="E3914" s="5"/>
      <c r="G3914" s="5"/>
      <c r="H3914" s="5"/>
    </row>
    <row r="3915" spans="1:8" x14ac:dyDescent="0.2">
      <c r="A3915" s="5" t="s">
        <v>4458</v>
      </c>
      <c r="B3915" s="5" t="s">
        <v>4440</v>
      </c>
      <c r="C3915" s="8">
        <v>1</v>
      </c>
      <c r="D3915" s="5" t="s">
        <v>162</v>
      </c>
      <c r="E3915" s="5"/>
      <c r="G3915" s="5"/>
      <c r="H3915" s="5"/>
    </row>
    <row r="3916" spans="1:8" x14ac:dyDescent="0.2">
      <c r="A3916" s="5" t="s">
        <v>4459</v>
      </c>
      <c r="B3916" s="5" t="s">
        <v>4442</v>
      </c>
      <c r="C3916" s="8">
        <v>1</v>
      </c>
      <c r="D3916" s="5" t="s">
        <v>162</v>
      </c>
      <c r="E3916" s="5"/>
      <c r="G3916" s="5"/>
      <c r="H3916" s="5"/>
    </row>
    <row r="3917" spans="1:8" x14ac:dyDescent="0.2">
      <c r="A3917" s="5" t="s">
        <v>4460</v>
      </c>
      <c r="B3917" s="5" t="s">
        <v>4446</v>
      </c>
      <c r="C3917" s="8">
        <v>1</v>
      </c>
      <c r="D3917" s="5" t="s">
        <v>162</v>
      </c>
      <c r="E3917" s="5"/>
      <c r="G3917" s="5"/>
      <c r="H3917" s="5"/>
    </row>
    <row r="3918" spans="1:8" x14ac:dyDescent="0.2">
      <c r="A3918" s="5" t="s">
        <v>4461</v>
      </c>
      <c r="B3918" s="5" t="s">
        <v>4462</v>
      </c>
      <c r="C3918" s="8">
        <v>1</v>
      </c>
      <c r="D3918" s="5" t="s">
        <v>162</v>
      </c>
      <c r="E3918" s="5"/>
      <c r="G3918" s="5"/>
      <c r="H3918" s="5"/>
    </row>
    <row r="3919" spans="1:8" x14ac:dyDescent="0.2">
      <c r="A3919" s="5"/>
      <c r="B3919" s="5" t="s">
        <v>4389</v>
      </c>
      <c r="C3919" s="5"/>
      <c r="D3919" s="5" t="s">
        <v>15</v>
      </c>
      <c r="E3919" s="5"/>
      <c r="G3919" s="5"/>
      <c r="H3919" s="5"/>
    </row>
    <row r="3920" spans="1:8" x14ac:dyDescent="0.2">
      <c r="A3920" s="5"/>
      <c r="B3920" s="5" t="s">
        <v>4390</v>
      </c>
      <c r="C3920" s="5"/>
      <c r="D3920" s="5" t="s">
        <v>322</v>
      </c>
      <c r="E3920" s="5"/>
      <c r="G3920" s="5"/>
      <c r="H3920" s="5"/>
    </row>
    <row r="3921" spans="1:9" x14ac:dyDescent="0.2">
      <c r="A3921" s="5" t="s">
        <v>4463</v>
      </c>
      <c r="B3921" s="5" t="s">
        <v>3939</v>
      </c>
      <c r="C3921" s="8">
        <v>25</v>
      </c>
      <c r="D3921" s="5" t="s">
        <v>42</v>
      </c>
      <c r="E3921" s="5"/>
      <c r="G3921" s="5"/>
      <c r="H3921" s="5"/>
    </row>
    <row r="3922" spans="1:9" x14ac:dyDescent="0.2">
      <c r="A3922" s="5" t="s">
        <v>4464</v>
      </c>
      <c r="B3922" s="5" t="s">
        <v>3941</v>
      </c>
      <c r="C3922" s="8">
        <v>21</v>
      </c>
      <c r="D3922" s="5" t="s">
        <v>42</v>
      </c>
      <c r="E3922" s="5"/>
      <c r="G3922" s="5"/>
      <c r="H3922" s="5"/>
    </row>
    <row r="3923" spans="1:9" x14ac:dyDescent="0.2">
      <c r="A3923" s="5" t="s">
        <v>4465</v>
      </c>
      <c r="B3923" s="5" t="s">
        <v>2572</v>
      </c>
      <c r="C3923" s="8">
        <v>42</v>
      </c>
      <c r="D3923" s="5" t="s">
        <v>42</v>
      </c>
      <c r="E3923" s="5"/>
      <c r="G3923" s="5"/>
      <c r="H3923" s="5"/>
    </row>
    <row r="3924" spans="1:9" x14ac:dyDescent="0.2">
      <c r="A3924" s="5"/>
      <c r="B3924" s="5" t="s">
        <v>4466</v>
      </c>
      <c r="C3924" s="5"/>
      <c r="D3924" s="5" t="s">
        <v>322</v>
      </c>
      <c r="E3924" s="5"/>
      <c r="G3924" s="5"/>
      <c r="H3924" s="5"/>
    </row>
    <row r="3925" spans="1:9" x14ac:dyDescent="0.2">
      <c r="A3925" s="5" t="s">
        <v>4467</v>
      </c>
      <c r="B3925" s="5" t="s">
        <v>3941</v>
      </c>
      <c r="C3925" s="8">
        <v>25</v>
      </c>
      <c r="D3925" s="5" t="s">
        <v>42</v>
      </c>
      <c r="E3925" s="5"/>
      <c r="G3925" s="5"/>
      <c r="H3925" s="5"/>
    </row>
    <row r="3926" spans="1:9" x14ac:dyDescent="0.2">
      <c r="A3926" s="5"/>
      <c r="B3926" s="5" t="s">
        <v>4468</v>
      </c>
      <c r="C3926" s="5"/>
      <c r="D3926" s="5" t="s">
        <v>322</v>
      </c>
      <c r="E3926" s="5"/>
      <c r="G3926" s="5"/>
      <c r="H3926" s="5"/>
    </row>
    <row r="3927" spans="1:9" x14ac:dyDescent="0.2">
      <c r="A3927" s="5" t="s">
        <v>4469</v>
      </c>
      <c r="B3927" s="5" t="s">
        <v>3939</v>
      </c>
      <c r="C3927" s="8">
        <v>23</v>
      </c>
      <c r="D3927" s="5" t="s">
        <v>42</v>
      </c>
      <c r="E3927" s="5"/>
      <c r="G3927" s="5"/>
      <c r="H3927" s="5"/>
    </row>
    <row r="3928" spans="1:9" x14ac:dyDescent="0.2">
      <c r="A3928" s="5" t="s">
        <v>4470</v>
      </c>
      <c r="B3928" s="5" t="s">
        <v>3941</v>
      </c>
      <c r="C3928" s="8">
        <v>16</v>
      </c>
      <c r="D3928" s="5" t="s">
        <v>42</v>
      </c>
      <c r="E3928" s="5"/>
      <c r="G3928" s="5"/>
      <c r="H3928" s="5"/>
    </row>
    <row r="3929" spans="1:9" x14ac:dyDescent="0.2">
      <c r="A3929" s="5"/>
      <c r="B3929" s="5" t="s">
        <v>4471</v>
      </c>
      <c r="C3929" s="5"/>
      <c r="D3929" s="5" t="s">
        <v>322</v>
      </c>
      <c r="E3929" s="5"/>
      <c r="G3929" s="5"/>
      <c r="H3929" s="5"/>
    </row>
    <row r="3930" spans="1:9" x14ac:dyDescent="0.2">
      <c r="A3930" s="5" t="s">
        <v>4472</v>
      </c>
      <c r="B3930" s="5" t="s">
        <v>3939</v>
      </c>
      <c r="C3930" s="8">
        <v>16</v>
      </c>
      <c r="D3930" s="5" t="s">
        <v>155</v>
      </c>
      <c r="E3930" s="5"/>
      <c r="G3930" s="5"/>
      <c r="H3930" s="5"/>
    </row>
    <row r="3931" spans="1:9" x14ac:dyDescent="0.2">
      <c r="B3931" s="6" t="s">
        <v>4473</v>
      </c>
      <c r="C3931" s="6"/>
      <c r="D3931" s="6"/>
      <c r="E3931" s="6"/>
      <c r="F3931" s="9">
        <f>SUM(H3788:H3931)</f>
        <v>0</v>
      </c>
      <c r="G3931" s="6"/>
      <c r="I3931" s="9">
        <f>PRODUCT(F3931,G3931)</f>
        <v>0</v>
      </c>
    </row>
    <row r="3933" spans="1:9" x14ac:dyDescent="0.2">
      <c r="A3933" s="6" t="s">
        <v>4474</v>
      </c>
      <c r="B3933" s="6" t="s">
        <v>4475</v>
      </c>
    </row>
    <row r="3934" spans="1:9" x14ac:dyDescent="0.2">
      <c r="A3934" s="5"/>
      <c r="B3934" s="5" t="s">
        <v>64</v>
      </c>
      <c r="C3934" s="5"/>
      <c r="D3934" s="5" t="s">
        <v>13</v>
      </c>
      <c r="E3934" s="5"/>
      <c r="G3934" s="5"/>
      <c r="H3934" s="5"/>
    </row>
    <row r="3935" spans="1:9" x14ac:dyDescent="0.2">
      <c r="A3935" s="5" t="s">
        <v>4476</v>
      </c>
      <c r="B3935" s="5" t="s">
        <v>66</v>
      </c>
      <c r="C3935" s="5"/>
      <c r="D3935" s="5" t="s">
        <v>18</v>
      </c>
      <c r="E3935" s="5"/>
      <c r="G3935" s="5"/>
      <c r="H3935" s="5"/>
    </row>
    <row r="3936" spans="1:9" x14ac:dyDescent="0.2">
      <c r="A3936" s="5" t="s">
        <v>4477</v>
      </c>
      <c r="B3936" s="5" t="s">
        <v>68</v>
      </c>
      <c r="C3936" s="5"/>
      <c r="D3936" s="5" t="s">
        <v>18</v>
      </c>
      <c r="E3936" s="5"/>
      <c r="G3936" s="5"/>
      <c r="H3936" s="5"/>
    </row>
    <row r="3937" spans="1:8" x14ac:dyDescent="0.2">
      <c r="A3937" s="5"/>
      <c r="B3937" s="5" t="s">
        <v>71</v>
      </c>
      <c r="C3937" s="5"/>
      <c r="D3937" s="5" t="s">
        <v>13</v>
      </c>
      <c r="E3937" s="5"/>
      <c r="G3937" s="5"/>
      <c r="H3937" s="5"/>
    </row>
    <row r="3938" spans="1:8" x14ac:dyDescent="0.2">
      <c r="A3938" s="5" t="s">
        <v>4478</v>
      </c>
      <c r="B3938" s="5" t="s">
        <v>269</v>
      </c>
      <c r="C3938" s="5"/>
      <c r="D3938" s="5" t="s">
        <v>18</v>
      </c>
      <c r="E3938" s="5"/>
      <c r="G3938" s="5"/>
      <c r="H3938" s="5"/>
    </row>
    <row r="3939" spans="1:8" x14ac:dyDescent="0.2">
      <c r="A3939" s="5" t="s">
        <v>4479</v>
      </c>
      <c r="B3939" s="5" t="s">
        <v>4480</v>
      </c>
      <c r="C3939" s="5"/>
      <c r="D3939" s="5" t="s">
        <v>18</v>
      </c>
      <c r="E3939" s="5"/>
      <c r="G3939" s="5"/>
      <c r="H3939" s="5"/>
    </row>
    <row r="3940" spans="1:8" x14ac:dyDescent="0.2">
      <c r="A3940" s="5" t="s">
        <v>4481</v>
      </c>
      <c r="B3940" s="5" t="s">
        <v>4482</v>
      </c>
      <c r="C3940" s="5"/>
      <c r="D3940" s="5" t="s">
        <v>18</v>
      </c>
      <c r="E3940" s="5"/>
      <c r="G3940" s="5"/>
      <c r="H3940" s="5"/>
    </row>
    <row r="3941" spans="1:8" x14ac:dyDescent="0.2">
      <c r="A3941" s="5"/>
      <c r="B3941" s="5" t="s">
        <v>76</v>
      </c>
      <c r="C3941" s="5"/>
      <c r="D3941" s="5" t="s">
        <v>13</v>
      </c>
      <c r="E3941" s="5"/>
      <c r="G3941" s="5"/>
      <c r="H3941" s="5"/>
    </row>
    <row r="3942" spans="1:8" x14ac:dyDescent="0.2">
      <c r="A3942" s="5"/>
      <c r="B3942" s="5" t="s">
        <v>77</v>
      </c>
      <c r="C3942" s="5"/>
      <c r="D3942" s="5" t="s">
        <v>15</v>
      </c>
      <c r="E3942" s="5"/>
      <c r="G3942" s="5"/>
      <c r="H3942" s="5"/>
    </row>
    <row r="3943" spans="1:8" x14ac:dyDescent="0.2">
      <c r="A3943" s="5" t="s">
        <v>4483</v>
      </c>
      <c r="B3943" s="5" t="s">
        <v>2970</v>
      </c>
      <c r="C3943" s="5"/>
      <c r="D3943" s="5" t="s">
        <v>18</v>
      </c>
      <c r="E3943" s="5"/>
      <c r="G3943" s="5"/>
      <c r="H3943" s="5"/>
    </row>
    <row r="3944" spans="1:8" x14ac:dyDescent="0.2">
      <c r="A3944" s="5" t="s">
        <v>4484</v>
      </c>
      <c r="B3944" s="5" t="s">
        <v>299</v>
      </c>
      <c r="C3944" s="5"/>
      <c r="D3944" s="5" t="s">
        <v>18</v>
      </c>
      <c r="E3944" s="5"/>
      <c r="G3944" s="5"/>
      <c r="H3944" s="5"/>
    </row>
    <row r="3945" spans="1:8" x14ac:dyDescent="0.2">
      <c r="A3945" s="5"/>
      <c r="B3945" s="5" t="s">
        <v>94</v>
      </c>
      <c r="C3945" s="5"/>
      <c r="D3945" s="5" t="s">
        <v>13</v>
      </c>
      <c r="E3945" s="5"/>
      <c r="G3945" s="5"/>
      <c r="H3945" s="5"/>
    </row>
    <row r="3946" spans="1:8" x14ac:dyDescent="0.2">
      <c r="A3946" s="5" t="s">
        <v>4485</v>
      </c>
      <c r="B3946" s="5" t="s">
        <v>589</v>
      </c>
      <c r="C3946" s="8">
        <v>1</v>
      </c>
      <c r="D3946" s="5" t="s">
        <v>97</v>
      </c>
      <c r="E3946" s="5"/>
      <c r="G3946" s="5"/>
      <c r="H3946" s="5"/>
    </row>
    <row r="3947" spans="1:8" x14ac:dyDescent="0.2">
      <c r="A3947" s="5" t="s">
        <v>4486</v>
      </c>
      <c r="B3947" s="5" t="s">
        <v>111</v>
      </c>
      <c r="C3947" s="8">
        <v>1</v>
      </c>
      <c r="D3947" s="5" t="s">
        <v>97</v>
      </c>
      <c r="E3947" s="5"/>
      <c r="G3947" s="5"/>
      <c r="H3947" s="5"/>
    </row>
    <row r="3948" spans="1:8" x14ac:dyDescent="0.2">
      <c r="A3948" s="5" t="s">
        <v>4487</v>
      </c>
      <c r="B3948" s="5" t="s">
        <v>3969</v>
      </c>
      <c r="C3948" s="8">
        <v>1</v>
      </c>
      <c r="D3948" s="5" t="s">
        <v>97</v>
      </c>
      <c r="E3948" s="5"/>
      <c r="G3948" s="5"/>
      <c r="H3948" s="5"/>
    </row>
    <row r="3949" spans="1:8" x14ac:dyDescent="0.2">
      <c r="A3949" s="5" t="s">
        <v>4488</v>
      </c>
      <c r="B3949" s="5" t="s">
        <v>2761</v>
      </c>
      <c r="C3949" s="8">
        <v>1</v>
      </c>
      <c r="D3949" s="5" t="s">
        <v>97</v>
      </c>
      <c r="E3949" s="5"/>
      <c r="G3949" s="5"/>
      <c r="H3949" s="5"/>
    </row>
    <row r="3950" spans="1:8" x14ac:dyDescent="0.2">
      <c r="A3950" s="5"/>
      <c r="B3950" s="5" t="s">
        <v>135</v>
      </c>
      <c r="C3950" s="5"/>
      <c r="D3950" s="5" t="s">
        <v>13</v>
      </c>
      <c r="E3950" s="5"/>
      <c r="G3950" s="5"/>
      <c r="H3950" s="5"/>
    </row>
    <row r="3951" spans="1:8" x14ac:dyDescent="0.2">
      <c r="A3951" s="5" t="s">
        <v>4489</v>
      </c>
      <c r="B3951" s="5" t="s">
        <v>4490</v>
      </c>
      <c r="C3951" s="5"/>
      <c r="D3951" s="5" t="s">
        <v>18</v>
      </c>
      <c r="E3951" s="5"/>
      <c r="G3951" s="5"/>
      <c r="H3951" s="5"/>
    </row>
    <row r="3952" spans="1:8" x14ac:dyDescent="0.2">
      <c r="A3952" s="5"/>
      <c r="B3952" s="5" t="s">
        <v>38</v>
      </c>
      <c r="C3952" s="5"/>
      <c r="D3952" s="5" t="s">
        <v>13</v>
      </c>
      <c r="E3952" s="5"/>
      <c r="G3952" s="5"/>
      <c r="H3952" s="5"/>
    </row>
    <row r="3953" spans="1:9" x14ac:dyDescent="0.2">
      <c r="A3953" s="5"/>
      <c r="B3953" s="5" t="s">
        <v>4491</v>
      </c>
      <c r="C3953" s="5"/>
      <c r="D3953" s="5" t="s">
        <v>15</v>
      </c>
      <c r="E3953" s="5"/>
      <c r="G3953" s="5"/>
      <c r="H3953" s="5"/>
    </row>
    <row r="3954" spans="1:9" x14ac:dyDescent="0.2">
      <c r="A3954" s="5" t="s">
        <v>4492</v>
      </c>
      <c r="B3954" s="5" t="s">
        <v>4493</v>
      </c>
      <c r="C3954" s="8">
        <v>130</v>
      </c>
      <c r="D3954" s="5" t="s">
        <v>155</v>
      </c>
      <c r="E3954" s="5"/>
      <c r="G3954" s="5"/>
      <c r="H3954" s="5"/>
    </row>
    <row r="3955" spans="1:9" x14ac:dyDescent="0.2">
      <c r="A3955" s="5"/>
      <c r="B3955" s="5" t="s">
        <v>53</v>
      </c>
      <c r="C3955" s="5"/>
      <c r="D3955" s="5" t="s">
        <v>13</v>
      </c>
      <c r="E3955" s="5"/>
      <c r="G3955" s="5"/>
      <c r="H3955" s="5"/>
    </row>
    <row r="3956" spans="1:9" x14ac:dyDescent="0.2">
      <c r="A3956" s="5"/>
      <c r="B3956" s="5" t="s">
        <v>4491</v>
      </c>
      <c r="C3956" s="5"/>
      <c r="D3956" s="5" t="s">
        <v>15</v>
      </c>
      <c r="E3956" s="5"/>
      <c r="G3956" s="5"/>
      <c r="H3956" s="5"/>
    </row>
    <row r="3957" spans="1:9" x14ac:dyDescent="0.2">
      <c r="A3957" s="5" t="s">
        <v>4494</v>
      </c>
      <c r="B3957" s="5" t="s">
        <v>4493</v>
      </c>
      <c r="C3957" s="8">
        <v>101</v>
      </c>
      <c r="D3957" s="5" t="s">
        <v>155</v>
      </c>
      <c r="E3957" s="5"/>
      <c r="G3957" s="5"/>
      <c r="H3957" s="5"/>
    </row>
    <row r="3958" spans="1:9" x14ac:dyDescent="0.2">
      <c r="B3958" s="6" t="s">
        <v>4495</v>
      </c>
      <c r="C3958" s="6"/>
      <c r="D3958" s="6"/>
      <c r="E3958" s="6"/>
      <c r="F3958" s="9">
        <f>SUM(H3934:H3958)</f>
        <v>0</v>
      </c>
      <c r="G3958" s="6"/>
      <c r="I3958" s="9">
        <f>PRODUCT(F3958,G3958)</f>
        <v>0</v>
      </c>
    </row>
    <row r="3960" spans="1:9" x14ac:dyDescent="0.2">
      <c r="A3960" s="6" t="s">
        <v>4496</v>
      </c>
      <c r="B3960" s="6" t="s">
        <v>4497</v>
      </c>
    </row>
    <row r="3961" spans="1:9" x14ac:dyDescent="0.2">
      <c r="A3961" s="5"/>
      <c r="B3961" s="5" t="s">
        <v>64</v>
      </c>
      <c r="C3961" s="5"/>
      <c r="D3961" s="5" t="s">
        <v>13</v>
      </c>
      <c r="E3961" s="5"/>
      <c r="G3961" s="5"/>
      <c r="H3961" s="5"/>
    </row>
    <row r="3962" spans="1:9" x14ac:dyDescent="0.2">
      <c r="A3962" s="5" t="s">
        <v>4498</v>
      </c>
      <c r="B3962" s="5" t="s">
        <v>66</v>
      </c>
      <c r="C3962" s="5"/>
      <c r="D3962" s="5" t="s">
        <v>18</v>
      </c>
      <c r="E3962" s="5"/>
      <c r="G3962" s="5"/>
      <c r="H3962" s="5"/>
    </row>
    <row r="3963" spans="1:9" x14ac:dyDescent="0.2">
      <c r="A3963" s="5" t="s">
        <v>4499</v>
      </c>
      <c r="B3963" s="5" t="s">
        <v>68</v>
      </c>
      <c r="C3963" s="5"/>
      <c r="D3963" s="5" t="s">
        <v>18</v>
      </c>
      <c r="E3963" s="5"/>
      <c r="G3963" s="5"/>
      <c r="H3963" s="5"/>
    </row>
    <row r="3964" spans="1:9" x14ac:dyDescent="0.2">
      <c r="A3964" s="5"/>
      <c r="B3964" s="5" t="s">
        <v>71</v>
      </c>
      <c r="C3964" s="5"/>
      <c r="D3964" s="5" t="s">
        <v>13</v>
      </c>
      <c r="E3964" s="5"/>
      <c r="G3964" s="5"/>
      <c r="H3964" s="5"/>
    </row>
    <row r="3965" spans="1:9" x14ac:dyDescent="0.2">
      <c r="A3965" s="5" t="s">
        <v>4500</v>
      </c>
      <c r="B3965" s="5" t="s">
        <v>4501</v>
      </c>
      <c r="C3965" s="5"/>
      <c r="D3965" s="5" t="s">
        <v>18</v>
      </c>
      <c r="E3965" s="5"/>
      <c r="G3965" s="5"/>
      <c r="H3965" s="5"/>
    </row>
    <row r="3966" spans="1:9" x14ac:dyDescent="0.2">
      <c r="A3966" s="5" t="s">
        <v>4502</v>
      </c>
      <c r="B3966" s="5" t="s">
        <v>269</v>
      </c>
      <c r="C3966" s="5"/>
      <c r="D3966" s="5" t="s">
        <v>18</v>
      </c>
      <c r="E3966" s="5"/>
      <c r="G3966" s="5"/>
      <c r="H3966" s="5"/>
    </row>
    <row r="3967" spans="1:9" x14ac:dyDescent="0.2">
      <c r="A3967" s="5" t="s">
        <v>4503</v>
      </c>
      <c r="B3967" s="5" t="s">
        <v>4504</v>
      </c>
      <c r="C3967" s="5"/>
      <c r="D3967" s="5" t="s">
        <v>18</v>
      </c>
      <c r="E3967" s="5"/>
      <c r="G3967" s="5"/>
      <c r="H3967" s="5"/>
    </row>
    <row r="3968" spans="1:9" x14ac:dyDescent="0.2">
      <c r="A3968" s="5" t="s">
        <v>4505</v>
      </c>
      <c r="B3968" s="5" t="s">
        <v>4506</v>
      </c>
      <c r="C3968" s="5"/>
      <c r="D3968" s="5" t="s">
        <v>18</v>
      </c>
      <c r="E3968" s="5"/>
      <c r="G3968" s="5"/>
      <c r="H3968" s="5"/>
    </row>
    <row r="3969" spans="1:8" x14ac:dyDescent="0.2">
      <c r="A3969" s="5"/>
      <c r="B3969" s="5" t="s">
        <v>76</v>
      </c>
      <c r="C3969" s="5"/>
      <c r="D3969" s="5" t="s">
        <v>13</v>
      </c>
      <c r="E3969" s="5"/>
      <c r="G3969" s="5"/>
      <c r="H3969" s="5"/>
    </row>
    <row r="3970" spans="1:8" x14ac:dyDescent="0.2">
      <c r="A3970" s="5"/>
      <c r="B3970" s="5" t="s">
        <v>77</v>
      </c>
      <c r="C3970" s="5"/>
      <c r="D3970" s="5" t="s">
        <v>15</v>
      </c>
      <c r="E3970" s="5"/>
      <c r="G3970" s="5"/>
      <c r="H3970" s="5"/>
    </row>
    <row r="3971" spans="1:8" x14ac:dyDescent="0.2">
      <c r="A3971" s="5" t="s">
        <v>4507</v>
      </c>
      <c r="B3971" s="5" t="s">
        <v>2284</v>
      </c>
      <c r="C3971" s="5"/>
      <c r="D3971" s="5" t="s">
        <v>18</v>
      </c>
      <c r="E3971" s="5"/>
      <c r="G3971" s="5"/>
      <c r="H3971" s="5"/>
    </row>
    <row r="3972" spans="1:8" x14ac:dyDescent="0.2">
      <c r="A3972" s="5" t="s">
        <v>4508</v>
      </c>
      <c r="B3972" s="5" t="s">
        <v>2286</v>
      </c>
      <c r="C3972" s="5"/>
      <c r="D3972" s="5" t="s">
        <v>18</v>
      </c>
      <c r="E3972" s="5"/>
      <c r="G3972" s="5"/>
      <c r="H3972" s="5"/>
    </row>
    <row r="3973" spans="1:8" x14ac:dyDescent="0.2">
      <c r="A3973" s="5" t="s">
        <v>4509</v>
      </c>
      <c r="B3973" s="5" t="s">
        <v>4510</v>
      </c>
      <c r="C3973" s="5"/>
      <c r="D3973" s="5" t="s">
        <v>18</v>
      </c>
      <c r="E3973" s="5"/>
      <c r="G3973" s="5"/>
      <c r="H3973" s="5"/>
    </row>
    <row r="3974" spans="1:8" x14ac:dyDescent="0.2">
      <c r="A3974" s="5" t="s">
        <v>4511</v>
      </c>
      <c r="B3974" s="5" t="s">
        <v>2745</v>
      </c>
      <c r="C3974" s="5"/>
      <c r="D3974" s="5" t="s">
        <v>18</v>
      </c>
      <c r="E3974" s="5"/>
      <c r="G3974" s="5"/>
      <c r="H3974" s="5"/>
    </row>
    <row r="3975" spans="1:8" x14ac:dyDescent="0.2">
      <c r="A3975" s="5" t="s">
        <v>4512</v>
      </c>
      <c r="B3975" s="5" t="s">
        <v>2294</v>
      </c>
      <c r="C3975" s="5"/>
      <c r="D3975" s="5" t="s">
        <v>18</v>
      </c>
      <c r="E3975" s="5"/>
      <c r="G3975" s="5"/>
      <c r="H3975" s="5"/>
    </row>
    <row r="3976" spans="1:8" x14ac:dyDescent="0.2">
      <c r="A3976" s="5" t="s">
        <v>4513</v>
      </c>
      <c r="B3976" s="5" t="s">
        <v>299</v>
      </c>
      <c r="C3976" s="5"/>
      <c r="D3976" s="5" t="s">
        <v>18</v>
      </c>
      <c r="E3976" s="5"/>
      <c r="G3976" s="5"/>
      <c r="H3976" s="5"/>
    </row>
    <row r="3977" spans="1:8" x14ac:dyDescent="0.2">
      <c r="A3977" s="5" t="s">
        <v>4514</v>
      </c>
      <c r="B3977" s="5" t="s">
        <v>3308</v>
      </c>
      <c r="C3977" s="5"/>
      <c r="D3977" s="5" t="s">
        <v>18</v>
      </c>
      <c r="E3977" s="5"/>
      <c r="G3977" s="5"/>
      <c r="H3977" s="5"/>
    </row>
    <row r="3978" spans="1:8" x14ac:dyDescent="0.2">
      <c r="A3978" s="5"/>
      <c r="B3978" s="5" t="s">
        <v>94</v>
      </c>
      <c r="C3978" s="5"/>
      <c r="D3978" s="5" t="s">
        <v>13</v>
      </c>
      <c r="E3978" s="5"/>
      <c r="G3978" s="5"/>
      <c r="H3978" s="5"/>
    </row>
    <row r="3979" spans="1:8" x14ac:dyDescent="0.2">
      <c r="A3979" s="5" t="s">
        <v>4515</v>
      </c>
      <c r="B3979" s="5" t="s">
        <v>2299</v>
      </c>
      <c r="C3979" s="8">
        <v>1</v>
      </c>
      <c r="D3979" s="5" t="s">
        <v>97</v>
      </c>
      <c r="E3979" s="5"/>
      <c r="G3979" s="5"/>
      <c r="H3979" s="5"/>
    </row>
    <row r="3980" spans="1:8" x14ac:dyDescent="0.2">
      <c r="A3980" s="5" t="s">
        <v>4516</v>
      </c>
      <c r="B3980" s="5" t="s">
        <v>2750</v>
      </c>
      <c r="C3980" s="8">
        <v>1</v>
      </c>
      <c r="D3980" s="5" t="s">
        <v>97</v>
      </c>
      <c r="E3980" s="5"/>
      <c r="G3980" s="5"/>
      <c r="H3980" s="5"/>
    </row>
    <row r="3981" spans="1:8" x14ac:dyDescent="0.2">
      <c r="A3981" s="5" t="s">
        <v>4517</v>
      </c>
      <c r="B3981" s="5" t="s">
        <v>4518</v>
      </c>
      <c r="C3981" s="8">
        <v>1</v>
      </c>
      <c r="D3981" s="5" t="s">
        <v>97</v>
      </c>
      <c r="E3981" s="5"/>
      <c r="G3981" s="5"/>
      <c r="H3981" s="5"/>
    </row>
    <row r="3982" spans="1:8" x14ac:dyDescent="0.2">
      <c r="A3982" s="5" t="s">
        <v>4519</v>
      </c>
      <c r="B3982" s="5" t="s">
        <v>2758</v>
      </c>
      <c r="C3982" s="8">
        <v>1</v>
      </c>
      <c r="D3982" s="5" t="s">
        <v>97</v>
      </c>
      <c r="E3982" s="5"/>
      <c r="G3982" s="5"/>
      <c r="H3982" s="5"/>
    </row>
    <row r="3983" spans="1:8" x14ac:dyDescent="0.2">
      <c r="A3983" s="5" t="s">
        <v>4520</v>
      </c>
      <c r="B3983" s="5" t="s">
        <v>111</v>
      </c>
      <c r="C3983" s="8">
        <v>1</v>
      </c>
      <c r="D3983" s="5" t="s">
        <v>97</v>
      </c>
      <c r="E3983" s="5"/>
      <c r="G3983" s="5"/>
      <c r="H3983" s="5"/>
    </row>
    <row r="3984" spans="1:8" x14ac:dyDescent="0.2">
      <c r="A3984" s="5" t="s">
        <v>4521</v>
      </c>
      <c r="B3984" s="5" t="s">
        <v>2761</v>
      </c>
      <c r="C3984" s="8">
        <v>1</v>
      </c>
      <c r="D3984" s="5" t="s">
        <v>97</v>
      </c>
      <c r="E3984" s="5"/>
      <c r="G3984" s="5"/>
      <c r="H3984" s="5"/>
    </row>
    <row r="3985" spans="1:8" x14ac:dyDescent="0.2">
      <c r="A3985" s="5"/>
      <c r="B3985" s="5" t="s">
        <v>135</v>
      </c>
      <c r="C3985" s="5"/>
      <c r="D3985" s="5" t="s">
        <v>13</v>
      </c>
      <c r="E3985" s="5"/>
      <c r="G3985" s="5"/>
      <c r="H3985" s="5"/>
    </row>
    <row r="3986" spans="1:8" x14ac:dyDescent="0.2">
      <c r="A3986" s="5" t="s">
        <v>4522</v>
      </c>
      <c r="B3986" s="5" t="s">
        <v>4523</v>
      </c>
      <c r="C3986" s="5"/>
      <c r="D3986" s="5" t="s">
        <v>18</v>
      </c>
      <c r="E3986" s="5"/>
      <c r="G3986" s="5"/>
      <c r="H3986" s="5"/>
    </row>
    <row r="3987" spans="1:8" x14ac:dyDescent="0.2">
      <c r="A3987" s="5"/>
      <c r="B3987" s="5" t="s">
        <v>38</v>
      </c>
      <c r="C3987" s="5"/>
      <c r="D3987" s="5" t="s">
        <v>13</v>
      </c>
      <c r="E3987" s="5"/>
      <c r="G3987" s="5"/>
      <c r="H3987" s="5"/>
    </row>
    <row r="3988" spans="1:8" x14ac:dyDescent="0.2">
      <c r="A3988" s="5"/>
      <c r="B3988" s="5" t="s">
        <v>4524</v>
      </c>
      <c r="C3988" s="5"/>
      <c r="D3988" s="5" t="s">
        <v>15</v>
      </c>
      <c r="E3988" s="5"/>
      <c r="G3988" s="5"/>
      <c r="H3988" s="5"/>
    </row>
    <row r="3989" spans="1:8" x14ac:dyDescent="0.2">
      <c r="A3989" s="5"/>
      <c r="B3989" s="5" t="s">
        <v>4525</v>
      </c>
      <c r="C3989" s="5"/>
      <c r="D3989" s="5" t="s">
        <v>322</v>
      </c>
      <c r="E3989" s="5"/>
      <c r="G3989" s="5"/>
      <c r="H3989" s="5"/>
    </row>
    <row r="3990" spans="1:8" x14ac:dyDescent="0.2">
      <c r="A3990" s="5" t="s">
        <v>4526</v>
      </c>
      <c r="B3990" s="5" t="s">
        <v>3017</v>
      </c>
      <c r="C3990" s="8">
        <v>128</v>
      </c>
      <c r="D3990" s="5" t="s">
        <v>155</v>
      </c>
      <c r="E3990" s="5"/>
      <c r="G3990" s="5"/>
      <c r="H3990" s="5"/>
    </row>
    <row r="3991" spans="1:8" x14ac:dyDescent="0.2">
      <c r="A3991" s="5" t="s">
        <v>4527</v>
      </c>
      <c r="B3991" s="5" t="s">
        <v>2988</v>
      </c>
      <c r="C3991" s="8">
        <v>103</v>
      </c>
      <c r="D3991" s="5" t="s">
        <v>155</v>
      </c>
      <c r="E3991" s="5"/>
      <c r="G3991" s="5"/>
      <c r="H3991" s="5"/>
    </row>
    <row r="3992" spans="1:8" x14ac:dyDescent="0.2">
      <c r="A3992" s="5" t="s">
        <v>4528</v>
      </c>
      <c r="B3992" s="5" t="s">
        <v>2990</v>
      </c>
      <c r="C3992" s="8">
        <v>131</v>
      </c>
      <c r="D3992" s="5" t="s">
        <v>155</v>
      </c>
      <c r="E3992" s="5"/>
      <c r="G3992" s="5"/>
      <c r="H3992" s="5"/>
    </row>
    <row r="3993" spans="1:8" x14ac:dyDescent="0.2">
      <c r="A3993" s="5" t="s">
        <v>4529</v>
      </c>
      <c r="B3993" s="5" t="s">
        <v>2992</v>
      </c>
      <c r="C3993" s="8">
        <v>120</v>
      </c>
      <c r="D3993" s="5" t="s">
        <v>155</v>
      </c>
      <c r="E3993" s="5"/>
      <c r="G3993" s="5"/>
      <c r="H3993" s="5"/>
    </row>
    <row r="3994" spans="1:8" x14ac:dyDescent="0.2">
      <c r="A3994" s="5"/>
      <c r="B3994" s="5" t="s">
        <v>4530</v>
      </c>
      <c r="C3994" s="5"/>
      <c r="D3994" s="5" t="s">
        <v>15</v>
      </c>
      <c r="E3994" s="5"/>
      <c r="G3994" s="5"/>
      <c r="H3994" s="5"/>
    </row>
    <row r="3995" spans="1:8" x14ac:dyDescent="0.2">
      <c r="A3995" s="5"/>
      <c r="B3995" s="5" t="s">
        <v>4531</v>
      </c>
      <c r="C3995" s="5"/>
      <c r="D3995" s="5" t="s">
        <v>322</v>
      </c>
      <c r="E3995" s="5"/>
      <c r="G3995" s="5"/>
      <c r="H3995" s="5"/>
    </row>
    <row r="3996" spans="1:8" x14ac:dyDescent="0.2">
      <c r="A3996" s="5" t="s">
        <v>4532</v>
      </c>
      <c r="B3996" s="5" t="s">
        <v>3930</v>
      </c>
      <c r="C3996" s="8">
        <v>43</v>
      </c>
      <c r="D3996" s="5" t="s">
        <v>155</v>
      </c>
      <c r="E3996" s="5"/>
      <c r="G3996" s="5"/>
      <c r="H3996" s="5"/>
    </row>
    <row r="3997" spans="1:8" x14ac:dyDescent="0.2">
      <c r="A3997" s="5" t="s">
        <v>4533</v>
      </c>
      <c r="B3997" s="5" t="s">
        <v>3932</v>
      </c>
      <c r="C3997" s="8">
        <v>405</v>
      </c>
      <c r="D3997" s="5" t="s">
        <v>155</v>
      </c>
      <c r="E3997" s="5"/>
      <c r="G3997" s="5"/>
      <c r="H3997" s="5"/>
    </row>
    <row r="3998" spans="1:8" x14ac:dyDescent="0.2">
      <c r="A3998" s="5" t="s">
        <v>4534</v>
      </c>
      <c r="B3998" s="5" t="s">
        <v>2526</v>
      </c>
      <c r="C3998" s="8">
        <v>246</v>
      </c>
      <c r="D3998" s="5" t="s">
        <v>155</v>
      </c>
      <c r="E3998" s="5"/>
      <c r="G3998" s="5"/>
      <c r="H3998" s="5"/>
    </row>
    <row r="3999" spans="1:8" x14ac:dyDescent="0.2">
      <c r="A3999" s="5" t="s">
        <v>4535</v>
      </c>
      <c r="B3999" s="5" t="s">
        <v>2559</v>
      </c>
      <c r="C3999" s="8">
        <v>75</v>
      </c>
      <c r="D3999" s="5" t="s">
        <v>155</v>
      </c>
      <c r="E3999" s="5"/>
      <c r="G3999" s="5"/>
      <c r="H3999" s="5"/>
    </row>
    <row r="4000" spans="1:8" x14ac:dyDescent="0.2">
      <c r="A4000" s="5"/>
      <c r="B4000" s="5" t="s">
        <v>4536</v>
      </c>
      <c r="C4000" s="5"/>
      <c r="D4000" s="5" t="s">
        <v>15</v>
      </c>
      <c r="E4000" s="5"/>
      <c r="G4000" s="5"/>
      <c r="H4000" s="5"/>
    </row>
    <row r="4001" spans="1:8" x14ac:dyDescent="0.2">
      <c r="A4001" s="5"/>
      <c r="B4001" s="5" t="s">
        <v>4537</v>
      </c>
      <c r="C4001" s="5"/>
      <c r="D4001" s="5" t="s">
        <v>322</v>
      </c>
      <c r="E4001" s="5"/>
      <c r="G4001" s="5"/>
      <c r="H4001" s="5"/>
    </row>
    <row r="4002" spans="1:8" x14ac:dyDescent="0.2">
      <c r="A4002" s="5" t="s">
        <v>4538</v>
      </c>
      <c r="B4002" s="5" t="s">
        <v>4539</v>
      </c>
      <c r="C4002" s="8">
        <v>38</v>
      </c>
      <c r="D4002" s="5" t="s">
        <v>155</v>
      </c>
      <c r="E4002" s="5"/>
      <c r="G4002" s="5"/>
      <c r="H4002" s="5"/>
    </row>
    <row r="4003" spans="1:8" x14ac:dyDescent="0.2">
      <c r="A4003" s="5" t="s">
        <v>4540</v>
      </c>
      <c r="B4003" s="5" t="s">
        <v>4541</v>
      </c>
      <c r="C4003" s="8">
        <v>30</v>
      </c>
      <c r="D4003" s="5" t="s">
        <v>155</v>
      </c>
      <c r="E4003" s="5"/>
      <c r="G4003" s="5"/>
      <c r="H4003" s="5"/>
    </row>
    <row r="4004" spans="1:8" x14ac:dyDescent="0.2">
      <c r="A4004" s="5" t="s">
        <v>4542</v>
      </c>
      <c r="B4004" s="5" t="s">
        <v>4543</v>
      </c>
      <c r="C4004" s="8">
        <v>63</v>
      </c>
      <c r="D4004" s="5" t="s">
        <v>155</v>
      </c>
      <c r="E4004" s="5"/>
      <c r="G4004" s="5"/>
      <c r="H4004" s="5"/>
    </row>
    <row r="4005" spans="1:8" x14ac:dyDescent="0.2">
      <c r="A4005" s="5" t="s">
        <v>4544</v>
      </c>
      <c r="B4005" s="5" t="s">
        <v>4545</v>
      </c>
      <c r="C4005" s="8">
        <v>14</v>
      </c>
      <c r="D4005" s="5" t="s">
        <v>155</v>
      </c>
      <c r="E4005" s="5"/>
      <c r="G4005" s="5"/>
      <c r="H4005" s="5"/>
    </row>
    <row r="4006" spans="1:8" x14ac:dyDescent="0.2">
      <c r="A4006" s="5"/>
      <c r="B4006" s="5" t="s">
        <v>4546</v>
      </c>
      <c r="C4006" s="5"/>
      <c r="D4006" s="5" t="s">
        <v>322</v>
      </c>
      <c r="E4006" s="5"/>
      <c r="G4006" s="5"/>
      <c r="H4006" s="5"/>
    </row>
    <row r="4007" spans="1:8" x14ac:dyDescent="0.2">
      <c r="A4007" s="5" t="s">
        <v>4547</v>
      </c>
      <c r="B4007" s="5" t="s">
        <v>4539</v>
      </c>
      <c r="C4007" s="8">
        <v>6</v>
      </c>
      <c r="D4007" s="5" t="s">
        <v>155</v>
      </c>
      <c r="E4007" s="5"/>
      <c r="G4007" s="5"/>
      <c r="H4007" s="5"/>
    </row>
    <row r="4008" spans="1:8" x14ac:dyDescent="0.2">
      <c r="A4008" s="5" t="s">
        <v>4548</v>
      </c>
      <c r="B4008" s="5" t="s">
        <v>4541</v>
      </c>
      <c r="C4008" s="8">
        <v>7</v>
      </c>
      <c r="D4008" s="5" t="s">
        <v>155</v>
      </c>
      <c r="E4008" s="5"/>
      <c r="G4008" s="5"/>
      <c r="H4008" s="5"/>
    </row>
    <row r="4009" spans="1:8" x14ac:dyDescent="0.2">
      <c r="A4009" s="5" t="s">
        <v>4549</v>
      </c>
      <c r="B4009" s="5" t="s">
        <v>4543</v>
      </c>
      <c r="C4009" s="8">
        <v>8</v>
      </c>
      <c r="D4009" s="5" t="s">
        <v>155</v>
      </c>
      <c r="E4009" s="5"/>
      <c r="G4009" s="5"/>
      <c r="H4009" s="5"/>
    </row>
    <row r="4010" spans="1:8" x14ac:dyDescent="0.2">
      <c r="A4010" s="5"/>
      <c r="B4010" s="5" t="s">
        <v>4550</v>
      </c>
      <c r="C4010" s="5"/>
      <c r="D4010" s="5" t="s">
        <v>15</v>
      </c>
      <c r="E4010" s="5"/>
      <c r="G4010" s="5"/>
      <c r="H4010" s="5"/>
    </row>
    <row r="4011" spans="1:8" x14ac:dyDescent="0.2">
      <c r="A4011" s="5"/>
      <c r="B4011" s="5" t="s">
        <v>4551</v>
      </c>
      <c r="C4011" s="5"/>
      <c r="D4011" s="5" t="s">
        <v>322</v>
      </c>
      <c r="E4011" s="5"/>
      <c r="G4011" s="5"/>
      <c r="H4011" s="5"/>
    </row>
    <row r="4012" spans="1:8" x14ac:dyDescent="0.2">
      <c r="A4012" s="5" t="s">
        <v>4552</v>
      </c>
      <c r="B4012" s="5" t="s">
        <v>4545</v>
      </c>
      <c r="C4012" s="8">
        <v>2</v>
      </c>
      <c r="D4012" s="5" t="s">
        <v>162</v>
      </c>
      <c r="E4012" s="5"/>
      <c r="G4012" s="5"/>
      <c r="H4012" s="5"/>
    </row>
    <row r="4013" spans="1:8" x14ac:dyDescent="0.2">
      <c r="A4013" s="5"/>
      <c r="B4013" s="5" t="s">
        <v>4553</v>
      </c>
      <c r="C4013" s="5"/>
      <c r="D4013" s="5" t="s">
        <v>322</v>
      </c>
      <c r="E4013" s="5"/>
      <c r="G4013" s="5"/>
      <c r="H4013" s="5"/>
    </row>
    <row r="4014" spans="1:8" x14ac:dyDescent="0.2">
      <c r="A4014" s="5" t="s">
        <v>4554</v>
      </c>
      <c r="B4014" s="5" t="s">
        <v>4545</v>
      </c>
      <c r="C4014" s="8">
        <v>5</v>
      </c>
      <c r="D4014" s="5" t="s">
        <v>162</v>
      </c>
      <c r="E4014" s="5"/>
      <c r="G4014" s="5"/>
      <c r="H4014" s="5"/>
    </row>
    <row r="4015" spans="1:8" x14ac:dyDescent="0.2">
      <c r="A4015" s="5"/>
      <c r="B4015" s="5" t="s">
        <v>4555</v>
      </c>
      <c r="C4015" s="5"/>
      <c r="D4015" s="5" t="s">
        <v>15</v>
      </c>
      <c r="E4015" s="5"/>
      <c r="G4015" s="5"/>
      <c r="H4015" s="5"/>
    </row>
    <row r="4016" spans="1:8" x14ac:dyDescent="0.2">
      <c r="A4016" s="5"/>
      <c r="B4016" s="5" t="s">
        <v>4556</v>
      </c>
      <c r="C4016" s="5"/>
      <c r="D4016" s="5" t="s">
        <v>322</v>
      </c>
      <c r="E4016" s="5"/>
      <c r="G4016" s="5"/>
      <c r="H4016" s="5"/>
    </row>
    <row r="4017" spans="1:8" x14ac:dyDescent="0.2">
      <c r="A4017" s="5" t="s">
        <v>4557</v>
      </c>
      <c r="B4017" s="5" t="s">
        <v>4543</v>
      </c>
      <c r="C4017" s="8">
        <v>27</v>
      </c>
      <c r="D4017" s="5" t="s">
        <v>155</v>
      </c>
      <c r="E4017" s="5"/>
      <c r="G4017" s="5"/>
      <c r="H4017" s="5"/>
    </row>
    <row r="4018" spans="1:8" x14ac:dyDescent="0.2">
      <c r="A4018" s="5" t="s">
        <v>4558</v>
      </c>
      <c r="B4018" s="5" t="s">
        <v>4545</v>
      </c>
      <c r="C4018" s="8">
        <v>12</v>
      </c>
      <c r="D4018" s="5" t="s">
        <v>155</v>
      </c>
      <c r="E4018" s="5"/>
      <c r="G4018" s="5"/>
      <c r="H4018" s="5"/>
    </row>
    <row r="4019" spans="1:8" x14ac:dyDescent="0.2">
      <c r="A4019" s="5"/>
      <c r="B4019" s="5" t="s">
        <v>4559</v>
      </c>
      <c r="C4019" s="5"/>
      <c r="D4019" s="5" t="s">
        <v>322</v>
      </c>
      <c r="E4019" s="5"/>
      <c r="G4019" s="5"/>
      <c r="H4019" s="5"/>
    </row>
    <row r="4020" spans="1:8" x14ac:dyDescent="0.2">
      <c r="A4020" s="5" t="s">
        <v>4560</v>
      </c>
      <c r="B4020" s="5" t="s">
        <v>4539</v>
      </c>
      <c r="C4020" s="8">
        <v>30</v>
      </c>
      <c r="D4020" s="5" t="s">
        <v>155</v>
      </c>
      <c r="E4020" s="5"/>
      <c r="G4020" s="5"/>
      <c r="H4020" s="5"/>
    </row>
    <row r="4021" spans="1:8" x14ac:dyDescent="0.2">
      <c r="A4021" s="5"/>
      <c r="B4021" s="5" t="s">
        <v>4561</v>
      </c>
      <c r="C4021" s="5"/>
      <c r="D4021" s="5" t="s">
        <v>322</v>
      </c>
      <c r="E4021" s="5"/>
      <c r="G4021" s="5"/>
      <c r="H4021" s="5"/>
    </row>
    <row r="4022" spans="1:8" x14ac:dyDescent="0.2">
      <c r="A4022" s="5" t="s">
        <v>4562</v>
      </c>
      <c r="B4022" s="5" t="s">
        <v>4545</v>
      </c>
      <c r="C4022" s="8">
        <v>16</v>
      </c>
      <c r="D4022" s="5" t="s">
        <v>155</v>
      </c>
      <c r="E4022" s="5"/>
      <c r="G4022" s="5"/>
      <c r="H4022" s="5"/>
    </row>
    <row r="4023" spans="1:8" x14ac:dyDescent="0.2">
      <c r="A4023" s="5"/>
      <c r="B4023" s="5" t="s">
        <v>4563</v>
      </c>
      <c r="C4023" s="5"/>
      <c r="D4023" s="5" t="s">
        <v>15</v>
      </c>
      <c r="E4023" s="5"/>
      <c r="G4023" s="5"/>
      <c r="H4023" s="5"/>
    </row>
    <row r="4024" spans="1:8" x14ac:dyDescent="0.2">
      <c r="A4024" s="5"/>
      <c r="B4024" s="5" t="s">
        <v>4564</v>
      </c>
      <c r="C4024" s="5"/>
      <c r="D4024" s="5" t="s">
        <v>322</v>
      </c>
      <c r="E4024" s="5"/>
      <c r="G4024" s="5"/>
      <c r="H4024" s="5"/>
    </row>
    <row r="4025" spans="1:8" x14ac:dyDescent="0.2">
      <c r="A4025" s="5" t="s">
        <v>4565</v>
      </c>
      <c r="B4025" s="5" t="s">
        <v>4539</v>
      </c>
      <c r="C4025" s="8">
        <v>49</v>
      </c>
      <c r="D4025" s="5" t="s">
        <v>155</v>
      </c>
      <c r="E4025" s="5"/>
      <c r="G4025" s="5"/>
      <c r="H4025" s="5"/>
    </row>
    <row r="4026" spans="1:8" x14ac:dyDescent="0.2">
      <c r="A4026" s="5" t="s">
        <v>4566</v>
      </c>
      <c r="B4026" s="5" t="s">
        <v>4541</v>
      </c>
      <c r="C4026" s="8">
        <v>33</v>
      </c>
      <c r="D4026" s="5" t="s">
        <v>155</v>
      </c>
      <c r="E4026" s="5"/>
      <c r="G4026" s="5"/>
      <c r="H4026" s="5"/>
    </row>
    <row r="4027" spans="1:8" x14ac:dyDescent="0.2">
      <c r="A4027" s="5" t="s">
        <v>4567</v>
      </c>
      <c r="B4027" s="5" t="s">
        <v>4543</v>
      </c>
      <c r="C4027" s="8">
        <v>57</v>
      </c>
      <c r="D4027" s="5" t="s">
        <v>155</v>
      </c>
      <c r="E4027" s="5"/>
      <c r="G4027" s="5"/>
      <c r="H4027" s="5"/>
    </row>
    <row r="4028" spans="1:8" x14ac:dyDescent="0.2">
      <c r="A4028" s="5" t="s">
        <v>4568</v>
      </c>
      <c r="B4028" s="5" t="s">
        <v>4545</v>
      </c>
      <c r="C4028" s="8">
        <v>28</v>
      </c>
      <c r="D4028" s="5" t="s">
        <v>155</v>
      </c>
      <c r="E4028" s="5"/>
      <c r="G4028" s="5"/>
      <c r="H4028" s="5"/>
    </row>
    <row r="4029" spans="1:8" x14ac:dyDescent="0.2">
      <c r="A4029" s="5"/>
      <c r="B4029" s="5" t="s">
        <v>4569</v>
      </c>
      <c r="C4029" s="5"/>
      <c r="D4029" s="5" t="s">
        <v>15</v>
      </c>
      <c r="E4029" s="5"/>
      <c r="G4029" s="5"/>
      <c r="H4029" s="5"/>
    </row>
    <row r="4030" spans="1:8" x14ac:dyDescent="0.2">
      <c r="A4030" s="5"/>
      <c r="B4030" s="5" t="s">
        <v>4570</v>
      </c>
      <c r="C4030" s="5"/>
      <c r="D4030" s="5" t="s">
        <v>322</v>
      </c>
      <c r="E4030" s="5"/>
      <c r="G4030" s="5"/>
      <c r="H4030" s="5"/>
    </row>
    <row r="4031" spans="1:8" x14ac:dyDescent="0.2">
      <c r="A4031" s="5"/>
      <c r="B4031" s="5" t="s">
        <v>4571</v>
      </c>
      <c r="C4031" s="5"/>
      <c r="D4031" s="5" t="s">
        <v>366</v>
      </c>
      <c r="E4031" s="5"/>
      <c r="G4031" s="5"/>
      <c r="H4031" s="5"/>
    </row>
    <row r="4032" spans="1:8" x14ac:dyDescent="0.2">
      <c r="A4032" s="5" t="s">
        <v>4572</v>
      </c>
      <c r="B4032" s="5" t="s">
        <v>4539</v>
      </c>
      <c r="C4032" s="8">
        <v>3</v>
      </c>
      <c r="D4032" s="5" t="s">
        <v>162</v>
      </c>
      <c r="E4032" s="5"/>
      <c r="G4032" s="5"/>
      <c r="H4032" s="5"/>
    </row>
    <row r="4033" spans="1:8" x14ac:dyDescent="0.2">
      <c r="A4033" s="5" t="s">
        <v>4573</v>
      </c>
      <c r="B4033" s="5" t="s">
        <v>4541</v>
      </c>
      <c r="C4033" s="8">
        <v>2</v>
      </c>
      <c r="D4033" s="5" t="s">
        <v>162</v>
      </c>
      <c r="E4033" s="5"/>
      <c r="G4033" s="5"/>
      <c r="H4033" s="5"/>
    </row>
    <row r="4034" spans="1:8" x14ac:dyDescent="0.2">
      <c r="A4034" s="5" t="s">
        <v>4574</v>
      </c>
      <c r="B4034" s="5" t="s">
        <v>4543</v>
      </c>
      <c r="C4034" s="8">
        <v>2</v>
      </c>
      <c r="D4034" s="5" t="s">
        <v>162</v>
      </c>
      <c r="E4034" s="5"/>
      <c r="G4034" s="5"/>
      <c r="H4034" s="5"/>
    </row>
    <row r="4035" spans="1:8" x14ac:dyDescent="0.2">
      <c r="A4035" s="5" t="s">
        <v>4575</v>
      </c>
      <c r="B4035" s="5" t="s">
        <v>4545</v>
      </c>
      <c r="C4035" s="8">
        <v>2</v>
      </c>
      <c r="D4035" s="5" t="s">
        <v>162</v>
      </c>
      <c r="E4035" s="5"/>
      <c r="G4035" s="5"/>
      <c r="H4035" s="5"/>
    </row>
    <row r="4036" spans="1:8" x14ac:dyDescent="0.2">
      <c r="A4036" s="5"/>
      <c r="B4036" s="5" t="s">
        <v>4576</v>
      </c>
      <c r="C4036" s="5"/>
      <c r="D4036" s="5" t="s">
        <v>15</v>
      </c>
      <c r="E4036" s="5"/>
      <c r="G4036" s="5"/>
      <c r="H4036" s="5"/>
    </row>
    <row r="4037" spans="1:8" x14ac:dyDescent="0.2">
      <c r="A4037" s="5"/>
      <c r="B4037" s="5" t="s">
        <v>4577</v>
      </c>
      <c r="C4037" s="5"/>
      <c r="D4037" s="5" t="s">
        <v>322</v>
      </c>
      <c r="E4037" s="5"/>
      <c r="G4037" s="5"/>
      <c r="H4037" s="5"/>
    </row>
    <row r="4038" spans="1:8" x14ac:dyDescent="0.2">
      <c r="A4038" s="5" t="s">
        <v>4578</v>
      </c>
      <c r="B4038" s="5" t="s">
        <v>4541</v>
      </c>
      <c r="C4038" s="8">
        <v>47</v>
      </c>
      <c r="D4038" s="5" t="s">
        <v>42</v>
      </c>
      <c r="E4038" s="5"/>
      <c r="G4038" s="5"/>
      <c r="H4038" s="5"/>
    </row>
    <row r="4039" spans="1:8" x14ac:dyDescent="0.2">
      <c r="A4039" s="5" t="s">
        <v>4579</v>
      </c>
      <c r="B4039" s="5" t="s">
        <v>4543</v>
      </c>
      <c r="C4039" s="8">
        <v>47</v>
      </c>
      <c r="D4039" s="5" t="s">
        <v>42</v>
      </c>
      <c r="E4039" s="5"/>
      <c r="G4039" s="5"/>
      <c r="H4039" s="5"/>
    </row>
    <row r="4040" spans="1:8" x14ac:dyDescent="0.2">
      <c r="A4040" s="5"/>
      <c r="B4040" s="5" t="s">
        <v>4580</v>
      </c>
      <c r="C4040" s="5"/>
      <c r="D4040" s="5" t="s">
        <v>15</v>
      </c>
      <c r="E4040" s="5"/>
      <c r="G4040" s="5"/>
      <c r="H4040" s="5"/>
    </row>
    <row r="4041" spans="1:8" x14ac:dyDescent="0.2">
      <c r="A4041" s="5"/>
      <c r="B4041" s="5" t="s">
        <v>4581</v>
      </c>
      <c r="C4041" s="5"/>
      <c r="D4041" s="5" t="s">
        <v>322</v>
      </c>
      <c r="E4041" s="5"/>
      <c r="G4041" s="5"/>
      <c r="H4041" s="5"/>
    </row>
    <row r="4042" spans="1:8" x14ac:dyDescent="0.2">
      <c r="A4042" s="5" t="s">
        <v>4582</v>
      </c>
      <c r="B4042" s="5" t="s">
        <v>4545</v>
      </c>
      <c r="C4042" s="8">
        <v>30</v>
      </c>
      <c r="D4042" s="5" t="s">
        <v>42</v>
      </c>
      <c r="E4042" s="5"/>
      <c r="G4042" s="5"/>
      <c r="H4042" s="5"/>
    </row>
    <row r="4043" spans="1:8" x14ac:dyDescent="0.2">
      <c r="A4043" s="5"/>
      <c r="B4043" s="5" t="s">
        <v>4583</v>
      </c>
      <c r="C4043" s="5"/>
      <c r="D4043" s="5" t="s">
        <v>15</v>
      </c>
      <c r="E4043" s="5"/>
      <c r="G4043" s="5"/>
      <c r="H4043" s="5"/>
    </row>
    <row r="4044" spans="1:8" x14ac:dyDescent="0.2">
      <c r="A4044" s="5"/>
      <c r="B4044" s="5" t="s">
        <v>4584</v>
      </c>
      <c r="C4044" s="5"/>
      <c r="D4044" s="5" t="s">
        <v>322</v>
      </c>
      <c r="E4044" s="5"/>
      <c r="G4044" s="5"/>
      <c r="H4044" s="5"/>
    </row>
    <row r="4045" spans="1:8" x14ac:dyDescent="0.2">
      <c r="A4045" s="5" t="s">
        <v>4585</v>
      </c>
      <c r="B4045" s="5" t="s">
        <v>4539</v>
      </c>
      <c r="C4045" s="8">
        <v>8</v>
      </c>
      <c r="D4045" s="5" t="s">
        <v>162</v>
      </c>
      <c r="E4045" s="5"/>
      <c r="G4045" s="5"/>
      <c r="H4045" s="5"/>
    </row>
    <row r="4046" spans="1:8" x14ac:dyDescent="0.2">
      <c r="A4046" s="5"/>
      <c r="B4046" s="5" t="s">
        <v>4586</v>
      </c>
      <c r="C4046" s="5"/>
      <c r="D4046" s="5" t="s">
        <v>322</v>
      </c>
      <c r="E4046" s="5"/>
      <c r="G4046" s="5"/>
      <c r="H4046" s="5"/>
    </row>
    <row r="4047" spans="1:8" x14ac:dyDescent="0.2">
      <c r="A4047" s="5" t="s">
        <v>4587</v>
      </c>
      <c r="B4047" s="5" t="s">
        <v>4545</v>
      </c>
      <c r="C4047" s="8">
        <v>21</v>
      </c>
      <c r="D4047" s="5" t="s">
        <v>162</v>
      </c>
      <c r="E4047" s="5"/>
      <c r="G4047" s="5"/>
      <c r="H4047" s="5"/>
    </row>
    <row r="4048" spans="1:8" x14ac:dyDescent="0.2">
      <c r="A4048" s="5"/>
      <c r="B4048" s="5" t="s">
        <v>53</v>
      </c>
      <c r="C4048" s="5"/>
      <c r="D4048" s="5" t="s">
        <v>13</v>
      </c>
      <c r="E4048" s="5"/>
      <c r="G4048" s="5"/>
      <c r="H4048" s="5"/>
    </row>
    <row r="4049" spans="1:8" x14ac:dyDescent="0.2">
      <c r="A4049" s="5"/>
      <c r="B4049" s="5" t="s">
        <v>4530</v>
      </c>
      <c r="C4049" s="5"/>
      <c r="D4049" s="5" t="s">
        <v>15</v>
      </c>
      <c r="E4049" s="5"/>
      <c r="G4049" s="5"/>
      <c r="H4049" s="5"/>
    </row>
    <row r="4050" spans="1:8" x14ac:dyDescent="0.2">
      <c r="A4050" s="5"/>
      <c r="B4050" s="5" t="s">
        <v>4531</v>
      </c>
      <c r="C4050" s="5"/>
      <c r="D4050" s="5" t="s">
        <v>322</v>
      </c>
      <c r="E4050" s="5"/>
      <c r="G4050" s="5"/>
      <c r="H4050" s="5"/>
    </row>
    <row r="4051" spans="1:8" x14ac:dyDescent="0.2">
      <c r="A4051" s="5" t="s">
        <v>4588</v>
      </c>
      <c r="B4051" s="5" t="s">
        <v>3939</v>
      </c>
      <c r="C4051" s="8">
        <v>245</v>
      </c>
      <c r="D4051" s="5" t="s">
        <v>155</v>
      </c>
      <c r="E4051" s="5"/>
      <c r="G4051" s="5"/>
      <c r="H4051" s="5"/>
    </row>
    <row r="4052" spans="1:8" x14ac:dyDescent="0.2">
      <c r="A4052" s="5" t="s">
        <v>4589</v>
      </c>
      <c r="B4052" s="5" t="s">
        <v>3941</v>
      </c>
      <c r="C4052" s="8">
        <v>254</v>
      </c>
      <c r="D4052" s="5" t="s">
        <v>155</v>
      </c>
      <c r="E4052" s="5"/>
      <c r="G4052" s="5"/>
      <c r="H4052" s="5"/>
    </row>
    <row r="4053" spans="1:8" x14ac:dyDescent="0.2">
      <c r="A4053" s="5" t="s">
        <v>4590</v>
      </c>
      <c r="B4053" s="5" t="s">
        <v>2572</v>
      </c>
      <c r="C4053" s="8">
        <v>233</v>
      </c>
      <c r="D4053" s="5" t="s">
        <v>155</v>
      </c>
      <c r="E4053" s="5"/>
      <c r="G4053" s="5"/>
      <c r="H4053" s="5"/>
    </row>
    <row r="4054" spans="1:8" x14ac:dyDescent="0.2">
      <c r="A4054" s="5" t="s">
        <v>4591</v>
      </c>
      <c r="B4054" s="5" t="s">
        <v>3944</v>
      </c>
      <c r="C4054" s="8">
        <v>90</v>
      </c>
      <c r="D4054" s="5" t="s">
        <v>155</v>
      </c>
      <c r="E4054" s="5"/>
      <c r="G4054" s="5"/>
      <c r="H4054" s="5"/>
    </row>
    <row r="4055" spans="1:8" x14ac:dyDescent="0.2">
      <c r="A4055" s="5"/>
      <c r="B4055" s="5" t="s">
        <v>4524</v>
      </c>
      <c r="C4055" s="5"/>
      <c r="D4055" s="5" t="s">
        <v>15</v>
      </c>
      <c r="E4055" s="5"/>
      <c r="G4055" s="5"/>
      <c r="H4055" s="5"/>
    </row>
    <row r="4056" spans="1:8" x14ac:dyDescent="0.2">
      <c r="A4056" s="5"/>
      <c r="B4056" s="5" t="s">
        <v>4525</v>
      </c>
      <c r="C4056" s="5"/>
      <c r="D4056" s="5" t="s">
        <v>322</v>
      </c>
      <c r="E4056" s="5"/>
      <c r="G4056" s="5"/>
      <c r="H4056" s="5"/>
    </row>
    <row r="4057" spans="1:8" x14ac:dyDescent="0.2">
      <c r="A4057" s="5" t="s">
        <v>4592</v>
      </c>
      <c r="B4057" s="5" t="s">
        <v>3017</v>
      </c>
      <c r="C4057" s="8">
        <v>37</v>
      </c>
      <c r="D4057" s="5" t="s">
        <v>155</v>
      </c>
      <c r="E4057" s="5"/>
      <c r="G4057" s="5"/>
      <c r="H4057" s="5"/>
    </row>
    <row r="4058" spans="1:8" x14ac:dyDescent="0.2">
      <c r="A4058" s="5" t="s">
        <v>4593</v>
      </c>
      <c r="B4058" s="5" t="s">
        <v>2988</v>
      </c>
      <c r="C4058" s="8">
        <v>109</v>
      </c>
      <c r="D4058" s="5" t="s">
        <v>155</v>
      </c>
      <c r="E4058" s="5"/>
      <c r="G4058" s="5"/>
      <c r="H4058" s="5"/>
    </row>
    <row r="4059" spans="1:8" x14ac:dyDescent="0.2">
      <c r="A4059" s="5" t="s">
        <v>4594</v>
      </c>
      <c r="B4059" s="5" t="s">
        <v>2990</v>
      </c>
      <c r="C4059" s="8">
        <v>53</v>
      </c>
      <c r="D4059" s="5" t="s">
        <v>155</v>
      </c>
      <c r="E4059" s="5"/>
      <c r="G4059" s="5"/>
      <c r="H4059" s="5"/>
    </row>
    <row r="4060" spans="1:8" x14ac:dyDescent="0.2">
      <c r="A4060" s="5"/>
      <c r="B4060" s="5" t="s">
        <v>4595</v>
      </c>
      <c r="C4060" s="5"/>
      <c r="D4060" s="5" t="s">
        <v>322</v>
      </c>
      <c r="E4060" s="5"/>
      <c r="G4060" s="5"/>
      <c r="H4060" s="5"/>
    </row>
    <row r="4061" spans="1:8" x14ac:dyDescent="0.2">
      <c r="A4061" s="5" t="s">
        <v>4596</v>
      </c>
      <c r="B4061" s="5" t="s">
        <v>3017</v>
      </c>
      <c r="C4061" s="8">
        <v>11</v>
      </c>
      <c r="D4061" s="5" t="s">
        <v>155</v>
      </c>
      <c r="E4061" s="5"/>
      <c r="G4061" s="5"/>
      <c r="H4061" s="5"/>
    </row>
    <row r="4062" spans="1:8" x14ac:dyDescent="0.2">
      <c r="A4062" s="5" t="s">
        <v>4597</v>
      </c>
      <c r="B4062" s="5" t="s">
        <v>2988</v>
      </c>
      <c r="C4062" s="8">
        <v>17</v>
      </c>
      <c r="D4062" s="5" t="s">
        <v>155</v>
      </c>
      <c r="E4062" s="5"/>
      <c r="G4062" s="5"/>
      <c r="H4062" s="5"/>
    </row>
    <row r="4063" spans="1:8" x14ac:dyDescent="0.2">
      <c r="A4063" s="5"/>
      <c r="B4063" s="5" t="s">
        <v>4536</v>
      </c>
      <c r="C4063" s="5"/>
      <c r="D4063" s="5" t="s">
        <v>15</v>
      </c>
      <c r="E4063" s="5"/>
      <c r="G4063" s="5"/>
      <c r="H4063" s="5"/>
    </row>
    <row r="4064" spans="1:8" x14ac:dyDescent="0.2">
      <c r="A4064" s="5"/>
      <c r="B4064" s="5" t="s">
        <v>4537</v>
      </c>
      <c r="C4064" s="5"/>
      <c r="D4064" s="5" t="s">
        <v>322</v>
      </c>
      <c r="E4064" s="5"/>
      <c r="G4064" s="5"/>
      <c r="H4064" s="5"/>
    </row>
    <row r="4065" spans="1:8" x14ac:dyDescent="0.2">
      <c r="A4065" s="5" t="s">
        <v>4598</v>
      </c>
      <c r="B4065" s="5" t="s">
        <v>4541</v>
      </c>
      <c r="C4065" s="8">
        <v>24</v>
      </c>
      <c r="D4065" s="5" t="s">
        <v>155</v>
      </c>
      <c r="E4065" s="5"/>
      <c r="G4065" s="5"/>
      <c r="H4065" s="5"/>
    </row>
    <row r="4066" spans="1:8" x14ac:dyDescent="0.2">
      <c r="A4066" s="5" t="s">
        <v>4599</v>
      </c>
      <c r="B4066" s="5" t="s">
        <v>4543</v>
      </c>
      <c r="C4066" s="8">
        <v>23</v>
      </c>
      <c r="D4066" s="5" t="s">
        <v>155</v>
      </c>
      <c r="E4066" s="5"/>
      <c r="G4066" s="5"/>
      <c r="H4066" s="5"/>
    </row>
    <row r="4067" spans="1:8" x14ac:dyDescent="0.2">
      <c r="A4067" s="5"/>
      <c r="B4067" s="5" t="s">
        <v>4546</v>
      </c>
      <c r="C4067" s="5"/>
      <c r="D4067" s="5" t="s">
        <v>322</v>
      </c>
      <c r="E4067" s="5"/>
      <c r="G4067" s="5"/>
      <c r="H4067" s="5"/>
    </row>
    <row r="4068" spans="1:8" x14ac:dyDescent="0.2">
      <c r="A4068" s="5" t="s">
        <v>4600</v>
      </c>
      <c r="B4068" s="5" t="s">
        <v>4539</v>
      </c>
      <c r="C4068" s="8">
        <v>4</v>
      </c>
      <c r="D4068" s="5" t="s">
        <v>155</v>
      </c>
      <c r="E4068" s="5"/>
      <c r="G4068" s="5"/>
      <c r="H4068" s="5"/>
    </row>
    <row r="4069" spans="1:8" x14ac:dyDescent="0.2">
      <c r="A4069" s="5" t="s">
        <v>4601</v>
      </c>
      <c r="B4069" s="5" t="s">
        <v>4541</v>
      </c>
      <c r="C4069" s="8">
        <v>8</v>
      </c>
      <c r="D4069" s="5" t="s">
        <v>155</v>
      </c>
      <c r="E4069" s="5"/>
      <c r="G4069" s="5"/>
      <c r="H4069" s="5"/>
    </row>
    <row r="4070" spans="1:8" x14ac:dyDescent="0.2">
      <c r="A4070" s="5" t="s">
        <v>4602</v>
      </c>
      <c r="B4070" s="5" t="s">
        <v>4543</v>
      </c>
      <c r="C4070" s="8">
        <v>8</v>
      </c>
      <c r="D4070" s="5" t="s">
        <v>155</v>
      </c>
      <c r="E4070" s="5"/>
      <c r="G4070" s="5"/>
      <c r="H4070" s="5"/>
    </row>
    <row r="4071" spans="1:8" x14ac:dyDescent="0.2">
      <c r="A4071" s="5" t="s">
        <v>4603</v>
      </c>
      <c r="B4071" s="5" t="s">
        <v>4545</v>
      </c>
      <c r="C4071" s="8">
        <v>2</v>
      </c>
      <c r="D4071" s="5" t="s">
        <v>155</v>
      </c>
      <c r="E4071" s="5"/>
      <c r="G4071" s="5"/>
      <c r="H4071" s="5"/>
    </row>
    <row r="4072" spans="1:8" x14ac:dyDescent="0.2">
      <c r="A4072" s="5"/>
      <c r="B4072" s="5" t="s">
        <v>4604</v>
      </c>
      <c r="C4072" s="5"/>
      <c r="D4072" s="5" t="s">
        <v>322</v>
      </c>
      <c r="E4072" s="5"/>
      <c r="G4072" s="5"/>
      <c r="H4072" s="5"/>
    </row>
    <row r="4073" spans="1:8" x14ac:dyDescent="0.2">
      <c r="A4073" s="5" t="s">
        <v>4605</v>
      </c>
      <c r="B4073" s="5" t="s">
        <v>4543</v>
      </c>
      <c r="C4073" s="8">
        <v>13</v>
      </c>
      <c r="D4073" s="5" t="s">
        <v>155</v>
      </c>
      <c r="E4073" s="5"/>
      <c r="G4073" s="5"/>
      <c r="H4073" s="5"/>
    </row>
    <row r="4074" spans="1:8" x14ac:dyDescent="0.2">
      <c r="A4074" s="5"/>
      <c r="B4074" s="5" t="s">
        <v>4555</v>
      </c>
      <c r="C4074" s="5"/>
      <c r="D4074" s="5" t="s">
        <v>15</v>
      </c>
      <c r="E4074" s="5"/>
      <c r="G4074" s="5"/>
      <c r="H4074" s="5"/>
    </row>
    <row r="4075" spans="1:8" x14ac:dyDescent="0.2">
      <c r="A4075" s="5"/>
      <c r="B4075" s="5" t="s">
        <v>4559</v>
      </c>
      <c r="C4075" s="5"/>
      <c r="D4075" s="5" t="s">
        <v>322</v>
      </c>
      <c r="E4075" s="5"/>
      <c r="G4075" s="5"/>
      <c r="H4075" s="5"/>
    </row>
    <row r="4076" spans="1:8" x14ac:dyDescent="0.2">
      <c r="A4076" s="5" t="s">
        <v>4606</v>
      </c>
      <c r="B4076" s="5" t="s">
        <v>4539</v>
      </c>
      <c r="C4076" s="8">
        <v>38</v>
      </c>
      <c r="D4076" s="5" t="s">
        <v>155</v>
      </c>
      <c r="E4076" s="5"/>
      <c r="G4076" s="5"/>
      <c r="H4076" s="5"/>
    </row>
    <row r="4077" spans="1:8" x14ac:dyDescent="0.2">
      <c r="A4077" s="5"/>
      <c r="B4077" s="5" t="s">
        <v>4561</v>
      </c>
      <c r="C4077" s="5"/>
      <c r="D4077" s="5" t="s">
        <v>322</v>
      </c>
      <c r="E4077" s="5"/>
      <c r="G4077" s="5"/>
      <c r="H4077" s="5"/>
    </row>
    <row r="4078" spans="1:8" x14ac:dyDescent="0.2">
      <c r="A4078" s="5" t="s">
        <v>4607</v>
      </c>
      <c r="B4078" s="5" t="s">
        <v>4545</v>
      </c>
      <c r="C4078" s="8">
        <v>18</v>
      </c>
      <c r="D4078" s="5" t="s">
        <v>155</v>
      </c>
      <c r="E4078" s="5"/>
      <c r="G4078" s="5"/>
      <c r="H4078" s="5"/>
    </row>
    <row r="4079" spans="1:8" x14ac:dyDescent="0.2">
      <c r="A4079" s="5"/>
      <c r="B4079" s="5" t="s">
        <v>4563</v>
      </c>
      <c r="C4079" s="5"/>
      <c r="D4079" s="5" t="s">
        <v>15</v>
      </c>
      <c r="E4079" s="5"/>
      <c r="G4079" s="5"/>
      <c r="H4079" s="5"/>
    </row>
    <row r="4080" spans="1:8" x14ac:dyDescent="0.2">
      <c r="A4080" s="5"/>
      <c r="B4080" s="5" t="s">
        <v>4608</v>
      </c>
      <c r="C4080" s="5"/>
      <c r="D4080" s="5" t="s">
        <v>322</v>
      </c>
      <c r="E4080" s="5"/>
      <c r="G4080" s="5"/>
      <c r="H4080" s="5"/>
    </row>
    <row r="4081" spans="1:8" x14ac:dyDescent="0.2">
      <c r="A4081" s="5" t="s">
        <v>4609</v>
      </c>
      <c r="B4081" s="5" t="s">
        <v>4539</v>
      </c>
      <c r="C4081" s="8">
        <v>53</v>
      </c>
      <c r="D4081" s="5" t="s">
        <v>155</v>
      </c>
      <c r="E4081" s="5"/>
      <c r="G4081" s="5"/>
      <c r="H4081" s="5"/>
    </row>
    <row r="4082" spans="1:8" x14ac:dyDescent="0.2">
      <c r="A4082" s="5" t="s">
        <v>4610</v>
      </c>
      <c r="B4082" s="5" t="s">
        <v>4541</v>
      </c>
      <c r="C4082" s="8">
        <v>132</v>
      </c>
      <c r="D4082" s="5" t="s">
        <v>155</v>
      </c>
      <c r="E4082" s="5"/>
      <c r="G4082" s="5"/>
      <c r="H4082" s="5"/>
    </row>
    <row r="4083" spans="1:8" x14ac:dyDescent="0.2">
      <c r="A4083" s="5" t="s">
        <v>4611</v>
      </c>
      <c r="B4083" s="5" t="s">
        <v>4543</v>
      </c>
      <c r="C4083" s="8">
        <v>48</v>
      </c>
      <c r="D4083" s="5" t="s">
        <v>155</v>
      </c>
      <c r="E4083" s="5"/>
      <c r="G4083" s="5"/>
      <c r="H4083" s="5"/>
    </row>
    <row r="4084" spans="1:8" x14ac:dyDescent="0.2">
      <c r="A4084" s="5" t="s">
        <v>4612</v>
      </c>
      <c r="B4084" s="5" t="s">
        <v>4545</v>
      </c>
      <c r="C4084" s="8">
        <v>2</v>
      </c>
      <c r="D4084" s="5" t="s">
        <v>155</v>
      </c>
      <c r="E4084" s="5"/>
      <c r="G4084" s="5"/>
      <c r="H4084" s="5"/>
    </row>
    <row r="4085" spans="1:8" x14ac:dyDescent="0.2">
      <c r="A4085" s="5"/>
      <c r="B4085" s="5" t="s">
        <v>4569</v>
      </c>
      <c r="C4085" s="5"/>
      <c r="D4085" s="5" t="s">
        <v>15</v>
      </c>
      <c r="E4085" s="5"/>
      <c r="G4085" s="5"/>
      <c r="H4085" s="5"/>
    </row>
    <row r="4086" spans="1:8" x14ac:dyDescent="0.2">
      <c r="A4086" s="5"/>
      <c r="B4086" s="5" t="s">
        <v>4613</v>
      </c>
      <c r="C4086" s="5"/>
      <c r="D4086" s="5" t="s">
        <v>322</v>
      </c>
      <c r="E4086" s="5"/>
      <c r="G4086" s="5"/>
      <c r="H4086" s="5"/>
    </row>
    <row r="4087" spans="1:8" x14ac:dyDescent="0.2">
      <c r="A4087" s="5"/>
      <c r="B4087" s="5" t="s">
        <v>4614</v>
      </c>
      <c r="C4087" s="5"/>
      <c r="D4087" s="5" t="s">
        <v>366</v>
      </c>
      <c r="E4087" s="5"/>
      <c r="G4087" s="5"/>
      <c r="H4087" s="5"/>
    </row>
    <row r="4088" spans="1:8" x14ac:dyDescent="0.2">
      <c r="A4088" s="5" t="s">
        <v>4615</v>
      </c>
      <c r="B4088" s="5" t="s">
        <v>4541</v>
      </c>
      <c r="C4088" s="8">
        <v>1</v>
      </c>
      <c r="D4088" s="5" t="s">
        <v>162</v>
      </c>
      <c r="E4088" s="5"/>
      <c r="G4088" s="5"/>
      <c r="H4088" s="5"/>
    </row>
    <row r="4089" spans="1:8" x14ac:dyDescent="0.2">
      <c r="A4089" s="5"/>
      <c r="B4089" s="5" t="s">
        <v>4616</v>
      </c>
      <c r="C4089" s="5"/>
      <c r="D4089" s="5" t="s">
        <v>366</v>
      </c>
      <c r="E4089" s="5"/>
      <c r="G4089" s="5"/>
      <c r="H4089" s="5"/>
    </row>
    <row r="4090" spans="1:8" x14ac:dyDescent="0.2">
      <c r="A4090" s="5" t="s">
        <v>4617</v>
      </c>
      <c r="B4090" s="5" t="s">
        <v>4541</v>
      </c>
      <c r="C4090" s="8">
        <v>1</v>
      </c>
      <c r="D4090" s="5" t="s">
        <v>162</v>
      </c>
      <c r="E4090" s="5"/>
      <c r="G4090" s="5"/>
      <c r="H4090" s="5"/>
    </row>
    <row r="4091" spans="1:8" x14ac:dyDescent="0.2">
      <c r="A4091" s="5"/>
      <c r="B4091" s="5" t="s">
        <v>4618</v>
      </c>
      <c r="C4091" s="5"/>
      <c r="D4091" s="5" t="s">
        <v>366</v>
      </c>
      <c r="E4091" s="5"/>
      <c r="G4091" s="5"/>
      <c r="H4091" s="5"/>
    </row>
    <row r="4092" spans="1:8" x14ac:dyDescent="0.2">
      <c r="A4092" s="5" t="s">
        <v>4619</v>
      </c>
      <c r="B4092" s="5" t="s">
        <v>4541</v>
      </c>
      <c r="C4092" s="8">
        <v>2</v>
      </c>
      <c r="D4092" s="5" t="s">
        <v>162</v>
      </c>
      <c r="E4092" s="5"/>
      <c r="G4092" s="5"/>
      <c r="H4092" s="5"/>
    </row>
    <row r="4093" spans="1:8" x14ac:dyDescent="0.2">
      <c r="A4093" s="5" t="s">
        <v>4620</v>
      </c>
      <c r="B4093" s="5" t="s">
        <v>4543</v>
      </c>
      <c r="C4093" s="8">
        <v>2</v>
      </c>
      <c r="D4093" s="5" t="s">
        <v>162</v>
      </c>
      <c r="E4093" s="5"/>
      <c r="G4093" s="5"/>
      <c r="H4093" s="5"/>
    </row>
    <row r="4094" spans="1:8" x14ac:dyDescent="0.2">
      <c r="A4094" s="5" t="s">
        <v>4621</v>
      </c>
      <c r="B4094" s="5" t="s">
        <v>4545</v>
      </c>
      <c r="C4094" s="8">
        <v>1</v>
      </c>
      <c r="D4094" s="5" t="s">
        <v>162</v>
      </c>
      <c r="E4094" s="5"/>
      <c r="G4094" s="5"/>
      <c r="H4094" s="5"/>
    </row>
    <row r="4095" spans="1:8" x14ac:dyDescent="0.2">
      <c r="A4095" s="5"/>
      <c r="B4095" s="5" t="s">
        <v>4622</v>
      </c>
      <c r="C4095" s="5"/>
      <c r="D4095" s="5" t="s">
        <v>366</v>
      </c>
      <c r="E4095" s="5"/>
      <c r="G4095" s="5"/>
      <c r="H4095" s="5"/>
    </row>
    <row r="4096" spans="1:8" x14ac:dyDescent="0.2">
      <c r="A4096" s="5" t="s">
        <v>4623</v>
      </c>
      <c r="B4096" s="5" t="s">
        <v>4539</v>
      </c>
      <c r="C4096" s="8">
        <v>2</v>
      </c>
      <c r="D4096" s="5" t="s">
        <v>162</v>
      </c>
      <c r="E4096" s="5"/>
      <c r="G4096" s="5"/>
      <c r="H4096" s="5"/>
    </row>
    <row r="4097" spans="1:8" x14ac:dyDescent="0.2">
      <c r="A4097" s="5"/>
      <c r="B4097" s="5" t="s">
        <v>4624</v>
      </c>
      <c r="C4097" s="5"/>
      <c r="D4097" s="5" t="s">
        <v>366</v>
      </c>
      <c r="E4097" s="5"/>
      <c r="G4097" s="5"/>
      <c r="H4097" s="5"/>
    </row>
    <row r="4098" spans="1:8" x14ac:dyDescent="0.2">
      <c r="A4098" s="5" t="s">
        <v>4625</v>
      </c>
      <c r="B4098" s="5" t="s">
        <v>4539</v>
      </c>
      <c r="C4098" s="8">
        <v>1</v>
      </c>
      <c r="D4098" s="5" t="s">
        <v>162</v>
      </c>
      <c r="E4098" s="5"/>
      <c r="G4098" s="5"/>
      <c r="H4098" s="5"/>
    </row>
    <row r="4099" spans="1:8" x14ac:dyDescent="0.2">
      <c r="A4099" s="5" t="s">
        <v>4626</v>
      </c>
      <c r="B4099" s="5" t="s">
        <v>4541</v>
      </c>
      <c r="C4099" s="8">
        <v>2</v>
      </c>
      <c r="D4099" s="5" t="s">
        <v>162</v>
      </c>
      <c r="E4099" s="5"/>
      <c r="G4099" s="5"/>
      <c r="H4099" s="5"/>
    </row>
    <row r="4100" spans="1:8" x14ac:dyDescent="0.2">
      <c r="A4100" s="5" t="s">
        <v>4627</v>
      </c>
      <c r="B4100" s="5" t="s">
        <v>4543</v>
      </c>
      <c r="C4100" s="8">
        <v>1</v>
      </c>
      <c r="D4100" s="5" t="s">
        <v>162</v>
      </c>
      <c r="E4100" s="5"/>
      <c r="G4100" s="5"/>
      <c r="H4100" s="5"/>
    </row>
    <row r="4101" spans="1:8" x14ac:dyDescent="0.2">
      <c r="A4101" s="5"/>
      <c r="B4101" s="5" t="s">
        <v>4628</v>
      </c>
      <c r="C4101" s="5"/>
      <c r="D4101" s="5" t="s">
        <v>366</v>
      </c>
      <c r="E4101" s="5"/>
      <c r="G4101" s="5"/>
      <c r="H4101" s="5"/>
    </row>
    <row r="4102" spans="1:8" x14ac:dyDescent="0.2">
      <c r="A4102" s="5" t="s">
        <v>4629</v>
      </c>
      <c r="B4102" s="5" t="s">
        <v>4541</v>
      </c>
      <c r="C4102" s="8">
        <v>2</v>
      </c>
      <c r="D4102" s="5" t="s">
        <v>162</v>
      </c>
      <c r="E4102" s="5"/>
      <c r="G4102" s="5"/>
      <c r="H4102" s="5"/>
    </row>
    <row r="4103" spans="1:8" x14ac:dyDescent="0.2">
      <c r="A4103" s="5"/>
      <c r="B4103" s="5" t="s">
        <v>4630</v>
      </c>
      <c r="C4103" s="5"/>
      <c r="D4103" s="5" t="s">
        <v>366</v>
      </c>
      <c r="E4103" s="5"/>
      <c r="G4103" s="5"/>
      <c r="H4103" s="5"/>
    </row>
    <row r="4104" spans="1:8" x14ac:dyDescent="0.2">
      <c r="A4104" s="5" t="s">
        <v>4631</v>
      </c>
      <c r="B4104" s="5" t="s">
        <v>4539</v>
      </c>
      <c r="C4104" s="8">
        <v>1</v>
      </c>
      <c r="D4104" s="5" t="s">
        <v>162</v>
      </c>
      <c r="E4104" s="5"/>
      <c r="G4104" s="5"/>
      <c r="H4104" s="5"/>
    </row>
    <row r="4105" spans="1:8" x14ac:dyDescent="0.2">
      <c r="A4105" s="5"/>
      <c r="B4105" s="5" t="s">
        <v>4632</v>
      </c>
      <c r="C4105" s="5"/>
      <c r="D4105" s="5" t="s">
        <v>366</v>
      </c>
      <c r="E4105" s="5"/>
      <c r="G4105" s="5"/>
      <c r="H4105" s="5"/>
    </row>
    <row r="4106" spans="1:8" x14ac:dyDescent="0.2">
      <c r="A4106" s="5" t="s">
        <v>4633</v>
      </c>
      <c r="B4106" s="5" t="s">
        <v>4541</v>
      </c>
      <c r="C4106" s="8">
        <v>2</v>
      </c>
      <c r="D4106" s="5" t="s">
        <v>162</v>
      </c>
      <c r="E4106" s="5"/>
      <c r="G4106" s="5"/>
      <c r="H4106" s="5"/>
    </row>
    <row r="4107" spans="1:8" x14ac:dyDescent="0.2">
      <c r="A4107" s="5"/>
      <c r="B4107" s="5" t="s">
        <v>4576</v>
      </c>
      <c r="C4107" s="5"/>
      <c r="D4107" s="5" t="s">
        <v>15</v>
      </c>
      <c r="E4107" s="5"/>
      <c r="G4107" s="5"/>
      <c r="H4107" s="5"/>
    </row>
    <row r="4108" spans="1:8" x14ac:dyDescent="0.2">
      <c r="A4108" s="5"/>
      <c r="B4108" s="5" t="s">
        <v>4634</v>
      </c>
      <c r="C4108" s="5"/>
      <c r="D4108" s="5" t="s">
        <v>322</v>
      </c>
      <c r="E4108" s="5"/>
      <c r="G4108" s="5"/>
      <c r="H4108" s="5"/>
    </row>
    <row r="4109" spans="1:8" x14ac:dyDescent="0.2">
      <c r="A4109" s="5" t="s">
        <v>4635</v>
      </c>
      <c r="B4109" s="5" t="s">
        <v>4541</v>
      </c>
      <c r="C4109" s="8">
        <v>39</v>
      </c>
      <c r="D4109" s="5" t="s">
        <v>42</v>
      </c>
      <c r="E4109" s="5"/>
      <c r="G4109" s="5"/>
      <c r="H4109" s="5"/>
    </row>
    <row r="4110" spans="1:8" x14ac:dyDescent="0.2">
      <c r="A4110" s="5" t="s">
        <v>4636</v>
      </c>
      <c r="B4110" s="5" t="s">
        <v>4543</v>
      </c>
      <c r="C4110" s="8">
        <v>39</v>
      </c>
      <c r="D4110" s="5" t="s">
        <v>42</v>
      </c>
      <c r="E4110" s="5"/>
      <c r="G4110" s="5"/>
      <c r="H4110" s="5"/>
    </row>
    <row r="4111" spans="1:8" x14ac:dyDescent="0.2">
      <c r="A4111" s="5"/>
      <c r="B4111" s="5" t="s">
        <v>4580</v>
      </c>
      <c r="C4111" s="5"/>
      <c r="D4111" s="5" t="s">
        <v>15</v>
      </c>
      <c r="E4111" s="5"/>
      <c r="G4111" s="5"/>
      <c r="H4111" s="5"/>
    </row>
    <row r="4112" spans="1:8" x14ac:dyDescent="0.2">
      <c r="A4112" s="5"/>
      <c r="B4112" s="5" t="s">
        <v>4581</v>
      </c>
      <c r="C4112" s="5"/>
      <c r="D4112" s="5" t="s">
        <v>322</v>
      </c>
      <c r="E4112" s="5"/>
      <c r="G4112" s="5"/>
      <c r="H4112" s="5"/>
    </row>
    <row r="4113" spans="1:9" x14ac:dyDescent="0.2">
      <c r="A4113" s="5" t="s">
        <v>4637</v>
      </c>
      <c r="B4113" s="5" t="s">
        <v>4545</v>
      </c>
      <c r="C4113" s="8">
        <v>48</v>
      </c>
      <c r="D4113" s="5" t="s">
        <v>42</v>
      </c>
      <c r="E4113" s="5"/>
      <c r="G4113" s="5"/>
      <c r="H4113" s="5"/>
    </row>
    <row r="4114" spans="1:9" x14ac:dyDescent="0.2">
      <c r="A4114" s="5"/>
      <c r="B4114" s="5" t="s">
        <v>4583</v>
      </c>
      <c r="C4114" s="5"/>
      <c r="D4114" s="5" t="s">
        <v>15</v>
      </c>
      <c r="E4114" s="5"/>
      <c r="G4114" s="5"/>
      <c r="H4114" s="5"/>
    </row>
    <row r="4115" spans="1:9" x14ac:dyDescent="0.2">
      <c r="A4115" s="5"/>
      <c r="B4115" s="5" t="s">
        <v>4586</v>
      </c>
      <c r="C4115" s="5"/>
      <c r="D4115" s="5" t="s">
        <v>322</v>
      </c>
      <c r="E4115" s="5"/>
      <c r="G4115" s="5"/>
      <c r="H4115" s="5"/>
    </row>
    <row r="4116" spans="1:9" x14ac:dyDescent="0.2">
      <c r="A4116" s="5" t="s">
        <v>4638</v>
      </c>
      <c r="B4116" s="5" t="s">
        <v>4545</v>
      </c>
      <c r="C4116" s="8">
        <v>10</v>
      </c>
      <c r="D4116" s="5" t="s">
        <v>162</v>
      </c>
      <c r="E4116" s="5"/>
      <c r="G4116" s="5"/>
      <c r="H4116" s="5"/>
    </row>
    <row r="4117" spans="1:9" x14ac:dyDescent="0.2">
      <c r="B4117" s="6" t="s">
        <v>4639</v>
      </c>
      <c r="C4117" s="6"/>
      <c r="D4117" s="6"/>
      <c r="E4117" s="6"/>
      <c r="F4117" s="9">
        <f>SUM(H3961:H4117)</f>
        <v>0</v>
      </c>
      <c r="G4117" s="6"/>
      <c r="I4117" s="9">
        <f>PRODUCT(F4117,G4117)</f>
        <v>0</v>
      </c>
    </row>
    <row r="4119" spans="1:9" x14ac:dyDescent="0.2">
      <c r="A4119" s="6" t="s">
        <v>4640</v>
      </c>
      <c r="B4119" s="6" t="s">
        <v>4641</v>
      </c>
    </row>
    <row r="4120" spans="1:9" x14ac:dyDescent="0.2">
      <c r="A4120" s="5"/>
      <c r="B4120" s="5" t="s">
        <v>64</v>
      </c>
      <c r="C4120" s="5"/>
      <c r="D4120" s="5" t="s">
        <v>13</v>
      </c>
      <c r="E4120" s="5"/>
      <c r="G4120" s="5"/>
      <c r="H4120" s="5"/>
    </row>
    <row r="4121" spans="1:9" x14ac:dyDescent="0.2">
      <c r="A4121" s="5" t="s">
        <v>4642</v>
      </c>
      <c r="B4121" s="5" t="s">
        <v>66</v>
      </c>
      <c r="C4121" s="5"/>
      <c r="D4121" s="5" t="s">
        <v>18</v>
      </c>
      <c r="E4121" s="5"/>
      <c r="G4121" s="5"/>
      <c r="H4121" s="5"/>
    </row>
    <row r="4122" spans="1:9" x14ac:dyDescent="0.2">
      <c r="A4122" s="5" t="s">
        <v>4643</v>
      </c>
      <c r="B4122" s="5" t="s">
        <v>68</v>
      </c>
      <c r="C4122" s="5"/>
      <c r="D4122" s="5" t="s">
        <v>18</v>
      </c>
      <c r="E4122" s="5"/>
      <c r="G4122" s="5"/>
      <c r="H4122" s="5"/>
    </row>
    <row r="4123" spans="1:9" x14ac:dyDescent="0.2">
      <c r="A4123" s="5"/>
      <c r="B4123" s="5" t="s">
        <v>71</v>
      </c>
      <c r="C4123" s="5"/>
      <c r="D4123" s="5" t="s">
        <v>13</v>
      </c>
      <c r="E4123" s="5"/>
      <c r="G4123" s="5"/>
      <c r="H4123" s="5"/>
    </row>
    <row r="4124" spans="1:9" x14ac:dyDescent="0.2">
      <c r="A4124" s="5" t="s">
        <v>4644</v>
      </c>
      <c r="B4124" s="5" t="s">
        <v>269</v>
      </c>
      <c r="C4124" s="5"/>
      <c r="D4124" s="5" t="s">
        <v>18</v>
      </c>
      <c r="E4124" s="5"/>
      <c r="G4124" s="5"/>
      <c r="H4124" s="5"/>
    </row>
    <row r="4125" spans="1:9" x14ac:dyDescent="0.2">
      <c r="A4125" s="5" t="s">
        <v>4645</v>
      </c>
      <c r="B4125" s="5" t="s">
        <v>4646</v>
      </c>
      <c r="C4125" s="5"/>
      <c r="D4125" s="5" t="s">
        <v>18</v>
      </c>
      <c r="E4125" s="5"/>
      <c r="G4125" s="5"/>
      <c r="H4125" s="5"/>
    </row>
    <row r="4126" spans="1:9" x14ac:dyDescent="0.2">
      <c r="A4126" s="5" t="s">
        <v>4647</v>
      </c>
      <c r="B4126" s="5" t="s">
        <v>4648</v>
      </c>
      <c r="C4126" s="5"/>
      <c r="D4126" s="5" t="s">
        <v>18</v>
      </c>
      <c r="E4126" s="5"/>
      <c r="G4126" s="5"/>
      <c r="H4126" s="5"/>
    </row>
    <row r="4127" spans="1:9" x14ac:dyDescent="0.2">
      <c r="A4127" s="5"/>
      <c r="B4127" s="5" t="s">
        <v>76</v>
      </c>
      <c r="C4127" s="5"/>
      <c r="D4127" s="5" t="s">
        <v>13</v>
      </c>
      <c r="E4127" s="5"/>
      <c r="G4127" s="5"/>
      <c r="H4127" s="5"/>
    </row>
    <row r="4128" spans="1:9" x14ac:dyDescent="0.2">
      <c r="A4128" s="5"/>
      <c r="B4128" s="5" t="s">
        <v>77</v>
      </c>
      <c r="C4128" s="5"/>
      <c r="D4128" s="5" t="s">
        <v>15</v>
      </c>
      <c r="E4128" s="5"/>
      <c r="G4128" s="5"/>
      <c r="H4128" s="5"/>
    </row>
    <row r="4129" spans="1:8" x14ac:dyDescent="0.2">
      <c r="A4129" s="5" t="s">
        <v>4649</v>
      </c>
      <c r="B4129" s="5" t="s">
        <v>2970</v>
      </c>
      <c r="C4129" s="5"/>
      <c r="D4129" s="5" t="s">
        <v>18</v>
      </c>
      <c r="E4129" s="5"/>
      <c r="G4129" s="5"/>
      <c r="H4129" s="5"/>
    </row>
    <row r="4130" spans="1:8" x14ac:dyDescent="0.2">
      <c r="A4130" s="5" t="s">
        <v>4650</v>
      </c>
      <c r="B4130" s="5" t="s">
        <v>299</v>
      </c>
      <c r="C4130" s="5"/>
      <c r="D4130" s="5" t="s">
        <v>18</v>
      </c>
      <c r="E4130" s="5"/>
      <c r="G4130" s="5"/>
      <c r="H4130" s="5"/>
    </row>
    <row r="4131" spans="1:8" x14ac:dyDescent="0.2">
      <c r="A4131" s="5"/>
      <c r="B4131" s="5" t="s">
        <v>94</v>
      </c>
      <c r="C4131" s="5"/>
      <c r="D4131" s="5" t="s">
        <v>13</v>
      </c>
      <c r="E4131" s="5"/>
      <c r="G4131" s="5"/>
      <c r="H4131" s="5"/>
    </row>
    <row r="4132" spans="1:8" x14ac:dyDescent="0.2">
      <c r="A4132" s="5" t="s">
        <v>4651</v>
      </c>
      <c r="B4132" s="5" t="s">
        <v>589</v>
      </c>
      <c r="C4132" s="8">
        <v>1</v>
      </c>
      <c r="D4132" s="5" t="s">
        <v>97</v>
      </c>
      <c r="E4132" s="5"/>
      <c r="G4132" s="5"/>
      <c r="H4132" s="5"/>
    </row>
    <row r="4133" spans="1:8" x14ac:dyDescent="0.2">
      <c r="A4133" s="5" t="s">
        <v>4652</v>
      </c>
      <c r="B4133" s="5" t="s">
        <v>111</v>
      </c>
      <c r="C4133" s="8">
        <v>1</v>
      </c>
      <c r="D4133" s="5" t="s">
        <v>97</v>
      </c>
      <c r="E4133" s="5"/>
      <c r="G4133" s="5"/>
      <c r="H4133" s="5"/>
    </row>
    <row r="4134" spans="1:8" x14ac:dyDescent="0.2">
      <c r="A4134" s="5" t="s">
        <v>4653</v>
      </c>
      <c r="B4134" s="5" t="s">
        <v>3969</v>
      </c>
      <c r="C4134" s="8">
        <v>1</v>
      </c>
      <c r="D4134" s="5" t="s">
        <v>97</v>
      </c>
      <c r="E4134" s="5"/>
      <c r="G4134" s="5"/>
      <c r="H4134" s="5"/>
    </row>
    <row r="4135" spans="1:8" x14ac:dyDescent="0.2">
      <c r="A4135" s="5" t="s">
        <v>4654</v>
      </c>
      <c r="B4135" s="5" t="s">
        <v>2761</v>
      </c>
      <c r="C4135" s="8">
        <v>1</v>
      </c>
      <c r="D4135" s="5" t="s">
        <v>97</v>
      </c>
      <c r="E4135" s="5"/>
      <c r="G4135" s="5"/>
      <c r="H4135" s="5"/>
    </row>
    <row r="4136" spans="1:8" x14ac:dyDescent="0.2">
      <c r="A4136" s="5"/>
      <c r="B4136" s="5" t="s">
        <v>135</v>
      </c>
      <c r="C4136" s="5"/>
      <c r="D4136" s="5" t="s">
        <v>13</v>
      </c>
      <c r="E4136" s="5"/>
      <c r="G4136" s="5"/>
      <c r="H4136" s="5"/>
    </row>
    <row r="4137" spans="1:8" x14ac:dyDescent="0.2">
      <c r="A4137" s="5" t="s">
        <v>4655</v>
      </c>
      <c r="B4137" s="5" t="s">
        <v>4656</v>
      </c>
      <c r="C4137" s="5"/>
      <c r="D4137" s="5" t="s">
        <v>608</v>
      </c>
      <c r="E4137" s="5"/>
      <c r="G4137" s="5"/>
      <c r="H4137" s="5"/>
    </row>
    <row r="4138" spans="1:8" x14ac:dyDescent="0.2">
      <c r="A4138" s="5" t="s">
        <v>4657</v>
      </c>
      <c r="B4138" s="5" t="s">
        <v>4658</v>
      </c>
      <c r="C4138" s="5"/>
      <c r="D4138" s="5" t="s">
        <v>18</v>
      </c>
      <c r="E4138" s="5"/>
      <c r="G4138" s="5"/>
      <c r="H4138" s="5"/>
    </row>
    <row r="4139" spans="1:8" x14ac:dyDescent="0.2">
      <c r="A4139" s="5"/>
      <c r="B4139" s="5" t="s">
        <v>38</v>
      </c>
      <c r="C4139" s="5"/>
      <c r="D4139" s="5" t="s">
        <v>13</v>
      </c>
      <c r="E4139" s="5"/>
      <c r="G4139" s="5"/>
      <c r="H4139" s="5"/>
    </row>
    <row r="4140" spans="1:8" x14ac:dyDescent="0.2">
      <c r="A4140" s="5"/>
      <c r="B4140" s="5" t="s">
        <v>4659</v>
      </c>
      <c r="C4140" s="5"/>
      <c r="D4140" s="5" t="s">
        <v>15</v>
      </c>
      <c r="E4140" s="5"/>
      <c r="G4140" s="5"/>
      <c r="H4140" s="5"/>
    </row>
    <row r="4141" spans="1:8" x14ac:dyDescent="0.2">
      <c r="A4141" s="5" t="s">
        <v>4660</v>
      </c>
      <c r="B4141" s="5" t="s">
        <v>4539</v>
      </c>
      <c r="C4141" s="8">
        <v>1</v>
      </c>
      <c r="D4141" s="5" t="s">
        <v>162</v>
      </c>
      <c r="E4141" s="5"/>
      <c r="G4141" s="5"/>
      <c r="H4141" s="5"/>
    </row>
    <row r="4142" spans="1:8" x14ac:dyDescent="0.2">
      <c r="A4142" s="5" t="s">
        <v>4661</v>
      </c>
      <c r="B4142" s="5" t="s">
        <v>4543</v>
      </c>
      <c r="C4142" s="8">
        <v>8</v>
      </c>
      <c r="D4142" s="5" t="s">
        <v>162</v>
      </c>
      <c r="E4142" s="5"/>
      <c r="G4142" s="5"/>
      <c r="H4142" s="5"/>
    </row>
    <row r="4143" spans="1:8" x14ac:dyDescent="0.2">
      <c r="A4143" s="5" t="s">
        <v>4662</v>
      </c>
      <c r="B4143" s="5" t="s">
        <v>4545</v>
      </c>
      <c r="C4143" s="8">
        <v>2</v>
      </c>
      <c r="D4143" s="5" t="s">
        <v>162</v>
      </c>
      <c r="E4143" s="5"/>
      <c r="G4143" s="5"/>
      <c r="H4143" s="5"/>
    </row>
    <row r="4144" spans="1:8" x14ac:dyDescent="0.2">
      <c r="A4144" s="5"/>
      <c r="B4144" s="5" t="s">
        <v>4663</v>
      </c>
      <c r="C4144" s="5"/>
      <c r="D4144" s="5" t="s">
        <v>15</v>
      </c>
      <c r="E4144" s="5"/>
      <c r="G4144" s="5"/>
      <c r="H4144" s="5"/>
    </row>
    <row r="4145" spans="1:8" x14ac:dyDescent="0.2">
      <c r="A4145" s="5" t="s">
        <v>4664</v>
      </c>
      <c r="B4145" s="5" t="s">
        <v>4541</v>
      </c>
      <c r="C4145" s="8">
        <v>1</v>
      </c>
      <c r="D4145" s="5" t="s">
        <v>162</v>
      </c>
      <c r="E4145" s="5"/>
      <c r="G4145" s="5"/>
      <c r="H4145" s="5"/>
    </row>
    <row r="4146" spans="1:8" x14ac:dyDescent="0.2">
      <c r="A4146" s="5"/>
      <c r="B4146" s="5" t="s">
        <v>4665</v>
      </c>
      <c r="C4146" s="5"/>
      <c r="D4146" s="5" t="s">
        <v>15</v>
      </c>
      <c r="E4146" s="5"/>
      <c r="G4146" s="5"/>
      <c r="H4146" s="5"/>
    </row>
    <row r="4147" spans="1:8" x14ac:dyDescent="0.2">
      <c r="A4147" s="5" t="s">
        <v>4666</v>
      </c>
      <c r="B4147" s="5" t="s">
        <v>4543</v>
      </c>
      <c r="C4147" s="8">
        <v>1</v>
      </c>
      <c r="D4147" s="5" t="s">
        <v>162</v>
      </c>
      <c r="E4147" s="5"/>
      <c r="G4147" s="5"/>
      <c r="H4147" s="5"/>
    </row>
    <row r="4148" spans="1:8" x14ac:dyDescent="0.2">
      <c r="A4148" s="5"/>
      <c r="B4148" s="5" t="s">
        <v>4667</v>
      </c>
      <c r="C4148" s="5"/>
      <c r="D4148" s="5" t="s">
        <v>15</v>
      </c>
      <c r="E4148" s="5"/>
      <c r="G4148" s="5"/>
      <c r="H4148" s="5"/>
    </row>
    <row r="4149" spans="1:8" x14ac:dyDescent="0.2">
      <c r="A4149" s="5" t="s">
        <v>4668</v>
      </c>
      <c r="B4149" s="5" t="s">
        <v>4543</v>
      </c>
      <c r="C4149" s="8">
        <v>2</v>
      </c>
      <c r="D4149" s="5" t="s">
        <v>162</v>
      </c>
      <c r="E4149" s="5"/>
      <c r="G4149" s="5"/>
      <c r="H4149" s="5"/>
    </row>
    <row r="4150" spans="1:8" x14ac:dyDescent="0.2">
      <c r="A4150" s="5" t="s">
        <v>4669</v>
      </c>
      <c r="B4150" s="5" t="s">
        <v>4545</v>
      </c>
      <c r="C4150" s="8">
        <v>1</v>
      </c>
      <c r="D4150" s="5" t="s">
        <v>162</v>
      </c>
      <c r="E4150" s="5"/>
      <c r="G4150" s="5"/>
      <c r="H4150" s="5"/>
    </row>
    <row r="4151" spans="1:8" x14ac:dyDescent="0.2">
      <c r="A4151" s="5"/>
      <c r="B4151" s="5" t="s">
        <v>4670</v>
      </c>
      <c r="C4151" s="5"/>
      <c r="D4151" s="5" t="s">
        <v>15</v>
      </c>
      <c r="E4151" s="5"/>
      <c r="G4151" s="5"/>
      <c r="H4151" s="5"/>
    </row>
    <row r="4152" spans="1:8" x14ac:dyDescent="0.2">
      <c r="A4152" s="5" t="s">
        <v>4671</v>
      </c>
      <c r="B4152" s="5" t="s">
        <v>4545</v>
      </c>
      <c r="C4152" s="8">
        <v>1</v>
      </c>
      <c r="D4152" s="5" t="s">
        <v>162</v>
      </c>
      <c r="E4152" s="5"/>
      <c r="G4152" s="5"/>
      <c r="H4152" s="5"/>
    </row>
    <row r="4153" spans="1:8" x14ac:dyDescent="0.2">
      <c r="A4153" s="5"/>
      <c r="B4153" s="5" t="s">
        <v>4672</v>
      </c>
      <c r="C4153" s="5"/>
      <c r="D4153" s="5" t="s">
        <v>15</v>
      </c>
      <c r="E4153" s="5"/>
      <c r="G4153" s="5"/>
      <c r="H4153" s="5"/>
    </row>
    <row r="4154" spans="1:8" x14ac:dyDescent="0.2">
      <c r="A4154" s="5" t="s">
        <v>4673</v>
      </c>
      <c r="B4154" s="5" t="s">
        <v>4541</v>
      </c>
      <c r="C4154" s="8">
        <v>2</v>
      </c>
      <c r="D4154" s="5" t="s">
        <v>162</v>
      </c>
      <c r="E4154" s="5"/>
      <c r="G4154" s="5"/>
      <c r="H4154" s="5"/>
    </row>
    <row r="4155" spans="1:8" x14ac:dyDescent="0.2">
      <c r="A4155" s="5" t="s">
        <v>4674</v>
      </c>
      <c r="B4155" s="5" t="s">
        <v>4543</v>
      </c>
      <c r="C4155" s="8">
        <v>2</v>
      </c>
      <c r="D4155" s="5" t="s">
        <v>162</v>
      </c>
      <c r="E4155" s="5"/>
      <c r="G4155" s="5"/>
      <c r="H4155" s="5"/>
    </row>
    <row r="4156" spans="1:8" x14ac:dyDescent="0.2">
      <c r="A4156" s="5"/>
      <c r="B4156" s="5" t="s">
        <v>4675</v>
      </c>
      <c r="C4156" s="5"/>
      <c r="D4156" s="5" t="s">
        <v>15</v>
      </c>
      <c r="E4156" s="5"/>
      <c r="G4156" s="5"/>
      <c r="H4156" s="5"/>
    </row>
    <row r="4157" spans="1:8" x14ac:dyDescent="0.2">
      <c r="A4157" s="5" t="s">
        <v>4676</v>
      </c>
      <c r="B4157" s="5" t="s">
        <v>4539</v>
      </c>
      <c r="C4157" s="8">
        <v>12</v>
      </c>
      <c r="D4157" s="5" t="s">
        <v>162</v>
      </c>
      <c r="E4157" s="5"/>
      <c r="G4157" s="5"/>
      <c r="H4157" s="5"/>
    </row>
    <row r="4158" spans="1:8" x14ac:dyDescent="0.2">
      <c r="A4158" s="5" t="s">
        <v>4677</v>
      </c>
      <c r="B4158" s="5" t="s">
        <v>4541</v>
      </c>
      <c r="C4158" s="8">
        <v>1</v>
      </c>
      <c r="D4158" s="5" t="s">
        <v>162</v>
      </c>
      <c r="E4158" s="5"/>
      <c r="G4158" s="5"/>
      <c r="H4158" s="5"/>
    </row>
    <row r="4159" spans="1:8" x14ac:dyDescent="0.2">
      <c r="A4159" s="5" t="s">
        <v>4678</v>
      </c>
      <c r="B4159" s="5" t="s">
        <v>4543</v>
      </c>
      <c r="C4159" s="8">
        <v>1</v>
      </c>
      <c r="D4159" s="5" t="s">
        <v>162</v>
      </c>
      <c r="E4159" s="5"/>
      <c r="G4159" s="5"/>
      <c r="H4159" s="5"/>
    </row>
    <row r="4160" spans="1:8" x14ac:dyDescent="0.2">
      <c r="A4160" s="5" t="s">
        <v>4679</v>
      </c>
      <c r="B4160" s="5" t="s">
        <v>4545</v>
      </c>
      <c r="C4160" s="8">
        <v>2</v>
      </c>
      <c r="D4160" s="5" t="s">
        <v>162</v>
      </c>
      <c r="E4160" s="5"/>
      <c r="G4160" s="5"/>
      <c r="H4160" s="5"/>
    </row>
    <row r="4161" spans="1:8" x14ac:dyDescent="0.2">
      <c r="A4161" s="5"/>
      <c r="B4161" s="5" t="s">
        <v>4680</v>
      </c>
      <c r="C4161" s="5"/>
      <c r="D4161" s="5" t="s">
        <v>15</v>
      </c>
      <c r="E4161" s="5"/>
      <c r="G4161" s="5"/>
      <c r="H4161" s="5"/>
    </row>
    <row r="4162" spans="1:8" x14ac:dyDescent="0.2">
      <c r="A4162" s="5" t="s">
        <v>4681</v>
      </c>
      <c r="B4162" s="5" t="s">
        <v>4539</v>
      </c>
      <c r="C4162" s="8">
        <v>2</v>
      </c>
      <c r="D4162" s="5" t="s">
        <v>162</v>
      </c>
      <c r="E4162" s="5"/>
      <c r="G4162" s="5"/>
      <c r="H4162" s="5"/>
    </row>
    <row r="4163" spans="1:8" x14ac:dyDescent="0.2">
      <c r="A4163" s="5" t="s">
        <v>4682</v>
      </c>
      <c r="B4163" s="5" t="s">
        <v>4541</v>
      </c>
      <c r="C4163" s="8">
        <v>1</v>
      </c>
      <c r="D4163" s="5" t="s">
        <v>162</v>
      </c>
      <c r="E4163" s="5"/>
      <c r="G4163" s="5"/>
      <c r="H4163" s="5"/>
    </row>
    <row r="4164" spans="1:8" x14ac:dyDescent="0.2">
      <c r="A4164" s="5" t="s">
        <v>4683</v>
      </c>
      <c r="B4164" s="5" t="s">
        <v>4543</v>
      </c>
      <c r="C4164" s="8">
        <v>1</v>
      </c>
      <c r="D4164" s="5" t="s">
        <v>162</v>
      </c>
      <c r="E4164" s="5"/>
      <c r="G4164" s="5"/>
      <c r="H4164" s="5"/>
    </row>
    <row r="4165" spans="1:8" x14ac:dyDescent="0.2">
      <c r="A4165" s="5" t="s">
        <v>4684</v>
      </c>
      <c r="B4165" s="5" t="s">
        <v>4545</v>
      </c>
      <c r="C4165" s="8">
        <v>3</v>
      </c>
      <c r="D4165" s="5" t="s">
        <v>162</v>
      </c>
      <c r="E4165" s="5"/>
      <c r="G4165" s="5"/>
      <c r="H4165" s="5"/>
    </row>
    <row r="4166" spans="1:8" x14ac:dyDescent="0.2">
      <c r="A4166" s="5"/>
      <c r="B4166" s="5" t="s">
        <v>4685</v>
      </c>
      <c r="C4166" s="5"/>
      <c r="D4166" s="5" t="s">
        <v>15</v>
      </c>
      <c r="E4166" s="5"/>
      <c r="G4166" s="5"/>
      <c r="H4166" s="5"/>
    </row>
    <row r="4167" spans="1:8" x14ac:dyDescent="0.2">
      <c r="A4167" s="5" t="s">
        <v>4686</v>
      </c>
      <c r="B4167" s="5" t="s">
        <v>4539</v>
      </c>
      <c r="C4167" s="8">
        <v>2</v>
      </c>
      <c r="D4167" s="5" t="s">
        <v>162</v>
      </c>
      <c r="E4167" s="5"/>
      <c r="G4167" s="5"/>
      <c r="H4167" s="5"/>
    </row>
    <row r="4168" spans="1:8" x14ac:dyDescent="0.2">
      <c r="A4168" s="5" t="s">
        <v>4687</v>
      </c>
      <c r="B4168" s="5" t="s">
        <v>4541</v>
      </c>
      <c r="C4168" s="8">
        <v>1</v>
      </c>
      <c r="D4168" s="5" t="s">
        <v>162</v>
      </c>
      <c r="E4168" s="5"/>
      <c r="G4168" s="5"/>
      <c r="H4168" s="5"/>
    </row>
    <row r="4169" spans="1:8" x14ac:dyDescent="0.2">
      <c r="A4169" s="5" t="s">
        <v>4688</v>
      </c>
      <c r="B4169" s="5" t="s">
        <v>4543</v>
      </c>
      <c r="C4169" s="8">
        <v>1</v>
      </c>
      <c r="D4169" s="5" t="s">
        <v>162</v>
      </c>
      <c r="E4169" s="5"/>
      <c r="G4169" s="5"/>
      <c r="H4169" s="5"/>
    </row>
    <row r="4170" spans="1:8" x14ac:dyDescent="0.2">
      <c r="A4170" s="5" t="s">
        <v>4689</v>
      </c>
      <c r="B4170" s="5" t="s">
        <v>4545</v>
      </c>
      <c r="C4170" s="8">
        <v>3</v>
      </c>
      <c r="D4170" s="5" t="s">
        <v>162</v>
      </c>
      <c r="E4170" s="5"/>
      <c r="G4170" s="5"/>
      <c r="H4170" s="5"/>
    </row>
    <row r="4171" spans="1:8" x14ac:dyDescent="0.2">
      <c r="A4171" s="5"/>
      <c r="B4171" s="5" t="s">
        <v>4690</v>
      </c>
      <c r="C4171" s="5"/>
      <c r="D4171" s="5" t="s">
        <v>15</v>
      </c>
      <c r="E4171" s="5"/>
      <c r="G4171" s="5"/>
      <c r="H4171" s="5"/>
    </row>
    <row r="4172" spans="1:8" x14ac:dyDescent="0.2">
      <c r="A4172" s="5" t="s">
        <v>4691</v>
      </c>
      <c r="B4172" s="5" t="s">
        <v>4539</v>
      </c>
      <c r="C4172" s="8">
        <v>2</v>
      </c>
      <c r="D4172" s="5" t="s">
        <v>162</v>
      </c>
      <c r="E4172" s="5"/>
      <c r="G4172" s="5"/>
      <c r="H4172" s="5"/>
    </row>
    <row r="4173" spans="1:8" x14ac:dyDescent="0.2">
      <c r="A4173" s="5" t="s">
        <v>4692</v>
      </c>
      <c r="B4173" s="5" t="s">
        <v>4541</v>
      </c>
      <c r="C4173" s="8">
        <v>2</v>
      </c>
      <c r="D4173" s="5" t="s">
        <v>162</v>
      </c>
      <c r="E4173" s="5"/>
      <c r="G4173" s="5"/>
      <c r="H4173" s="5"/>
    </row>
    <row r="4174" spans="1:8" x14ac:dyDescent="0.2">
      <c r="A4174" s="5" t="s">
        <v>4693</v>
      </c>
      <c r="B4174" s="5" t="s">
        <v>4543</v>
      </c>
      <c r="C4174" s="8">
        <v>2</v>
      </c>
      <c r="D4174" s="5" t="s">
        <v>162</v>
      </c>
      <c r="E4174" s="5"/>
      <c r="G4174" s="5"/>
      <c r="H4174" s="5"/>
    </row>
    <row r="4175" spans="1:8" x14ac:dyDescent="0.2">
      <c r="A4175" s="5" t="s">
        <v>4694</v>
      </c>
      <c r="B4175" s="5" t="s">
        <v>4545</v>
      </c>
      <c r="C4175" s="8">
        <v>1</v>
      </c>
      <c r="D4175" s="5" t="s">
        <v>162</v>
      </c>
      <c r="E4175" s="5"/>
      <c r="G4175" s="5"/>
      <c r="H4175" s="5"/>
    </row>
    <row r="4176" spans="1:8" x14ac:dyDescent="0.2">
      <c r="A4176" s="5"/>
      <c r="B4176" s="5" t="s">
        <v>4695</v>
      </c>
      <c r="C4176" s="5"/>
      <c r="D4176" s="5" t="s">
        <v>15</v>
      </c>
      <c r="E4176" s="5"/>
      <c r="G4176" s="5"/>
      <c r="H4176" s="5"/>
    </row>
    <row r="4177" spans="1:8" x14ac:dyDescent="0.2">
      <c r="A4177" s="5" t="s">
        <v>4696</v>
      </c>
      <c r="B4177" s="5" t="s">
        <v>4543</v>
      </c>
      <c r="C4177" s="8">
        <v>1</v>
      </c>
      <c r="D4177" s="5" t="s">
        <v>162</v>
      </c>
      <c r="E4177" s="5"/>
      <c r="G4177" s="5"/>
      <c r="H4177" s="5"/>
    </row>
    <row r="4178" spans="1:8" x14ac:dyDescent="0.2">
      <c r="A4178" s="5"/>
      <c r="B4178" s="5" t="s">
        <v>4697</v>
      </c>
      <c r="C4178" s="5"/>
      <c r="D4178" s="5" t="s">
        <v>15</v>
      </c>
      <c r="E4178" s="5"/>
      <c r="G4178" s="5"/>
      <c r="H4178" s="5"/>
    </row>
    <row r="4179" spans="1:8" x14ac:dyDescent="0.2">
      <c r="A4179" s="5" t="s">
        <v>4698</v>
      </c>
      <c r="B4179" s="5" t="s">
        <v>4543</v>
      </c>
      <c r="C4179" s="8">
        <v>1</v>
      </c>
      <c r="D4179" s="5" t="s">
        <v>162</v>
      </c>
      <c r="E4179" s="5"/>
      <c r="G4179" s="5"/>
      <c r="H4179" s="5"/>
    </row>
    <row r="4180" spans="1:8" x14ac:dyDescent="0.2">
      <c r="A4180" s="5"/>
      <c r="B4180" s="5" t="s">
        <v>4699</v>
      </c>
      <c r="C4180" s="5"/>
      <c r="D4180" s="5" t="s">
        <v>15</v>
      </c>
      <c r="E4180" s="5"/>
      <c r="G4180" s="5"/>
      <c r="H4180" s="5"/>
    </row>
    <row r="4181" spans="1:8" x14ac:dyDescent="0.2">
      <c r="A4181" s="5" t="s">
        <v>4700</v>
      </c>
      <c r="B4181" s="5" t="s">
        <v>4543</v>
      </c>
      <c r="C4181" s="8">
        <v>1</v>
      </c>
      <c r="D4181" s="5" t="s">
        <v>162</v>
      </c>
      <c r="E4181" s="5"/>
      <c r="G4181" s="5"/>
      <c r="H4181" s="5"/>
    </row>
    <row r="4182" spans="1:8" x14ac:dyDescent="0.2">
      <c r="A4182" s="5"/>
      <c r="B4182" s="5" t="s">
        <v>4701</v>
      </c>
      <c r="C4182" s="5"/>
      <c r="D4182" s="5" t="s">
        <v>15</v>
      </c>
      <c r="E4182" s="5"/>
      <c r="G4182" s="5"/>
      <c r="H4182" s="5"/>
    </row>
    <row r="4183" spans="1:8" x14ac:dyDescent="0.2">
      <c r="A4183" s="5" t="s">
        <v>4702</v>
      </c>
      <c r="B4183" s="5" t="s">
        <v>4539</v>
      </c>
      <c r="C4183" s="8">
        <v>1</v>
      </c>
      <c r="D4183" s="5" t="s">
        <v>162</v>
      </c>
      <c r="E4183" s="5"/>
      <c r="G4183" s="5"/>
      <c r="H4183" s="5"/>
    </row>
    <row r="4184" spans="1:8" x14ac:dyDescent="0.2">
      <c r="A4184" s="5" t="s">
        <v>4703</v>
      </c>
      <c r="B4184" s="5" t="s">
        <v>4541</v>
      </c>
      <c r="C4184" s="8">
        <v>1</v>
      </c>
      <c r="D4184" s="5" t="s">
        <v>162</v>
      </c>
      <c r="E4184" s="5"/>
      <c r="G4184" s="5"/>
      <c r="H4184" s="5"/>
    </row>
    <row r="4185" spans="1:8" x14ac:dyDescent="0.2">
      <c r="A4185" s="5" t="s">
        <v>4704</v>
      </c>
      <c r="B4185" s="5" t="s">
        <v>4543</v>
      </c>
      <c r="C4185" s="8">
        <v>1</v>
      </c>
      <c r="D4185" s="5" t="s">
        <v>162</v>
      </c>
      <c r="E4185" s="5"/>
      <c r="G4185" s="5"/>
      <c r="H4185" s="5"/>
    </row>
    <row r="4186" spans="1:8" x14ac:dyDescent="0.2">
      <c r="A4186" s="5" t="s">
        <v>4705</v>
      </c>
      <c r="B4186" s="5" t="s">
        <v>4545</v>
      </c>
      <c r="C4186" s="8">
        <v>1</v>
      </c>
      <c r="D4186" s="5" t="s">
        <v>162</v>
      </c>
      <c r="E4186" s="5"/>
      <c r="G4186" s="5"/>
      <c r="H4186" s="5"/>
    </row>
    <row r="4187" spans="1:8" x14ac:dyDescent="0.2">
      <c r="A4187" s="5"/>
      <c r="B4187" s="5" t="s">
        <v>4706</v>
      </c>
      <c r="C4187" s="5"/>
      <c r="D4187" s="5" t="s">
        <v>15</v>
      </c>
      <c r="E4187" s="5"/>
      <c r="G4187" s="5"/>
      <c r="H4187" s="5"/>
    </row>
    <row r="4188" spans="1:8" x14ac:dyDescent="0.2">
      <c r="A4188" s="5" t="s">
        <v>4707</v>
      </c>
      <c r="B4188" s="5" t="s">
        <v>4539</v>
      </c>
      <c r="C4188" s="8">
        <v>1</v>
      </c>
      <c r="D4188" s="5" t="s">
        <v>162</v>
      </c>
      <c r="E4188" s="5"/>
      <c r="G4188" s="5"/>
      <c r="H4188" s="5"/>
    </row>
    <row r="4189" spans="1:8" x14ac:dyDescent="0.2">
      <c r="A4189" s="5"/>
      <c r="B4189" s="5" t="s">
        <v>53</v>
      </c>
      <c r="C4189" s="5"/>
      <c r="D4189" s="5" t="s">
        <v>13</v>
      </c>
      <c r="E4189" s="5"/>
      <c r="G4189" s="5"/>
      <c r="H4189" s="5"/>
    </row>
    <row r="4190" spans="1:8" x14ac:dyDescent="0.2">
      <c r="A4190" s="5"/>
      <c r="B4190" s="5" t="s">
        <v>4659</v>
      </c>
      <c r="C4190" s="5"/>
      <c r="D4190" s="5" t="s">
        <v>15</v>
      </c>
      <c r="E4190" s="5"/>
      <c r="G4190" s="5"/>
      <c r="H4190" s="5"/>
    </row>
    <row r="4191" spans="1:8" x14ac:dyDescent="0.2">
      <c r="A4191" s="5" t="s">
        <v>4708</v>
      </c>
      <c r="B4191" s="5" t="s">
        <v>4539</v>
      </c>
      <c r="C4191" s="8">
        <v>4</v>
      </c>
      <c r="D4191" s="5" t="s">
        <v>162</v>
      </c>
      <c r="E4191" s="5"/>
      <c r="G4191" s="5"/>
      <c r="H4191" s="5"/>
    </row>
    <row r="4192" spans="1:8" x14ac:dyDescent="0.2">
      <c r="A4192" s="5" t="s">
        <v>4709</v>
      </c>
      <c r="B4192" s="5" t="s">
        <v>4545</v>
      </c>
      <c r="C4192" s="8">
        <v>2</v>
      </c>
      <c r="D4192" s="5" t="s">
        <v>162</v>
      </c>
      <c r="E4192" s="5"/>
      <c r="G4192" s="5"/>
      <c r="H4192" s="5"/>
    </row>
    <row r="4193" spans="1:8" x14ac:dyDescent="0.2">
      <c r="A4193" s="5"/>
      <c r="B4193" s="5" t="s">
        <v>4663</v>
      </c>
      <c r="C4193" s="5"/>
      <c r="D4193" s="5" t="s">
        <v>15</v>
      </c>
      <c r="E4193" s="5"/>
      <c r="G4193" s="5"/>
      <c r="H4193" s="5"/>
    </row>
    <row r="4194" spans="1:8" x14ac:dyDescent="0.2">
      <c r="A4194" s="5" t="s">
        <v>4710</v>
      </c>
      <c r="B4194" s="5" t="s">
        <v>4541</v>
      </c>
      <c r="C4194" s="8">
        <v>1</v>
      </c>
      <c r="D4194" s="5" t="s">
        <v>162</v>
      </c>
      <c r="E4194" s="5"/>
      <c r="G4194" s="5"/>
      <c r="H4194" s="5"/>
    </row>
    <row r="4195" spans="1:8" x14ac:dyDescent="0.2">
      <c r="A4195" s="5"/>
      <c r="B4195" s="5" t="s">
        <v>4665</v>
      </c>
      <c r="C4195" s="5"/>
      <c r="D4195" s="5" t="s">
        <v>15</v>
      </c>
      <c r="E4195" s="5"/>
      <c r="G4195" s="5"/>
      <c r="H4195" s="5"/>
    </row>
    <row r="4196" spans="1:8" x14ac:dyDescent="0.2">
      <c r="A4196" s="5" t="s">
        <v>4711</v>
      </c>
      <c r="B4196" s="5" t="s">
        <v>4539</v>
      </c>
      <c r="C4196" s="8">
        <v>2</v>
      </c>
      <c r="D4196" s="5" t="s">
        <v>162</v>
      </c>
      <c r="E4196" s="5"/>
      <c r="G4196" s="5"/>
      <c r="H4196" s="5"/>
    </row>
    <row r="4197" spans="1:8" x14ac:dyDescent="0.2">
      <c r="A4197" s="5"/>
      <c r="B4197" s="5" t="s">
        <v>4667</v>
      </c>
      <c r="C4197" s="5"/>
      <c r="D4197" s="5" t="s">
        <v>15</v>
      </c>
      <c r="E4197" s="5"/>
      <c r="G4197" s="5"/>
      <c r="H4197" s="5"/>
    </row>
    <row r="4198" spans="1:8" x14ac:dyDescent="0.2">
      <c r="A4198" s="5" t="s">
        <v>4712</v>
      </c>
      <c r="B4198" s="5" t="s">
        <v>4539</v>
      </c>
      <c r="C4198" s="8">
        <v>2</v>
      </c>
      <c r="D4198" s="5" t="s">
        <v>162</v>
      </c>
      <c r="E4198" s="5"/>
      <c r="G4198" s="5"/>
      <c r="H4198" s="5"/>
    </row>
    <row r="4199" spans="1:8" x14ac:dyDescent="0.2">
      <c r="A4199" s="5" t="s">
        <v>4713</v>
      </c>
      <c r="B4199" s="5" t="s">
        <v>4545</v>
      </c>
      <c r="C4199" s="8">
        <v>1</v>
      </c>
      <c r="D4199" s="5" t="s">
        <v>162</v>
      </c>
      <c r="E4199" s="5"/>
      <c r="G4199" s="5"/>
      <c r="H4199" s="5"/>
    </row>
    <row r="4200" spans="1:8" x14ac:dyDescent="0.2">
      <c r="A4200" s="5"/>
      <c r="B4200" s="5" t="s">
        <v>4670</v>
      </c>
      <c r="C4200" s="5"/>
      <c r="D4200" s="5" t="s">
        <v>15</v>
      </c>
      <c r="E4200" s="5"/>
      <c r="G4200" s="5"/>
      <c r="H4200" s="5"/>
    </row>
    <row r="4201" spans="1:8" x14ac:dyDescent="0.2">
      <c r="A4201" s="5" t="s">
        <v>4714</v>
      </c>
      <c r="B4201" s="5" t="s">
        <v>4539</v>
      </c>
      <c r="C4201" s="8">
        <v>2</v>
      </c>
      <c r="D4201" s="5" t="s">
        <v>162</v>
      </c>
      <c r="E4201" s="5"/>
      <c r="G4201" s="5"/>
      <c r="H4201" s="5"/>
    </row>
    <row r="4202" spans="1:8" x14ac:dyDescent="0.2">
      <c r="A4202" s="5" t="s">
        <v>4715</v>
      </c>
      <c r="B4202" s="5" t="s">
        <v>4543</v>
      </c>
      <c r="C4202" s="8">
        <v>1</v>
      </c>
      <c r="D4202" s="5" t="s">
        <v>162</v>
      </c>
      <c r="E4202" s="5"/>
      <c r="G4202" s="5"/>
      <c r="H4202" s="5"/>
    </row>
    <row r="4203" spans="1:8" x14ac:dyDescent="0.2">
      <c r="A4203" s="5" t="s">
        <v>4716</v>
      </c>
      <c r="B4203" s="5" t="s">
        <v>4545</v>
      </c>
      <c r="C4203" s="8">
        <v>1</v>
      </c>
      <c r="D4203" s="5" t="s">
        <v>162</v>
      </c>
      <c r="E4203" s="5"/>
      <c r="G4203" s="5"/>
      <c r="H4203" s="5"/>
    </row>
    <row r="4204" spans="1:8" x14ac:dyDescent="0.2">
      <c r="A4204" s="5"/>
      <c r="B4204" s="5" t="s">
        <v>4672</v>
      </c>
      <c r="C4204" s="5"/>
      <c r="D4204" s="5" t="s">
        <v>15</v>
      </c>
      <c r="E4204" s="5"/>
      <c r="G4204" s="5"/>
      <c r="H4204" s="5"/>
    </row>
    <row r="4205" spans="1:8" x14ac:dyDescent="0.2">
      <c r="A4205" s="5" t="s">
        <v>4717</v>
      </c>
      <c r="B4205" s="5" t="s">
        <v>4539</v>
      </c>
      <c r="C4205" s="8">
        <v>2</v>
      </c>
      <c r="D4205" s="5" t="s">
        <v>162</v>
      </c>
      <c r="E4205" s="5"/>
      <c r="G4205" s="5"/>
      <c r="H4205" s="5"/>
    </row>
    <row r="4206" spans="1:8" x14ac:dyDescent="0.2">
      <c r="A4206" s="5" t="s">
        <v>4718</v>
      </c>
      <c r="B4206" s="5" t="s">
        <v>4545</v>
      </c>
      <c r="C4206" s="8">
        <v>1</v>
      </c>
      <c r="D4206" s="5" t="s">
        <v>162</v>
      </c>
      <c r="E4206" s="5"/>
      <c r="G4206" s="5"/>
      <c r="H4206" s="5"/>
    </row>
    <row r="4207" spans="1:8" x14ac:dyDescent="0.2">
      <c r="A4207" s="5"/>
      <c r="B4207" s="5" t="s">
        <v>4675</v>
      </c>
      <c r="C4207" s="5"/>
      <c r="D4207" s="5" t="s">
        <v>15</v>
      </c>
      <c r="E4207" s="5"/>
      <c r="G4207" s="5"/>
      <c r="H4207" s="5"/>
    </row>
    <row r="4208" spans="1:8" x14ac:dyDescent="0.2">
      <c r="A4208" s="5" t="s">
        <v>4719</v>
      </c>
      <c r="B4208" s="5" t="s">
        <v>4539</v>
      </c>
      <c r="C4208" s="8">
        <v>6</v>
      </c>
      <c r="D4208" s="5" t="s">
        <v>162</v>
      </c>
      <c r="E4208" s="5"/>
      <c r="G4208" s="5"/>
      <c r="H4208" s="5"/>
    </row>
    <row r="4209" spans="1:8" x14ac:dyDescent="0.2">
      <c r="A4209" s="5" t="s">
        <v>4720</v>
      </c>
      <c r="B4209" s="5" t="s">
        <v>4541</v>
      </c>
      <c r="C4209" s="8">
        <v>2</v>
      </c>
      <c r="D4209" s="5" t="s">
        <v>162</v>
      </c>
      <c r="E4209" s="5"/>
      <c r="G4209" s="5"/>
      <c r="H4209" s="5"/>
    </row>
    <row r="4210" spans="1:8" x14ac:dyDescent="0.2">
      <c r="A4210" s="5" t="s">
        <v>4721</v>
      </c>
      <c r="B4210" s="5" t="s">
        <v>4543</v>
      </c>
      <c r="C4210" s="8">
        <v>2</v>
      </c>
      <c r="D4210" s="5" t="s">
        <v>162</v>
      </c>
      <c r="E4210" s="5"/>
      <c r="G4210" s="5"/>
      <c r="H4210" s="5"/>
    </row>
    <row r="4211" spans="1:8" x14ac:dyDescent="0.2">
      <c r="A4211" s="5" t="s">
        <v>4722</v>
      </c>
      <c r="B4211" s="5" t="s">
        <v>4545</v>
      </c>
      <c r="C4211" s="8">
        <v>4</v>
      </c>
      <c r="D4211" s="5" t="s">
        <v>162</v>
      </c>
      <c r="E4211" s="5"/>
      <c r="G4211" s="5"/>
      <c r="H4211" s="5"/>
    </row>
    <row r="4212" spans="1:8" x14ac:dyDescent="0.2">
      <c r="A4212" s="5"/>
      <c r="B4212" s="5" t="s">
        <v>4680</v>
      </c>
      <c r="C4212" s="5"/>
      <c r="D4212" s="5" t="s">
        <v>15</v>
      </c>
      <c r="E4212" s="5"/>
      <c r="G4212" s="5"/>
      <c r="H4212" s="5"/>
    </row>
    <row r="4213" spans="1:8" x14ac:dyDescent="0.2">
      <c r="A4213" s="5" t="s">
        <v>4723</v>
      </c>
      <c r="B4213" s="5" t="s">
        <v>4539</v>
      </c>
      <c r="C4213" s="8">
        <v>1</v>
      </c>
      <c r="D4213" s="5" t="s">
        <v>162</v>
      </c>
      <c r="E4213" s="5"/>
      <c r="G4213" s="5"/>
      <c r="H4213" s="5"/>
    </row>
    <row r="4214" spans="1:8" x14ac:dyDescent="0.2">
      <c r="A4214" s="5" t="s">
        <v>4724</v>
      </c>
      <c r="B4214" s="5" t="s">
        <v>4541</v>
      </c>
      <c r="C4214" s="8">
        <v>1</v>
      </c>
      <c r="D4214" s="5" t="s">
        <v>162</v>
      </c>
      <c r="E4214" s="5"/>
      <c r="G4214" s="5"/>
      <c r="H4214" s="5"/>
    </row>
    <row r="4215" spans="1:8" x14ac:dyDescent="0.2">
      <c r="A4215" s="5" t="s">
        <v>4725</v>
      </c>
      <c r="B4215" s="5" t="s">
        <v>4543</v>
      </c>
      <c r="C4215" s="8">
        <v>1</v>
      </c>
      <c r="D4215" s="5" t="s">
        <v>162</v>
      </c>
      <c r="E4215" s="5"/>
      <c r="G4215" s="5"/>
      <c r="H4215" s="5"/>
    </row>
    <row r="4216" spans="1:8" x14ac:dyDescent="0.2">
      <c r="A4216" s="5" t="s">
        <v>4726</v>
      </c>
      <c r="B4216" s="5" t="s">
        <v>4545</v>
      </c>
      <c r="C4216" s="8">
        <v>1</v>
      </c>
      <c r="D4216" s="5" t="s">
        <v>162</v>
      </c>
      <c r="E4216" s="5"/>
      <c r="G4216" s="5"/>
      <c r="H4216" s="5"/>
    </row>
    <row r="4217" spans="1:8" x14ac:dyDescent="0.2">
      <c r="A4217" s="5"/>
      <c r="B4217" s="5" t="s">
        <v>4685</v>
      </c>
      <c r="C4217" s="5"/>
      <c r="D4217" s="5" t="s">
        <v>15</v>
      </c>
      <c r="E4217" s="5"/>
      <c r="G4217" s="5"/>
      <c r="H4217" s="5"/>
    </row>
    <row r="4218" spans="1:8" x14ac:dyDescent="0.2">
      <c r="A4218" s="5" t="s">
        <v>4727</v>
      </c>
      <c r="B4218" s="5" t="s">
        <v>4539</v>
      </c>
      <c r="C4218" s="8">
        <v>1</v>
      </c>
      <c r="D4218" s="5" t="s">
        <v>162</v>
      </c>
      <c r="E4218" s="5"/>
      <c r="G4218" s="5"/>
      <c r="H4218" s="5"/>
    </row>
    <row r="4219" spans="1:8" x14ac:dyDescent="0.2">
      <c r="A4219" s="5" t="s">
        <v>4728</v>
      </c>
      <c r="B4219" s="5" t="s">
        <v>4541</v>
      </c>
      <c r="C4219" s="8">
        <v>1</v>
      </c>
      <c r="D4219" s="5" t="s">
        <v>162</v>
      </c>
      <c r="E4219" s="5"/>
      <c r="G4219" s="5"/>
      <c r="H4219" s="5"/>
    </row>
    <row r="4220" spans="1:8" x14ac:dyDescent="0.2">
      <c r="A4220" s="5" t="s">
        <v>4729</v>
      </c>
      <c r="B4220" s="5" t="s">
        <v>4543</v>
      </c>
      <c r="C4220" s="8">
        <v>1</v>
      </c>
      <c r="D4220" s="5" t="s">
        <v>162</v>
      </c>
      <c r="E4220" s="5"/>
      <c r="G4220" s="5"/>
      <c r="H4220" s="5"/>
    </row>
    <row r="4221" spans="1:8" x14ac:dyDescent="0.2">
      <c r="A4221" s="5" t="s">
        <v>4730</v>
      </c>
      <c r="B4221" s="5" t="s">
        <v>4545</v>
      </c>
      <c r="C4221" s="8">
        <v>1</v>
      </c>
      <c r="D4221" s="5" t="s">
        <v>162</v>
      </c>
      <c r="E4221" s="5"/>
      <c r="G4221" s="5"/>
      <c r="H4221" s="5"/>
    </row>
    <row r="4222" spans="1:8" x14ac:dyDescent="0.2">
      <c r="A4222" s="5"/>
      <c r="B4222" s="5" t="s">
        <v>4690</v>
      </c>
      <c r="C4222" s="5"/>
      <c r="D4222" s="5" t="s">
        <v>15</v>
      </c>
      <c r="E4222" s="5"/>
      <c r="G4222" s="5"/>
      <c r="H4222" s="5"/>
    </row>
    <row r="4223" spans="1:8" x14ac:dyDescent="0.2">
      <c r="A4223" s="5" t="s">
        <v>4731</v>
      </c>
      <c r="B4223" s="5" t="s">
        <v>4539</v>
      </c>
      <c r="C4223" s="8">
        <v>4</v>
      </c>
      <c r="D4223" s="5" t="s">
        <v>162</v>
      </c>
      <c r="E4223" s="5"/>
      <c r="G4223" s="5"/>
      <c r="H4223" s="5"/>
    </row>
    <row r="4224" spans="1:8" x14ac:dyDescent="0.2">
      <c r="A4224" s="5" t="s">
        <v>4732</v>
      </c>
      <c r="B4224" s="5" t="s">
        <v>4541</v>
      </c>
      <c r="C4224" s="8">
        <v>1</v>
      </c>
      <c r="D4224" s="5" t="s">
        <v>162</v>
      </c>
      <c r="E4224" s="5"/>
      <c r="G4224" s="5"/>
      <c r="H4224" s="5"/>
    </row>
    <row r="4225" spans="1:9" x14ac:dyDescent="0.2">
      <c r="A4225" s="5" t="s">
        <v>4733</v>
      </c>
      <c r="B4225" s="5" t="s">
        <v>4543</v>
      </c>
      <c r="C4225" s="8">
        <v>1</v>
      </c>
      <c r="D4225" s="5" t="s">
        <v>162</v>
      </c>
      <c r="E4225" s="5"/>
      <c r="G4225" s="5"/>
      <c r="H4225" s="5"/>
    </row>
    <row r="4226" spans="1:9" x14ac:dyDescent="0.2">
      <c r="A4226" s="5" t="s">
        <v>4734</v>
      </c>
      <c r="B4226" s="5" t="s">
        <v>4545</v>
      </c>
      <c r="C4226" s="8">
        <v>4</v>
      </c>
      <c r="D4226" s="5" t="s">
        <v>162</v>
      </c>
      <c r="E4226" s="5"/>
      <c r="G4226" s="5"/>
      <c r="H4226" s="5"/>
    </row>
    <row r="4227" spans="1:9" x14ac:dyDescent="0.2">
      <c r="A4227" s="5"/>
      <c r="B4227" s="5" t="s">
        <v>4735</v>
      </c>
      <c r="C4227" s="5"/>
      <c r="D4227" s="5" t="s">
        <v>15</v>
      </c>
      <c r="E4227" s="5"/>
      <c r="G4227" s="5"/>
      <c r="H4227" s="5"/>
    </row>
    <row r="4228" spans="1:9" x14ac:dyDescent="0.2">
      <c r="A4228" s="5" t="s">
        <v>4736</v>
      </c>
      <c r="B4228" s="5" t="s">
        <v>4539</v>
      </c>
      <c r="C4228" s="8">
        <v>2</v>
      </c>
      <c r="D4228" s="5" t="s">
        <v>162</v>
      </c>
      <c r="E4228" s="5"/>
      <c r="G4228" s="5"/>
      <c r="H4228" s="5"/>
    </row>
    <row r="4229" spans="1:9" x14ac:dyDescent="0.2">
      <c r="A4229" s="5"/>
      <c r="B4229" s="5" t="s">
        <v>4701</v>
      </c>
      <c r="C4229" s="5"/>
      <c r="D4229" s="5" t="s">
        <v>15</v>
      </c>
      <c r="E4229" s="5"/>
      <c r="G4229" s="5"/>
      <c r="H4229" s="5"/>
    </row>
    <row r="4230" spans="1:9" x14ac:dyDescent="0.2">
      <c r="A4230" s="5" t="s">
        <v>4737</v>
      </c>
      <c r="B4230" s="5" t="s">
        <v>4539</v>
      </c>
      <c r="C4230" s="8">
        <v>1</v>
      </c>
      <c r="D4230" s="5" t="s">
        <v>162</v>
      </c>
      <c r="E4230" s="5"/>
      <c r="G4230" s="5"/>
      <c r="H4230" s="5"/>
    </row>
    <row r="4231" spans="1:9" x14ac:dyDescent="0.2">
      <c r="A4231" s="5" t="s">
        <v>4738</v>
      </c>
      <c r="B4231" s="5" t="s">
        <v>4541</v>
      </c>
      <c r="C4231" s="8">
        <v>1</v>
      </c>
      <c r="D4231" s="5" t="s">
        <v>162</v>
      </c>
      <c r="E4231" s="5"/>
      <c r="G4231" s="5"/>
      <c r="H4231" s="5"/>
    </row>
    <row r="4232" spans="1:9" x14ac:dyDescent="0.2">
      <c r="A4232" s="5" t="s">
        <v>4739</v>
      </c>
      <c r="B4232" s="5" t="s">
        <v>4543</v>
      </c>
      <c r="C4232" s="8">
        <v>1</v>
      </c>
      <c r="D4232" s="5" t="s">
        <v>162</v>
      </c>
      <c r="E4232" s="5"/>
      <c r="G4232" s="5"/>
      <c r="H4232" s="5"/>
    </row>
    <row r="4233" spans="1:9" x14ac:dyDescent="0.2">
      <c r="A4233" s="5" t="s">
        <v>4740</v>
      </c>
      <c r="B4233" s="5" t="s">
        <v>4545</v>
      </c>
      <c r="C4233" s="8">
        <v>1</v>
      </c>
      <c r="D4233" s="5" t="s">
        <v>162</v>
      </c>
      <c r="E4233" s="5"/>
      <c r="G4233" s="5"/>
      <c r="H4233" s="5"/>
    </row>
    <row r="4234" spans="1:9" x14ac:dyDescent="0.2">
      <c r="A4234" s="5"/>
      <c r="B4234" s="5" t="s">
        <v>4706</v>
      </c>
      <c r="C4234" s="5"/>
      <c r="D4234" s="5" t="s">
        <v>15</v>
      </c>
      <c r="E4234" s="5"/>
      <c r="G4234" s="5"/>
      <c r="H4234" s="5"/>
    </row>
    <row r="4235" spans="1:9" x14ac:dyDescent="0.2">
      <c r="A4235" s="5" t="s">
        <v>4741</v>
      </c>
      <c r="B4235" s="5" t="s">
        <v>4539</v>
      </c>
      <c r="C4235" s="8">
        <v>1</v>
      </c>
      <c r="D4235" s="5" t="s">
        <v>162</v>
      </c>
      <c r="E4235" s="5"/>
      <c r="G4235" s="5"/>
      <c r="H4235" s="5"/>
    </row>
    <row r="4236" spans="1:9" x14ac:dyDescent="0.2">
      <c r="B4236" s="6" t="s">
        <v>4742</v>
      </c>
      <c r="C4236" s="6"/>
      <c r="D4236" s="6"/>
      <c r="E4236" s="6"/>
      <c r="F4236" s="9">
        <f>SUM(H4120:H4236)</f>
        <v>0</v>
      </c>
      <c r="G4236" s="6"/>
      <c r="I4236" s="9">
        <f>PRODUCT(F4236,G4236)</f>
        <v>0</v>
      </c>
    </row>
    <row r="4238" spans="1:9" x14ac:dyDescent="0.2">
      <c r="A4238" s="6" t="s">
        <v>4743</v>
      </c>
      <c r="B4238" s="6" t="s">
        <v>4744</v>
      </c>
    </row>
    <row r="4239" spans="1:9" x14ac:dyDescent="0.2">
      <c r="A4239" s="5"/>
      <c r="B4239" s="5" t="s">
        <v>64</v>
      </c>
      <c r="C4239" s="5"/>
      <c r="D4239" s="5" t="s">
        <v>13</v>
      </c>
      <c r="E4239" s="5"/>
      <c r="G4239" s="5"/>
      <c r="H4239" s="5"/>
    </row>
    <row r="4240" spans="1:9" x14ac:dyDescent="0.2">
      <c r="A4240" s="5" t="s">
        <v>4745</v>
      </c>
      <c r="B4240" s="5" t="s">
        <v>66</v>
      </c>
      <c r="C4240" s="5"/>
      <c r="D4240" s="5" t="s">
        <v>18</v>
      </c>
      <c r="E4240" s="5"/>
      <c r="G4240" s="5"/>
      <c r="H4240" s="5"/>
    </row>
    <row r="4241" spans="1:8" x14ac:dyDescent="0.2">
      <c r="A4241" s="5" t="s">
        <v>4746</v>
      </c>
      <c r="B4241" s="5" t="s">
        <v>68</v>
      </c>
      <c r="C4241" s="5"/>
      <c r="D4241" s="5" t="s">
        <v>18</v>
      </c>
      <c r="E4241" s="5"/>
      <c r="G4241" s="5"/>
      <c r="H4241" s="5"/>
    </row>
    <row r="4242" spans="1:8" x14ac:dyDescent="0.2">
      <c r="A4242" s="5"/>
      <c r="B4242" s="5" t="s">
        <v>71</v>
      </c>
      <c r="C4242" s="5"/>
      <c r="D4242" s="5" t="s">
        <v>13</v>
      </c>
      <c r="E4242" s="5"/>
      <c r="G4242" s="5"/>
      <c r="H4242" s="5"/>
    </row>
    <row r="4243" spans="1:8" x14ac:dyDescent="0.2">
      <c r="A4243" s="5" t="s">
        <v>4747</v>
      </c>
      <c r="B4243" s="5" t="s">
        <v>4748</v>
      </c>
      <c r="C4243" s="5"/>
      <c r="D4243" s="5" t="s">
        <v>18</v>
      </c>
      <c r="E4243" s="5"/>
      <c r="G4243" s="5"/>
      <c r="H4243" s="5"/>
    </row>
    <row r="4244" spans="1:8" x14ac:dyDescent="0.2">
      <c r="A4244" s="5" t="s">
        <v>4749</v>
      </c>
      <c r="B4244" s="5" t="s">
        <v>269</v>
      </c>
      <c r="C4244" s="5"/>
      <c r="D4244" s="5" t="s">
        <v>18</v>
      </c>
      <c r="E4244" s="5"/>
      <c r="G4244" s="5"/>
      <c r="H4244" s="5"/>
    </row>
    <row r="4245" spans="1:8" x14ac:dyDescent="0.2">
      <c r="A4245" s="5" t="s">
        <v>4750</v>
      </c>
      <c r="B4245" s="5" t="s">
        <v>4751</v>
      </c>
      <c r="C4245" s="5"/>
      <c r="D4245" s="5" t="s">
        <v>18</v>
      </c>
      <c r="E4245" s="5"/>
      <c r="G4245" s="5"/>
      <c r="H4245" s="5"/>
    </row>
    <row r="4246" spans="1:8" x14ac:dyDescent="0.2">
      <c r="A4246" s="5" t="s">
        <v>4752</v>
      </c>
      <c r="B4246" s="5" t="s">
        <v>4753</v>
      </c>
      <c r="C4246" s="5"/>
      <c r="D4246" s="5" t="s">
        <v>18</v>
      </c>
      <c r="E4246" s="5"/>
      <c r="G4246" s="5"/>
      <c r="H4246" s="5"/>
    </row>
    <row r="4247" spans="1:8" x14ac:dyDescent="0.2">
      <c r="A4247" s="5"/>
      <c r="B4247" s="5" t="s">
        <v>76</v>
      </c>
      <c r="C4247" s="5"/>
      <c r="D4247" s="5" t="s">
        <v>13</v>
      </c>
      <c r="E4247" s="5"/>
      <c r="G4247" s="5"/>
      <c r="H4247" s="5"/>
    </row>
    <row r="4248" spans="1:8" x14ac:dyDescent="0.2">
      <c r="A4248" s="5"/>
      <c r="B4248" s="5" t="s">
        <v>77</v>
      </c>
      <c r="C4248" s="5"/>
      <c r="D4248" s="5" t="s">
        <v>15</v>
      </c>
      <c r="E4248" s="5"/>
      <c r="G4248" s="5"/>
      <c r="H4248" s="5"/>
    </row>
    <row r="4249" spans="1:8" x14ac:dyDescent="0.2">
      <c r="A4249" s="5" t="s">
        <v>4754</v>
      </c>
      <c r="B4249" s="5" t="s">
        <v>4755</v>
      </c>
      <c r="C4249" s="5"/>
      <c r="D4249" s="5" t="s">
        <v>18</v>
      </c>
      <c r="E4249" s="5"/>
      <c r="G4249" s="5"/>
      <c r="H4249" s="5"/>
    </row>
    <row r="4250" spans="1:8" x14ac:dyDescent="0.2">
      <c r="A4250" s="5" t="s">
        <v>4756</v>
      </c>
      <c r="B4250" s="5" t="s">
        <v>4757</v>
      </c>
      <c r="C4250" s="5"/>
      <c r="D4250" s="5" t="s">
        <v>18</v>
      </c>
      <c r="E4250" s="5"/>
      <c r="G4250" s="5"/>
      <c r="H4250" s="5"/>
    </row>
    <row r="4251" spans="1:8" x14ac:dyDescent="0.2">
      <c r="A4251" s="5" t="s">
        <v>4758</v>
      </c>
      <c r="B4251" s="5" t="s">
        <v>4759</v>
      </c>
      <c r="C4251" s="5"/>
      <c r="D4251" s="5" t="s">
        <v>18</v>
      </c>
      <c r="E4251" s="5"/>
      <c r="G4251" s="5"/>
      <c r="H4251" s="5"/>
    </row>
    <row r="4252" spans="1:8" x14ac:dyDescent="0.2">
      <c r="A4252" s="5" t="s">
        <v>4760</v>
      </c>
      <c r="B4252" s="5" t="s">
        <v>4761</v>
      </c>
      <c r="C4252" s="5"/>
      <c r="D4252" s="5" t="s">
        <v>18</v>
      </c>
      <c r="E4252" s="5"/>
      <c r="G4252" s="5"/>
      <c r="H4252" s="5"/>
    </row>
    <row r="4253" spans="1:8" x14ac:dyDescent="0.2">
      <c r="A4253" s="5" t="s">
        <v>4762</v>
      </c>
      <c r="B4253" s="5" t="s">
        <v>2492</v>
      </c>
      <c r="C4253" s="5"/>
      <c r="D4253" s="5" t="s">
        <v>18</v>
      </c>
      <c r="E4253" s="5"/>
      <c r="G4253" s="5"/>
      <c r="H4253" s="5"/>
    </row>
    <row r="4254" spans="1:8" x14ac:dyDescent="0.2">
      <c r="A4254" s="5" t="s">
        <v>4763</v>
      </c>
      <c r="B4254" s="5" t="s">
        <v>2494</v>
      </c>
      <c r="C4254" s="5"/>
      <c r="D4254" s="5" t="s">
        <v>18</v>
      </c>
      <c r="E4254" s="5"/>
      <c r="G4254" s="5"/>
      <c r="H4254" s="5"/>
    </row>
    <row r="4255" spans="1:8" x14ac:dyDescent="0.2">
      <c r="A4255" s="5" t="s">
        <v>4764</v>
      </c>
      <c r="B4255" s="5" t="s">
        <v>4765</v>
      </c>
      <c r="C4255" s="5"/>
      <c r="D4255" s="5" t="s">
        <v>18</v>
      </c>
      <c r="E4255" s="5"/>
      <c r="G4255" s="5"/>
      <c r="H4255" s="5"/>
    </row>
    <row r="4256" spans="1:8" x14ac:dyDescent="0.2">
      <c r="A4256" s="5" t="s">
        <v>4766</v>
      </c>
      <c r="B4256" s="5" t="s">
        <v>4767</v>
      </c>
      <c r="C4256" s="5"/>
      <c r="D4256" s="5" t="s">
        <v>18</v>
      </c>
      <c r="E4256" s="5"/>
      <c r="G4256" s="5"/>
      <c r="H4256" s="5"/>
    </row>
    <row r="4257" spans="1:8" x14ac:dyDescent="0.2">
      <c r="A4257" s="5" t="s">
        <v>4768</v>
      </c>
      <c r="B4257" s="5" t="s">
        <v>93</v>
      </c>
      <c r="C4257" s="5"/>
      <c r="D4257" s="5" t="s">
        <v>18</v>
      </c>
      <c r="E4257" s="5"/>
      <c r="G4257" s="5"/>
      <c r="H4257" s="5"/>
    </row>
    <row r="4258" spans="1:8" x14ac:dyDescent="0.2">
      <c r="A4258" s="5"/>
      <c r="B4258" s="5" t="s">
        <v>94</v>
      </c>
      <c r="C4258" s="5"/>
      <c r="D4258" s="5" t="s">
        <v>13</v>
      </c>
      <c r="E4258" s="5"/>
      <c r="G4258" s="5"/>
      <c r="H4258" s="5"/>
    </row>
    <row r="4259" spans="1:8" x14ac:dyDescent="0.2">
      <c r="A4259" s="5" t="s">
        <v>4769</v>
      </c>
      <c r="B4259" s="5" t="s">
        <v>4770</v>
      </c>
      <c r="C4259" s="8">
        <v>1</v>
      </c>
      <c r="D4259" s="5" t="s">
        <v>97</v>
      </c>
      <c r="E4259" s="5"/>
      <c r="G4259" s="5"/>
      <c r="H4259" s="5"/>
    </row>
    <row r="4260" spans="1:8" x14ac:dyDescent="0.2">
      <c r="A4260" s="5" t="s">
        <v>4771</v>
      </c>
      <c r="B4260" s="5" t="s">
        <v>4772</v>
      </c>
      <c r="C4260" s="8">
        <v>1</v>
      </c>
      <c r="D4260" s="5" t="s">
        <v>97</v>
      </c>
      <c r="E4260" s="5"/>
      <c r="G4260" s="5"/>
      <c r="H4260" s="5"/>
    </row>
    <row r="4261" spans="1:8" x14ac:dyDescent="0.2">
      <c r="A4261" s="5" t="s">
        <v>4773</v>
      </c>
      <c r="B4261" s="5" t="s">
        <v>4774</v>
      </c>
      <c r="C4261" s="8">
        <v>1</v>
      </c>
      <c r="D4261" s="5" t="s">
        <v>97</v>
      </c>
      <c r="E4261" s="5"/>
      <c r="G4261" s="5"/>
      <c r="H4261" s="5"/>
    </row>
    <row r="4262" spans="1:8" x14ac:dyDescent="0.2">
      <c r="A4262" s="5" t="s">
        <v>4775</v>
      </c>
      <c r="B4262" s="5" t="s">
        <v>214</v>
      </c>
      <c r="C4262" s="8">
        <v>1</v>
      </c>
      <c r="D4262" s="5" t="s">
        <v>97</v>
      </c>
      <c r="E4262" s="5"/>
      <c r="G4262" s="5"/>
      <c r="H4262" s="5"/>
    </row>
    <row r="4263" spans="1:8" x14ac:dyDescent="0.2">
      <c r="A4263" s="5" t="s">
        <v>4776</v>
      </c>
      <c r="B4263" s="5" t="s">
        <v>309</v>
      </c>
      <c r="C4263" s="8">
        <v>1</v>
      </c>
      <c r="D4263" s="5" t="s">
        <v>97</v>
      </c>
      <c r="E4263" s="5"/>
      <c r="G4263" s="5"/>
      <c r="H4263" s="5"/>
    </row>
    <row r="4264" spans="1:8" x14ac:dyDescent="0.2">
      <c r="A4264" s="5" t="s">
        <v>4777</v>
      </c>
      <c r="B4264" s="5" t="s">
        <v>2761</v>
      </c>
      <c r="C4264" s="8">
        <v>1</v>
      </c>
      <c r="D4264" s="5" t="s">
        <v>97</v>
      </c>
      <c r="E4264" s="5"/>
      <c r="G4264" s="5"/>
      <c r="H4264" s="5"/>
    </row>
    <row r="4265" spans="1:8" x14ac:dyDescent="0.2">
      <c r="A4265" s="5" t="s">
        <v>4778</v>
      </c>
      <c r="B4265" s="5" t="s">
        <v>3342</v>
      </c>
      <c r="C4265" s="8">
        <v>1</v>
      </c>
      <c r="D4265" s="5" t="s">
        <v>97</v>
      </c>
      <c r="E4265" s="5"/>
      <c r="G4265" s="5"/>
      <c r="H4265" s="5"/>
    </row>
    <row r="4266" spans="1:8" x14ac:dyDescent="0.2">
      <c r="A4266" s="5" t="s">
        <v>4779</v>
      </c>
      <c r="B4266" s="5" t="s">
        <v>4780</v>
      </c>
      <c r="C4266" s="8">
        <v>1</v>
      </c>
      <c r="D4266" s="5" t="s">
        <v>97</v>
      </c>
      <c r="E4266" s="5"/>
      <c r="G4266" s="5"/>
      <c r="H4266" s="5"/>
    </row>
    <row r="4267" spans="1:8" x14ac:dyDescent="0.2">
      <c r="A4267" s="5"/>
      <c r="B4267" s="5" t="s">
        <v>135</v>
      </c>
      <c r="C4267" s="5"/>
      <c r="D4267" s="5" t="s">
        <v>13</v>
      </c>
      <c r="E4267" s="5"/>
      <c r="G4267" s="5"/>
      <c r="H4267" s="5"/>
    </row>
    <row r="4268" spans="1:8" x14ac:dyDescent="0.2">
      <c r="A4268" s="5" t="s">
        <v>4781</v>
      </c>
      <c r="B4268" s="5" t="s">
        <v>4782</v>
      </c>
      <c r="C4268" s="5"/>
      <c r="D4268" s="5" t="s">
        <v>18</v>
      </c>
      <c r="E4268" s="5"/>
      <c r="G4268" s="5"/>
      <c r="H4268" s="5"/>
    </row>
    <row r="4269" spans="1:8" x14ac:dyDescent="0.2">
      <c r="A4269" s="5" t="s">
        <v>4783</v>
      </c>
      <c r="B4269" s="5" t="s">
        <v>4784</v>
      </c>
      <c r="C4269" s="5"/>
      <c r="D4269" s="5" t="s">
        <v>18</v>
      </c>
      <c r="E4269" s="5"/>
      <c r="G4269" s="5"/>
      <c r="H4269" s="5"/>
    </row>
    <row r="4270" spans="1:8" x14ac:dyDescent="0.2">
      <c r="A4270" s="5" t="s">
        <v>4785</v>
      </c>
      <c r="B4270" s="5" t="s">
        <v>4786</v>
      </c>
      <c r="C4270" s="5"/>
      <c r="D4270" s="5" t="s">
        <v>18</v>
      </c>
      <c r="E4270" s="5"/>
      <c r="G4270" s="5"/>
      <c r="H4270" s="5"/>
    </row>
    <row r="4271" spans="1:8" x14ac:dyDescent="0.2">
      <c r="A4271" s="5" t="s">
        <v>4787</v>
      </c>
      <c r="B4271" s="5" t="s">
        <v>4788</v>
      </c>
      <c r="C4271" s="5"/>
      <c r="D4271" s="5" t="s">
        <v>18</v>
      </c>
      <c r="E4271" s="5"/>
      <c r="G4271" s="5"/>
      <c r="H4271" s="5"/>
    </row>
    <row r="4272" spans="1:8" x14ac:dyDescent="0.2">
      <c r="A4272" s="5" t="s">
        <v>4789</v>
      </c>
      <c r="B4272" s="5" t="s">
        <v>4790</v>
      </c>
      <c r="C4272" s="5"/>
      <c r="D4272" s="5" t="s">
        <v>18</v>
      </c>
      <c r="E4272" s="5"/>
      <c r="G4272" s="5"/>
      <c r="H4272" s="5"/>
    </row>
    <row r="4273" spans="1:8" x14ac:dyDescent="0.2">
      <c r="A4273" s="5"/>
      <c r="B4273" s="5" t="s">
        <v>38</v>
      </c>
      <c r="C4273" s="5"/>
      <c r="D4273" s="5" t="s">
        <v>13</v>
      </c>
      <c r="E4273" s="5"/>
      <c r="G4273" s="5"/>
      <c r="H4273" s="5"/>
    </row>
    <row r="4274" spans="1:8" x14ac:dyDescent="0.2">
      <c r="A4274" s="5"/>
      <c r="B4274" s="5" t="s">
        <v>4791</v>
      </c>
      <c r="C4274" s="5"/>
      <c r="D4274" s="5" t="s">
        <v>15</v>
      </c>
      <c r="E4274" s="5"/>
      <c r="G4274" s="5"/>
      <c r="H4274" s="5"/>
    </row>
    <row r="4275" spans="1:8" x14ac:dyDescent="0.2">
      <c r="A4275" s="5"/>
      <c r="B4275" s="5" t="s">
        <v>4792</v>
      </c>
      <c r="C4275" s="5"/>
      <c r="D4275" s="5" t="s">
        <v>322</v>
      </c>
      <c r="E4275" s="5"/>
      <c r="G4275" s="5"/>
      <c r="H4275" s="5"/>
    </row>
    <row r="4276" spans="1:8" x14ac:dyDescent="0.2">
      <c r="A4276" s="5"/>
      <c r="B4276" s="5" t="s">
        <v>4793</v>
      </c>
      <c r="C4276" s="5"/>
      <c r="D4276" s="5" t="s">
        <v>366</v>
      </c>
      <c r="E4276" s="5"/>
      <c r="G4276" s="5"/>
      <c r="H4276" s="5"/>
    </row>
    <row r="4277" spans="1:8" x14ac:dyDescent="0.2">
      <c r="A4277" s="5" t="s">
        <v>4794</v>
      </c>
      <c r="B4277" s="5" t="s">
        <v>3017</v>
      </c>
      <c r="C4277" s="8">
        <v>12</v>
      </c>
      <c r="D4277" s="5" t="s">
        <v>42</v>
      </c>
      <c r="E4277" s="5"/>
      <c r="G4277" s="5"/>
      <c r="H4277" s="5"/>
    </row>
    <row r="4278" spans="1:8" x14ac:dyDescent="0.2">
      <c r="A4278" s="5" t="s">
        <v>4795</v>
      </c>
      <c r="B4278" s="5" t="s">
        <v>2988</v>
      </c>
      <c r="C4278" s="8">
        <v>30</v>
      </c>
      <c r="D4278" s="5" t="s">
        <v>42</v>
      </c>
      <c r="E4278" s="5"/>
      <c r="G4278" s="5"/>
      <c r="H4278" s="5"/>
    </row>
    <row r="4279" spans="1:8" x14ac:dyDescent="0.2">
      <c r="A4279" s="5" t="s">
        <v>4796</v>
      </c>
      <c r="B4279" s="5" t="s">
        <v>2990</v>
      </c>
      <c r="C4279" s="8">
        <v>56</v>
      </c>
      <c r="D4279" s="5" t="s">
        <v>42</v>
      </c>
      <c r="E4279" s="5"/>
      <c r="G4279" s="5"/>
      <c r="H4279" s="5"/>
    </row>
    <row r="4280" spans="1:8" x14ac:dyDescent="0.2">
      <c r="A4280" s="5" t="s">
        <v>4797</v>
      </c>
      <c r="B4280" s="5" t="s">
        <v>2992</v>
      </c>
      <c r="C4280" s="8">
        <v>16</v>
      </c>
      <c r="D4280" s="5" t="s">
        <v>42</v>
      </c>
      <c r="E4280" s="5"/>
      <c r="G4280" s="5"/>
      <c r="H4280" s="5"/>
    </row>
    <row r="4281" spans="1:8" x14ac:dyDescent="0.2">
      <c r="A4281" s="5"/>
      <c r="B4281" s="5" t="s">
        <v>4798</v>
      </c>
      <c r="C4281" s="5"/>
      <c r="D4281" s="5" t="s">
        <v>366</v>
      </c>
      <c r="E4281" s="5"/>
      <c r="G4281" s="5"/>
      <c r="H4281" s="5"/>
    </row>
    <row r="4282" spans="1:8" x14ac:dyDescent="0.2">
      <c r="A4282" s="5" t="s">
        <v>4799</v>
      </c>
      <c r="B4282" s="5" t="s">
        <v>3017</v>
      </c>
      <c r="C4282" s="8">
        <v>19</v>
      </c>
      <c r="D4282" s="5" t="s">
        <v>155</v>
      </c>
      <c r="E4282" s="5"/>
      <c r="G4282" s="5"/>
      <c r="H4282" s="5"/>
    </row>
    <row r="4283" spans="1:8" x14ac:dyDescent="0.2">
      <c r="A4283" s="5" t="s">
        <v>4800</v>
      </c>
      <c r="B4283" s="5" t="s">
        <v>2988</v>
      </c>
      <c r="C4283" s="8">
        <v>38</v>
      </c>
      <c r="D4283" s="5" t="s">
        <v>155</v>
      </c>
      <c r="E4283" s="5"/>
      <c r="G4283" s="5"/>
      <c r="H4283" s="5"/>
    </row>
    <row r="4284" spans="1:8" x14ac:dyDescent="0.2">
      <c r="A4284" s="5" t="s">
        <v>4801</v>
      </c>
      <c r="B4284" s="5" t="s">
        <v>2990</v>
      </c>
      <c r="C4284" s="8">
        <v>103</v>
      </c>
      <c r="D4284" s="5" t="s">
        <v>155</v>
      </c>
      <c r="E4284" s="5"/>
      <c r="G4284" s="5"/>
      <c r="H4284" s="5"/>
    </row>
    <row r="4285" spans="1:8" x14ac:dyDescent="0.2">
      <c r="A4285" s="5" t="s">
        <v>4802</v>
      </c>
      <c r="B4285" s="5" t="s">
        <v>2992</v>
      </c>
      <c r="C4285" s="8">
        <v>38</v>
      </c>
      <c r="D4285" s="5" t="s">
        <v>155</v>
      </c>
      <c r="E4285" s="5"/>
      <c r="G4285" s="5"/>
      <c r="H4285" s="5"/>
    </row>
    <row r="4286" spans="1:8" x14ac:dyDescent="0.2">
      <c r="A4286" s="5"/>
      <c r="B4286" s="5" t="s">
        <v>4803</v>
      </c>
      <c r="C4286" s="5"/>
      <c r="D4286" s="5" t="s">
        <v>15</v>
      </c>
      <c r="E4286" s="5"/>
      <c r="G4286" s="5"/>
      <c r="H4286" s="5"/>
    </row>
    <row r="4287" spans="1:8" x14ac:dyDescent="0.2">
      <c r="A4287" s="5"/>
      <c r="B4287" s="5" t="s">
        <v>4804</v>
      </c>
      <c r="C4287" s="5"/>
      <c r="D4287" s="5" t="s">
        <v>322</v>
      </c>
      <c r="E4287" s="5"/>
      <c r="G4287" s="5"/>
      <c r="H4287" s="5"/>
    </row>
    <row r="4288" spans="1:8" x14ac:dyDescent="0.2">
      <c r="A4288" s="5"/>
      <c r="B4288" s="5" t="s">
        <v>4793</v>
      </c>
      <c r="C4288" s="5"/>
      <c r="D4288" s="5" t="s">
        <v>366</v>
      </c>
      <c r="E4288" s="5"/>
      <c r="G4288" s="5"/>
      <c r="H4288" s="5"/>
    </row>
    <row r="4289" spans="1:8" x14ac:dyDescent="0.2">
      <c r="A4289" s="5" t="s">
        <v>4805</v>
      </c>
      <c r="B4289" s="5" t="s">
        <v>2990</v>
      </c>
      <c r="C4289" s="8">
        <v>48</v>
      </c>
      <c r="D4289" s="5" t="s">
        <v>42</v>
      </c>
      <c r="E4289" s="5"/>
      <c r="G4289" s="5"/>
      <c r="H4289" s="5"/>
    </row>
    <row r="4290" spans="1:8" x14ac:dyDescent="0.2">
      <c r="A4290" s="5" t="s">
        <v>4806</v>
      </c>
      <c r="B4290" s="5" t="s">
        <v>2992</v>
      </c>
      <c r="C4290" s="8">
        <v>262</v>
      </c>
      <c r="D4290" s="5" t="s">
        <v>42</v>
      </c>
      <c r="E4290" s="5"/>
      <c r="G4290" s="5"/>
      <c r="H4290" s="5"/>
    </row>
    <row r="4291" spans="1:8" x14ac:dyDescent="0.2">
      <c r="A4291" s="5"/>
      <c r="B4291" s="5" t="s">
        <v>4807</v>
      </c>
      <c r="C4291" s="5"/>
      <c r="D4291" s="5" t="s">
        <v>366</v>
      </c>
      <c r="E4291" s="5"/>
      <c r="G4291" s="5"/>
      <c r="H4291" s="5"/>
    </row>
    <row r="4292" spans="1:8" x14ac:dyDescent="0.2">
      <c r="A4292" s="5" t="s">
        <v>4808</v>
      </c>
      <c r="B4292" s="5" t="s">
        <v>2990</v>
      </c>
      <c r="C4292" s="8">
        <v>35</v>
      </c>
      <c r="D4292" s="5" t="s">
        <v>155</v>
      </c>
      <c r="E4292" s="5"/>
      <c r="G4292" s="5"/>
      <c r="H4292" s="5"/>
    </row>
    <row r="4293" spans="1:8" x14ac:dyDescent="0.2">
      <c r="A4293" s="5" t="s">
        <v>4809</v>
      </c>
      <c r="B4293" s="5" t="s">
        <v>2992</v>
      </c>
      <c r="C4293" s="8">
        <v>27</v>
      </c>
      <c r="D4293" s="5" t="s">
        <v>155</v>
      </c>
      <c r="E4293" s="5"/>
      <c r="G4293" s="5"/>
      <c r="H4293" s="5"/>
    </row>
    <row r="4294" spans="1:8" x14ac:dyDescent="0.2">
      <c r="A4294" s="5"/>
      <c r="B4294" s="5" t="s">
        <v>4810</v>
      </c>
      <c r="C4294" s="5"/>
      <c r="D4294" s="5" t="s">
        <v>366</v>
      </c>
      <c r="E4294" s="5"/>
      <c r="G4294" s="5"/>
      <c r="H4294" s="5"/>
    </row>
    <row r="4295" spans="1:8" x14ac:dyDescent="0.2">
      <c r="A4295" s="5" t="s">
        <v>4811</v>
      </c>
      <c r="B4295" s="5" t="s">
        <v>2992</v>
      </c>
      <c r="C4295" s="8">
        <v>30</v>
      </c>
      <c r="D4295" s="5" t="s">
        <v>42</v>
      </c>
      <c r="E4295" s="5"/>
      <c r="G4295" s="5"/>
      <c r="H4295" s="5"/>
    </row>
    <row r="4296" spans="1:8" x14ac:dyDescent="0.2">
      <c r="A4296" s="5"/>
      <c r="B4296" s="5" t="s">
        <v>4812</v>
      </c>
      <c r="C4296" s="5"/>
      <c r="D4296" s="5" t="s">
        <v>366</v>
      </c>
      <c r="E4296" s="5"/>
      <c r="G4296" s="5"/>
      <c r="H4296" s="5"/>
    </row>
    <row r="4297" spans="1:8" x14ac:dyDescent="0.2">
      <c r="A4297" s="5" t="s">
        <v>4813</v>
      </c>
      <c r="B4297" s="5" t="s">
        <v>2992</v>
      </c>
      <c r="C4297" s="8">
        <v>24</v>
      </c>
      <c r="D4297" s="5" t="s">
        <v>42</v>
      </c>
      <c r="E4297" s="5"/>
      <c r="G4297" s="5"/>
      <c r="H4297" s="5"/>
    </row>
    <row r="4298" spans="1:8" x14ac:dyDescent="0.2">
      <c r="A4298" s="5"/>
      <c r="B4298" s="5" t="s">
        <v>4814</v>
      </c>
      <c r="C4298" s="5"/>
      <c r="D4298" s="5" t="s">
        <v>15</v>
      </c>
      <c r="E4298" s="5"/>
      <c r="G4298" s="5"/>
      <c r="H4298" s="5"/>
    </row>
    <row r="4299" spans="1:8" x14ac:dyDescent="0.2">
      <c r="A4299" s="5"/>
      <c r="B4299" s="5" t="s">
        <v>4815</v>
      </c>
      <c r="C4299" s="5"/>
      <c r="D4299" s="5" t="s">
        <v>322</v>
      </c>
      <c r="E4299" s="5"/>
      <c r="G4299" s="5"/>
      <c r="H4299" s="5"/>
    </row>
    <row r="4300" spans="1:8" x14ac:dyDescent="0.2">
      <c r="A4300" s="5"/>
      <c r="B4300" s="5" t="s">
        <v>4793</v>
      </c>
      <c r="C4300" s="5"/>
      <c r="D4300" s="5" t="s">
        <v>366</v>
      </c>
      <c r="E4300" s="5"/>
      <c r="G4300" s="5"/>
      <c r="H4300" s="5"/>
    </row>
    <row r="4301" spans="1:8" x14ac:dyDescent="0.2">
      <c r="A4301" s="5" t="s">
        <v>4816</v>
      </c>
      <c r="B4301" s="5" t="s">
        <v>2992</v>
      </c>
      <c r="C4301" s="8">
        <v>422</v>
      </c>
      <c r="D4301" s="5" t="s">
        <v>42</v>
      </c>
      <c r="E4301" s="5"/>
      <c r="G4301" s="5"/>
      <c r="H4301" s="5"/>
    </row>
    <row r="4302" spans="1:8" x14ac:dyDescent="0.2">
      <c r="A4302" s="5"/>
      <c r="B4302" s="5" t="s">
        <v>4807</v>
      </c>
      <c r="C4302" s="5"/>
      <c r="D4302" s="5" t="s">
        <v>366</v>
      </c>
      <c r="E4302" s="5"/>
      <c r="G4302" s="5"/>
      <c r="H4302" s="5"/>
    </row>
    <row r="4303" spans="1:8" x14ac:dyDescent="0.2">
      <c r="A4303" s="5" t="s">
        <v>4817</v>
      </c>
      <c r="B4303" s="5" t="s">
        <v>2992</v>
      </c>
      <c r="C4303" s="8">
        <v>28</v>
      </c>
      <c r="D4303" s="5" t="s">
        <v>155</v>
      </c>
      <c r="E4303" s="5"/>
      <c r="G4303" s="5"/>
      <c r="H4303" s="5"/>
    </row>
    <row r="4304" spans="1:8" x14ac:dyDescent="0.2">
      <c r="A4304" s="5"/>
      <c r="B4304" s="5" t="s">
        <v>4812</v>
      </c>
      <c r="C4304" s="5"/>
      <c r="D4304" s="5" t="s">
        <v>366</v>
      </c>
      <c r="E4304" s="5"/>
      <c r="G4304" s="5"/>
      <c r="H4304" s="5"/>
    </row>
    <row r="4305" spans="1:8" x14ac:dyDescent="0.2">
      <c r="A4305" s="5" t="s">
        <v>4818</v>
      </c>
      <c r="B4305" s="5" t="s">
        <v>2992</v>
      </c>
      <c r="C4305" s="8">
        <v>177</v>
      </c>
      <c r="D4305" s="5" t="s">
        <v>42</v>
      </c>
      <c r="E4305" s="5"/>
      <c r="G4305" s="5"/>
      <c r="H4305" s="5"/>
    </row>
    <row r="4306" spans="1:8" x14ac:dyDescent="0.2">
      <c r="A4306" s="5"/>
      <c r="B4306" s="5" t="s">
        <v>4819</v>
      </c>
      <c r="C4306" s="5"/>
      <c r="D4306" s="5" t="s">
        <v>15</v>
      </c>
      <c r="E4306" s="5"/>
      <c r="G4306" s="5"/>
      <c r="H4306" s="5"/>
    </row>
    <row r="4307" spans="1:8" x14ac:dyDescent="0.2">
      <c r="A4307" s="5"/>
      <c r="B4307" s="5" t="s">
        <v>4820</v>
      </c>
      <c r="C4307" s="5"/>
      <c r="D4307" s="5" t="s">
        <v>322</v>
      </c>
      <c r="E4307" s="5"/>
      <c r="G4307" s="5"/>
      <c r="H4307" s="5"/>
    </row>
    <row r="4308" spans="1:8" x14ac:dyDescent="0.2">
      <c r="A4308" s="5" t="s">
        <v>4821</v>
      </c>
      <c r="B4308" s="5" t="s">
        <v>2520</v>
      </c>
      <c r="C4308" s="8">
        <v>1143</v>
      </c>
      <c r="D4308" s="5" t="s">
        <v>42</v>
      </c>
      <c r="E4308" s="5"/>
      <c r="G4308" s="5"/>
      <c r="H4308" s="5"/>
    </row>
    <row r="4309" spans="1:8" x14ac:dyDescent="0.2">
      <c r="A4309" s="5"/>
      <c r="B4309" s="5" t="s">
        <v>4822</v>
      </c>
      <c r="C4309" s="5"/>
      <c r="D4309" s="5" t="s">
        <v>15</v>
      </c>
      <c r="E4309" s="5"/>
      <c r="G4309" s="5"/>
      <c r="H4309" s="5"/>
    </row>
    <row r="4310" spans="1:8" x14ac:dyDescent="0.2">
      <c r="A4310" s="5"/>
      <c r="B4310" s="5" t="s">
        <v>4823</v>
      </c>
      <c r="C4310" s="5"/>
      <c r="D4310" s="5" t="s">
        <v>322</v>
      </c>
      <c r="E4310" s="5"/>
      <c r="G4310" s="5"/>
      <c r="H4310" s="5"/>
    </row>
    <row r="4311" spans="1:8" x14ac:dyDescent="0.2">
      <c r="A4311" s="5"/>
      <c r="B4311" s="5" t="s">
        <v>4824</v>
      </c>
      <c r="C4311" s="5"/>
      <c r="D4311" s="5" t="s">
        <v>366</v>
      </c>
      <c r="E4311" s="5"/>
      <c r="G4311" s="5"/>
      <c r="H4311" s="5"/>
    </row>
    <row r="4312" spans="1:8" x14ac:dyDescent="0.2">
      <c r="A4312" s="5" t="s">
        <v>4825</v>
      </c>
      <c r="B4312" s="5" t="s">
        <v>4826</v>
      </c>
      <c r="C4312" s="8">
        <v>26</v>
      </c>
      <c r="D4312" s="5" t="s">
        <v>42</v>
      </c>
      <c r="E4312" s="5"/>
      <c r="G4312" s="5"/>
      <c r="H4312" s="5"/>
    </row>
    <row r="4313" spans="1:8" x14ac:dyDescent="0.2">
      <c r="A4313" s="5" t="s">
        <v>4827</v>
      </c>
      <c r="B4313" s="5" t="s">
        <v>3197</v>
      </c>
      <c r="C4313" s="8">
        <v>28</v>
      </c>
      <c r="D4313" s="5" t="s">
        <v>42</v>
      </c>
      <c r="E4313" s="5"/>
      <c r="G4313" s="5"/>
      <c r="H4313" s="5"/>
    </row>
    <row r="4314" spans="1:8" x14ac:dyDescent="0.2">
      <c r="A4314" s="5"/>
      <c r="B4314" s="5" t="s">
        <v>4798</v>
      </c>
      <c r="C4314" s="5"/>
      <c r="D4314" s="5" t="s">
        <v>366</v>
      </c>
      <c r="E4314" s="5"/>
      <c r="G4314" s="5"/>
      <c r="H4314" s="5"/>
    </row>
    <row r="4315" spans="1:8" x14ac:dyDescent="0.2">
      <c r="A4315" s="5" t="s">
        <v>4828</v>
      </c>
      <c r="B4315" s="5" t="s">
        <v>4826</v>
      </c>
      <c r="C4315" s="8">
        <v>5</v>
      </c>
      <c r="D4315" s="5" t="s">
        <v>155</v>
      </c>
      <c r="E4315" s="5"/>
      <c r="G4315" s="5"/>
      <c r="H4315" s="5"/>
    </row>
    <row r="4316" spans="1:8" x14ac:dyDescent="0.2">
      <c r="A4316" s="5"/>
      <c r="B4316" s="5" t="s">
        <v>4829</v>
      </c>
      <c r="C4316" s="5"/>
      <c r="D4316" s="5" t="s">
        <v>366</v>
      </c>
      <c r="E4316" s="5"/>
      <c r="G4316" s="5"/>
      <c r="H4316" s="5"/>
    </row>
    <row r="4317" spans="1:8" x14ac:dyDescent="0.2">
      <c r="A4317" s="5" t="s">
        <v>4830</v>
      </c>
      <c r="B4317" s="5" t="s">
        <v>3197</v>
      </c>
      <c r="C4317" s="8">
        <v>19</v>
      </c>
      <c r="D4317" s="5" t="s">
        <v>42</v>
      </c>
      <c r="E4317" s="5"/>
      <c r="G4317" s="5"/>
      <c r="H4317" s="5"/>
    </row>
    <row r="4318" spans="1:8" x14ac:dyDescent="0.2">
      <c r="A4318" s="5"/>
      <c r="B4318" s="5" t="s">
        <v>4831</v>
      </c>
      <c r="C4318" s="5"/>
      <c r="D4318" s="5" t="s">
        <v>15</v>
      </c>
      <c r="E4318" s="5"/>
      <c r="G4318" s="5"/>
      <c r="H4318" s="5"/>
    </row>
    <row r="4319" spans="1:8" x14ac:dyDescent="0.2">
      <c r="A4319" s="5"/>
      <c r="B4319" s="5" t="s">
        <v>4832</v>
      </c>
      <c r="C4319" s="5"/>
      <c r="D4319" s="5" t="s">
        <v>322</v>
      </c>
      <c r="E4319" s="5"/>
      <c r="G4319" s="5"/>
      <c r="H4319" s="5"/>
    </row>
    <row r="4320" spans="1:8" x14ac:dyDescent="0.2">
      <c r="A4320" s="5" t="s">
        <v>4833</v>
      </c>
      <c r="B4320" s="5" t="s">
        <v>622</v>
      </c>
      <c r="C4320" s="8">
        <v>94</v>
      </c>
      <c r="D4320" s="5" t="s">
        <v>42</v>
      </c>
      <c r="E4320" s="5"/>
      <c r="G4320" s="5"/>
      <c r="H4320" s="5"/>
    </row>
    <row r="4321" spans="1:8" x14ac:dyDescent="0.2">
      <c r="A4321" s="5"/>
      <c r="B4321" s="5" t="s">
        <v>4834</v>
      </c>
      <c r="C4321" s="5"/>
      <c r="D4321" s="5" t="s">
        <v>15</v>
      </c>
      <c r="E4321" s="5"/>
      <c r="G4321" s="5"/>
      <c r="H4321" s="5"/>
    </row>
    <row r="4322" spans="1:8" x14ac:dyDescent="0.2">
      <c r="A4322" s="5"/>
      <c r="B4322" s="5" t="s">
        <v>4832</v>
      </c>
      <c r="C4322" s="5"/>
      <c r="D4322" s="5" t="s">
        <v>322</v>
      </c>
      <c r="E4322" s="5"/>
      <c r="G4322" s="5"/>
      <c r="H4322" s="5"/>
    </row>
    <row r="4323" spans="1:8" x14ac:dyDescent="0.2">
      <c r="A4323" s="5" t="s">
        <v>4835</v>
      </c>
      <c r="B4323" s="5" t="s">
        <v>622</v>
      </c>
      <c r="C4323" s="8">
        <v>649</v>
      </c>
      <c r="D4323" s="5" t="s">
        <v>42</v>
      </c>
      <c r="E4323" s="5"/>
      <c r="G4323" s="5"/>
      <c r="H4323" s="5"/>
    </row>
    <row r="4324" spans="1:8" x14ac:dyDescent="0.2">
      <c r="A4324" s="5"/>
      <c r="B4324" s="5" t="s">
        <v>4836</v>
      </c>
      <c r="C4324" s="5"/>
      <c r="D4324" s="5" t="s">
        <v>15</v>
      </c>
      <c r="E4324" s="5"/>
      <c r="G4324" s="5"/>
      <c r="H4324" s="5"/>
    </row>
    <row r="4325" spans="1:8" x14ac:dyDescent="0.2">
      <c r="A4325" s="5"/>
      <c r="B4325" s="5" t="s">
        <v>4837</v>
      </c>
      <c r="C4325" s="5"/>
      <c r="D4325" s="5" t="s">
        <v>322</v>
      </c>
      <c r="E4325" s="5"/>
      <c r="G4325" s="5"/>
      <c r="H4325" s="5"/>
    </row>
    <row r="4326" spans="1:8" x14ac:dyDescent="0.2">
      <c r="A4326" s="5"/>
      <c r="B4326" s="5" t="s">
        <v>4829</v>
      </c>
      <c r="C4326" s="5"/>
      <c r="D4326" s="5" t="s">
        <v>366</v>
      </c>
      <c r="E4326" s="5"/>
      <c r="G4326" s="5"/>
      <c r="H4326" s="5"/>
    </row>
    <row r="4327" spans="1:8" x14ac:dyDescent="0.2">
      <c r="A4327" s="5" t="s">
        <v>4838</v>
      </c>
      <c r="B4327" s="5" t="s">
        <v>4839</v>
      </c>
      <c r="C4327" s="8">
        <v>41</v>
      </c>
      <c r="D4327" s="5" t="s">
        <v>42</v>
      </c>
      <c r="E4327" s="5"/>
      <c r="G4327" s="5"/>
      <c r="H4327" s="5"/>
    </row>
    <row r="4328" spans="1:8" x14ac:dyDescent="0.2">
      <c r="A4328" s="5"/>
      <c r="B4328" s="5" t="s">
        <v>4840</v>
      </c>
      <c r="C4328" s="5"/>
      <c r="D4328" s="5" t="s">
        <v>15</v>
      </c>
      <c r="E4328" s="5"/>
      <c r="G4328" s="5"/>
      <c r="H4328" s="5"/>
    </row>
    <row r="4329" spans="1:8" x14ac:dyDescent="0.2">
      <c r="A4329" s="5"/>
      <c r="B4329" s="5" t="s">
        <v>4841</v>
      </c>
      <c r="C4329" s="5"/>
      <c r="D4329" s="5" t="s">
        <v>322</v>
      </c>
      <c r="E4329" s="5"/>
      <c r="G4329" s="5"/>
      <c r="H4329" s="5"/>
    </row>
    <row r="4330" spans="1:8" x14ac:dyDescent="0.2">
      <c r="A4330" s="5"/>
      <c r="B4330" s="5" t="s">
        <v>4829</v>
      </c>
      <c r="C4330" s="5"/>
      <c r="D4330" s="5" t="s">
        <v>366</v>
      </c>
      <c r="E4330" s="5"/>
      <c r="G4330" s="5"/>
      <c r="H4330" s="5"/>
    </row>
    <row r="4331" spans="1:8" x14ac:dyDescent="0.2">
      <c r="A4331" s="5" t="s">
        <v>4842</v>
      </c>
      <c r="B4331" s="5" t="s">
        <v>4843</v>
      </c>
      <c r="C4331" s="8">
        <v>79</v>
      </c>
      <c r="D4331" s="5" t="s">
        <v>42</v>
      </c>
      <c r="E4331" s="5"/>
      <c r="G4331" s="5"/>
      <c r="H4331" s="5"/>
    </row>
    <row r="4332" spans="1:8" x14ac:dyDescent="0.2">
      <c r="A4332" s="5"/>
      <c r="B4332" s="5" t="s">
        <v>4844</v>
      </c>
      <c r="C4332" s="5"/>
      <c r="D4332" s="5" t="s">
        <v>15</v>
      </c>
      <c r="E4332" s="5"/>
      <c r="G4332" s="5"/>
      <c r="H4332" s="5"/>
    </row>
    <row r="4333" spans="1:8" x14ac:dyDescent="0.2">
      <c r="A4333" s="5"/>
      <c r="B4333" s="5" t="s">
        <v>4841</v>
      </c>
      <c r="C4333" s="5"/>
      <c r="D4333" s="5" t="s">
        <v>322</v>
      </c>
      <c r="E4333" s="5"/>
      <c r="G4333" s="5"/>
      <c r="H4333" s="5"/>
    </row>
    <row r="4334" spans="1:8" x14ac:dyDescent="0.2">
      <c r="A4334" s="5"/>
      <c r="B4334" s="5" t="s">
        <v>4824</v>
      </c>
      <c r="C4334" s="5"/>
      <c r="D4334" s="5" t="s">
        <v>366</v>
      </c>
      <c r="E4334" s="5"/>
      <c r="G4334" s="5"/>
      <c r="H4334" s="5"/>
    </row>
    <row r="4335" spans="1:8" x14ac:dyDescent="0.2">
      <c r="A4335" s="5" t="s">
        <v>4845</v>
      </c>
      <c r="B4335" s="5" t="s">
        <v>4846</v>
      </c>
      <c r="C4335" s="8">
        <v>34</v>
      </c>
      <c r="D4335" s="5" t="s">
        <v>42</v>
      </c>
      <c r="E4335" s="5"/>
      <c r="G4335" s="5"/>
      <c r="H4335" s="5"/>
    </row>
    <row r="4336" spans="1:8" x14ac:dyDescent="0.2">
      <c r="A4336" s="5"/>
      <c r="B4336" s="5" t="s">
        <v>53</v>
      </c>
      <c r="C4336" s="5"/>
      <c r="D4336" s="5" t="s">
        <v>13</v>
      </c>
      <c r="E4336" s="5"/>
      <c r="G4336" s="5"/>
      <c r="H4336" s="5"/>
    </row>
    <row r="4337" spans="1:8" x14ac:dyDescent="0.2">
      <c r="A4337" s="5"/>
      <c r="B4337" s="5" t="s">
        <v>4791</v>
      </c>
      <c r="C4337" s="5"/>
      <c r="D4337" s="5" t="s">
        <v>15</v>
      </c>
      <c r="E4337" s="5"/>
      <c r="G4337" s="5"/>
      <c r="H4337" s="5"/>
    </row>
    <row r="4338" spans="1:8" x14ac:dyDescent="0.2">
      <c r="A4338" s="5"/>
      <c r="B4338" s="5" t="s">
        <v>4792</v>
      </c>
      <c r="C4338" s="5"/>
      <c r="D4338" s="5" t="s">
        <v>322</v>
      </c>
      <c r="E4338" s="5"/>
      <c r="G4338" s="5"/>
      <c r="H4338" s="5"/>
    </row>
    <row r="4339" spans="1:8" x14ac:dyDescent="0.2">
      <c r="A4339" s="5"/>
      <c r="B4339" s="5" t="s">
        <v>4793</v>
      </c>
      <c r="C4339" s="5"/>
      <c r="D4339" s="5" t="s">
        <v>366</v>
      </c>
      <c r="E4339" s="5"/>
      <c r="G4339" s="5"/>
      <c r="H4339" s="5"/>
    </row>
    <row r="4340" spans="1:8" x14ac:dyDescent="0.2">
      <c r="A4340" s="5" t="s">
        <v>4847</v>
      </c>
      <c r="B4340" s="5" t="s">
        <v>3017</v>
      </c>
      <c r="C4340" s="8">
        <v>27</v>
      </c>
      <c r="D4340" s="5" t="s">
        <v>42</v>
      </c>
      <c r="E4340" s="5"/>
      <c r="G4340" s="5"/>
      <c r="H4340" s="5"/>
    </row>
    <row r="4341" spans="1:8" x14ac:dyDescent="0.2">
      <c r="A4341" s="5" t="s">
        <v>4848</v>
      </c>
      <c r="B4341" s="5" t="s">
        <v>2988</v>
      </c>
      <c r="C4341" s="8">
        <v>16</v>
      </c>
      <c r="D4341" s="5" t="s">
        <v>42</v>
      </c>
      <c r="E4341" s="5"/>
      <c r="G4341" s="5"/>
      <c r="H4341" s="5"/>
    </row>
    <row r="4342" spans="1:8" x14ac:dyDescent="0.2">
      <c r="A4342" s="5" t="s">
        <v>4849</v>
      </c>
      <c r="B4342" s="5" t="s">
        <v>2990</v>
      </c>
      <c r="C4342" s="8">
        <v>16</v>
      </c>
      <c r="D4342" s="5" t="s">
        <v>42</v>
      </c>
      <c r="E4342" s="5"/>
      <c r="G4342" s="5"/>
      <c r="H4342" s="5"/>
    </row>
    <row r="4343" spans="1:8" x14ac:dyDescent="0.2">
      <c r="A4343" s="5" t="s">
        <v>4850</v>
      </c>
      <c r="B4343" s="5" t="s">
        <v>2992</v>
      </c>
      <c r="C4343" s="8">
        <v>17</v>
      </c>
      <c r="D4343" s="5" t="s">
        <v>42</v>
      </c>
      <c r="E4343" s="5"/>
      <c r="G4343" s="5"/>
      <c r="H4343" s="5"/>
    </row>
    <row r="4344" spans="1:8" x14ac:dyDescent="0.2">
      <c r="A4344" s="5"/>
      <c r="B4344" s="5" t="s">
        <v>4798</v>
      </c>
      <c r="C4344" s="5"/>
      <c r="D4344" s="5" t="s">
        <v>366</v>
      </c>
      <c r="E4344" s="5"/>
      <c r="G4344" s="5"/>
      <c r="H4344" s="5"/>
    </row>
    <row r="4345" spans="1:8" x14ac:dyDescent="0.2">
      <c r="A4345" s="5" t="s">
        <v>4851</v>
      </c>
      <c r="B4345" s="5" t="s">
        <v>3017</v>
      </c>
      <c r="C4345" s="8">
        <v>60</v>
      </c>
      <c r="D4345" s="5" t="s">
        <v>155</v>
      </c>
      <c r="E4345" s="5"/>
      <c r="G4345" s="5"/>
      <c r="H4345" s="5"/>
    </row>
    <row r="4346" spans="1:8" x14ac:dyDescent="0.2">
      <c r="A4346" s="5" t="s">
        <v>4852</v>
      </c>
      <c r="B4346" s="5" t="s">
        <v>2988</v>
      </c>
      <c r="C4346" s="8">
        <v>16</v>
      </c>
      <c r="D4346" s="5" t="s">
        <v>155</v>
      </c>
      <c r="E4346" s="5"/>
      <c r="G4346" s="5"/>
      <c r="H4346" s="5"/>
    </row>
    <row r="4347" spans="1:8" x14ac:dyDescent="0.2">
      <c r="A4347" s="5" t="s">
        <v>4853</v>
      </c>
      <c r="B4347" s="5" t="s">
        <v>2990</v>
      </c>
      <c r="C4347" s="8">
        <v>16</v>
      </c>
      <c r="D4347" s="5" t="s">
        <v>155</v>
      </c>
      <c r="E4347" s="5"/>
      <c r="G4347" s="5"/>
      <c r="H4347" s="5"/>
    </row>
    <row r="4348" spans="1:8" x14ac:dyDescent="0.2">
      <c r="A4348" s="5" t="s">
        <v>4854</v>
      </c>
      <c r="B4348" s="5" t="s">
        <v>2992</v>
      </c>
      <c r="C4348" s="8">
        <v>36</v>
      </c>
      <c r="D4348" s="5" t="s">
        <v>155</v>
      </c>
      <c r="E4348" s="5"/>
      <c r="G4348" s="5"/>
      <c r="H4348" s="5"/>
    </row>
    <row r="4349" spans="1:8" x14ac:dyDescent="0.2">
      <c r="A4349" s="5"/>
      <c r="B4349" s="5" t="s">
        <v>4814</v>
      </c>
      <c r="C4349" s="5"/>
      <c r="D4349" s="5" t="s">
        <v>15</v>
      </c>
      <c r="E4349" s="5"/>
      <c r="G4349" s="5"/>
      <c r="H4349" s="5"/>
    </row>
    <row r="4350" spans="1:8" x14ac:dyDescent="0.2">
      <c r="A4350" s="5"/>
      <c r="B4350" s="5" t="s">
        <v>4815</v>
      </c>
      <c r="C4350" s="5"/>
      <c r="D4350" s="5" t="s">
        <v>322</v>
      </c>
      <c r="E4350" s="5"/>
      <c r="G4350" s="5"/>
      <c r="H4350" s="5"/>
    </row>
    <row r="4351" spans="1:8" x14ac:dyDescent="0.2">
      <c r="A4351" s="5"/>
      <c r="B4351" s="5" t="s">
        <v>4793</v>
      </c>
      <c r="C4351" s="5"/>
      <c r="D4351" s="5" t="s">
        <v>366</v>
      </c>
      <c r="E4351" s="5"/>
      <c r="G4351" s="5"/>
      <c r="H4351" s="5"/>
    </row>
    <row r="4352" spans="1:8" x14ac:dyDescent="0.2">
      <c r="A4352" s="5" t="s">
        <v>4855</v>
      </c>
      <c r="B4352" s="5" t="s">
        <v>2992</v>
      </c>
      <c r="C4352" s="8">
        <v>638</v>
      </c>
      <c r="D4352" s="5" t="s">
        <v>42</v>
      </c>
      <c r="E4352" s="5"/>
      <c r="G4352" s="5"/>
      <c r="H4352" s="5"/>
    </row>
    <row r="4353" spans="1:8" x14ac:dyDescent="0.2">
      <c r="A4353" s="5"/>
      <c r="B4353" s="5" t="s">
        <v>4812</v>
      </c>
      <c r="C4353" s="5"/>
      <c r="D4353" s="5" t="s">
        <v>366</v>
      </c>
      <c r="E4353" s="5"/>
      <c r="G4353" s="5"/>
      <c r="H4353" s="5"/>
    </row>
    <row r="4354" spans="1:8" x14ac:dyDescent="0.2">
      <c r="A4354" s="5" t="s">
        <v>4856</v>
      </c>
      <c r="B4354" s="5" t="s">
        <v>2992</v>
      </c>
      <c r="C4354" s="8">
        <v>84</v>
      </c>
      <c r="D4354" s="5" t="s">
        <v>42</v>
      </c>
      <c r="E4354" s="5"/>
      <c r="G4354" s="5"/>
      <c r="H4354" s="5"/>
    </row>
    <row r="4355" spans="1:8" x14ac:dyDescent="0.2">
      <c r="A4355" s="5"/>
      <c r="B4355" s="5" t="s">
        <v>4819</v>
      </c>
      <c r="C4355" s="5"/>
      <c r="D4355" s="5" t="s">
        <v>15</v>
      </c>
      <c r="E4355" s="5"/>
      <c r="G4355" s="5"/>
      <c r="H4355" s="5"/>
    </row>
    <row r="4356" spans="1:8" x14ac:dyDescent="0.2">
      <c r="A4356" s="5"/>
      <c r="B4356" s="5" t="s">
        <v>4820</v>
      </c>
      <c r="C4356" s="5"/>
      <c r="D4356" s="5" t="s">
        <v>322</v>
      </c>
      <c r="E4356" s="5"/>
      <c r="G4356" s="5"/>
      <c r="H4356" s="5"/>
    </row>
    <row r="4357" spans="1:8" x14ac:dyDescent="0.2">
      <c r="A4357" s="5" t="s">
        <v>4857</v>
      </c>
      <c r="B4357" s="5" t="s">
        <v>2572</v>
      </c>
      <c r="C4357" s="8">
        <v>107</v>
      </c>
      <c r="D4357" s="5" t="s">
        <v>42</v>
      </c>
      <c r="E4357" s="5"/>
      <c r="G4357" s="5"/>
      <c r="H4357" s="5"/>
    </row>
    <row r="4358" spans="1:8" x14ac:dyDescent="0.2">
      <c r="A4358" s="5" t="s">
        <v>4858</v>
      </c>
      <c r="B4358" s="5" t="s">
        <v>2574</v>
      </c>
      <c r="C4358" s="8">
        <v>152</v>
      </c>
      <c r="D4358" s="5" t="s">
        <v>42</v>
      </c>
      <c r="E4358" s="5"/>
      <c r="G4358" s="5"/>
      <c r="H4358" s="5"/>
    </row>
    <row r="4359" spans="1:8" x14ac:dyDescent="0.2">
      <c r="A4359" s="5"/>
      <c r="B4359" s="5" t="s">
        <v>4822</v>
      </c>
      <c r="C4359" s="5"/>
      <c r="D4359" s="5" t="s">
        <v>15</v>
      </c>
      <c r="E4359" s="5"/>
      <c r="G4359" s="5"/>
      <c r="H4359" s="5"/>
    </row>
    <row r="4360" spans="1:8" x14ac:dyDescent="0.2">
      <c r="A4360" s="5"/>
      <c r="B4360" s="5" t="s">
        <v>4823</v>
      </c>
      <c r="C4360" s="5"/>
      <c r="D4360" s="5" t="s">
        <v>322</v>
      </c>
      <c r="E4360" s="5"/>
      <c r="G4360" s="5"/>
      <c r="H4360" s="5"/>
    </row>
    <row r="4361" spans="1:8" x14ac:dyDescent="0.2">
      <c r="A4361" s="5"/>
      <c r="B4361" s="5" t="s">
        <v>4824</v>
      </c>
      <c r="C4361" s="5"/>
      <c r="D4361" s="5" t="s">
        <v>366</v>
      </c>
      <c r="E4361" s="5"/>
      <c r="G4361" s="5"/>
      <c r="H4361" s="5"/>
    </row>
    <row r="4362" spans="1:8" x14ac:dyDescent="0.2">
      <c r="A4362" s="5" t="s">
        <v>4859</v>
      </c>
      <c r="B4362" s="5" t="s">
        <v>2693</v>
      </c>
      <c r="C4362" s="8">
        <v>12</v>
      </c>
      <c r="D4362" s="5" t="s">
        <v>42</v>
      </c>
      <c r="E4362" s="5"/>
      <c r="G4362" s="5"/>
      <c r="H4362" s="5"/>
    </row>
    <row r="4363" spans="1:8" x14ac:dyDescent="0.2">
      <c r="A4363" s="5"/>
      <c r="B4363" s="5" t="s">
        <v>4829</v>
      </c>
      <c r="C4363" s="5"/>
      <c r="D4363" s="5" t="s">
        <v>366</v>
      </c>
      <c r="E4363" s="5"/>
      <c r="G4363" s="5"/>
      <c r="H4363" s="5"/>
    </row>
    <row r="4364" spans="1:8" x14ac:dyDescent="0.2">
      <c r="A4364" s="5" t="s">
        <v>4860</v>
      </c>
      <c r="B4364" s="5" t="s">
        <v>4826</v>
      </c>
      <c r="C4364" s="8">
        <v>13</v>
      </c>
      <c r="D4364" s="5" t="s">
        <v>42</v>
      </c>
      <c r="E4364" s="5"/>
      <c r="G4364" s="5"/>
      <c r="H4364" s="5"/>
    </row>
    <row r="4365" spans="1:8" x14ac:dyDescent="0.2">
      <c r="A4365" s="5" t="s">
        <v>4861</v>
      </c>
      <c r="B4365" s="5" t="s">
        <v>2693</v>
      </c>
      <c r="C4365" s="8">
        <v>6</v>
      </c>
      <c r="D4365" s="5" t="s">
        <v>42</v>
      </c>
      <c r="E4365" s="5"/>
      <c r="G4365" s="5"/>
      <c r="H4365" s="5"/>
    </row>
    <row r="4366" spans="1:8" x14ac:dyDescent="0.2">
      <c r="A4366" s="5"/>
      <c r="B4366" s="5" t="s">
        <v>4798</v>
      </c>
      <c r="C4366" s="5"/>
      <c r="D4366" s="5" t="s">
        <v>366</v>
      </c>
      <c r="E4366" s="5"/>
      <c r="G4366" s="5"/>
      <c r="H4366" s="5"/>
    </row>
    <row r="4367" spans="1:8" x14ac:dyDescent="0.2">
      <c r="A4367" s="5" t="s">
        <v>4862</v>
      </c>
      <c r="B4367" s="5" t="s">
        <v>4826</v>
      </c>
      <c r="C4367" s="8">
        <v>72</v>
      </c>
      <c r="D4367" s="5" t="s">
        <v>155</v>
      </c>
      <c r="E4367" s="5"/>
      <c r="G4367" s="5"/>
      <c r="H4367" s="5"/>
    </row>
    <row r="4368" spans="1:8" x14ac:dyDescent="0.2">
      <c r="A4368" s="5"/>
      <c r="B4368" s="5" t="s">
        <v>4831</v>
      </c>
      <c r="C4368" s="5"/>
      <c r="D4368" s="5" t="s">
        <v>15</v>
      </c>
      <c r="E4368" s="5"/>
      <c r="G4368" s="5"/>
      <c r="H4368" s="5"/>
    </row>
    <row r="4369" spans="1:8" x14ac:dyDescent="0.2">
      <c r="A4369" s="5"/>
      <c r="B4369" s="5" t="s">
        <v>4832</v>
      </c>
      <c r="C4369" s="5"/>
      <c r="D4369" s="5" t="s">
        <v>322</v>
      </c>
      <c r="E4369" s="5"/>
      <c r="G4369" s="5"/>
      <c r="H4369" s="5"/>
    </row>
    <row r="4370" spans="1:8" x14ac:dyDescent="0.2">
      <c r="A4370" s="5" t="s">
        <v>4863</v>
      </c>
      <c r="B4370" s="5" t="s">
        <v>622</v>
      </c>
      <c r="C4370" s="8">
        <v>24</v>
      </c>
      <c r="D4370" s="5" t="s">
        <v>42</v>
      </c>
      <c r="E4370" s="5"/>
      <c r="G4370" s="5"/>
      <c r="H4370" s="5"/>
    </row>
    <row r="4371" spans="1:8" x14ac:dyDescent="0.2">
      <c r="A4371" s="5"/>
      <c r="B4371" s="5" t="s">
        <v>4834</v>
      </c>
      <c r="C4371" s="5"/>
      <c r="D4371" s="5" t="s">
        <v>15</v>
      </c>
      <c r="E4371" s="5"/>
      <c r="G4371" s="5"/>
      <c r="H4371" s="5"/>
    </row>
    <row r="4372" spans="1:8" x14ac:dyDescent="0.2">
      <c r="A4372" s="5"/>
      <c r="B4372" s="5" t="s">
        <v>4832</v>
      </c>
      <c r="C4372" s="5"/>
      <c r="D4372" s="5" t="s">
        <v>322</v>
      </c>
      <c r="E4372" s="5"/>
      <c r="G4372" s="5"/>
      <c r="H4372" s="5"/>
    </row>
    <row r="4373" spans="1:8" x14ac:dyDescent="0.2">
      <c r="A4373" s="5" t="s">
        <v>4864</v>
      </c>
      <c r="B4373" s="5" t="s">
        <v>622</v>
      </c>
      <c r="C4373" s="8">
        <v>869</v>
      </c>
      <c r="D4373" s="5" t="s">
        <v>42</v>
      </c>
      <c r="E4373" s="5"/>
      <c r="G4373" s="5"/>
      <c r="H4373" s="5"/>
    </row>
    <row r="4374" spans="1:8" x14ac:dyDescent="0.2">
      <c r="A4374" s="5"/>
      <c r="B4374" s="5" t="s">
        <v>4814</v>
      </c>
      <c r="C4374" s="5"/>
      <c r="D4374" s="5" t="s">
        <v>15</v>
      </c>
      <c r="E4374" s="5"/>
      <c r="G4374" s="5"/>
      <c r="H4374" s="5"/>
    </row>
    <row r="4375" spans="1:8" x14ac:dyDescent="0.2">
      <c r="A4375" s="5"/>
      <c r="B4375" s="5" t="s">
        <v>4865</v>
      </c>
      <c r="C4375" s="5"/>
      <c r="D4375" s="5" t="s">
        <v>322</v>
      </c>
      <c r="E4375" s="5"/>
      <c r="G4375" s="5"/>
      <c r="H4375" s="5"/>
    </row>
    <row r="4376" spans="1:8" x14ac:dyDescent="0.2">
      <c r="A4376" s="5"/>
      <c r="B4376" s="5" t="s">
        <v>4824</v>
      </c>
      <c r="C4376" s="5"/>
      <c r="D4376" s="5" t="s">
        <v>366</v>
      </c>
      <c r="E4376" s="5"/>
      <c r="G4376" s="5"/>
      <c r="H4376" s="5"/>
    </row>
    <row r="4377" spans="1:8" x14ac:dyDescent="0.2">
      <c r="A4377" s="5" t="s">
        <v>4866</v>
      </c>
      <c r="B4377" s="5" t="s">
        <v>2988</v>
      </c>
      <c r="C4377" s="8">
        <v>158</v>
      </c>
      <c r="D4377" s="5" t="s">
        <v>42</v>
      </c>
      <c r="E4377" s="5"/>
      <c r="G4377" s="5"/>
      <c r="H4377" s="5"/>
    </row>
    <row r="4378" spans="1:8" x14ac:dyDescent="0.2">
      <c r="A4378" s="5"/>
      <c r="B4378" s="5" t="s">
        <v>4840</v>
      </c>
      <c r="C4378" s="5"/>
      <c r="D4378" s="5" t="s">
        <v>15</v>
      </c>
      <c r="E4378" s="5"/>
      <c r="G4378" s="5"/>
      <c r="H4378" s="5"/>
    </row>
    <row r="4379" spans="1:8" x14ac:dyDescent="0.2">
      <c r="A4379" s="5"/>
      <c r="B4379" s="5" t="s">
        <v>4841</v>
      </c>
      <c r="C4379" s="5"/>
      <c r="D4379" s="5" t="s">
        <v>322</v>
      </c>
      <c r="E4379" s="5"/>
      <c r="G4379" s="5"/>
      <c r="H4379" s="5"/>
    </row>
    <row r="4380" spans="1:8" x14ac:dyDescent="0.2">
      <c r="A4380" s="5"/>
      <c r="B4380" s="5" t="s">
        <v>4829</v>
      </c>
      <c r="C4380" s="5"/>
      <c r="D4380" s="5" t="s">
        <v>366</v>
      </c>
      <c r="E4380" s="5"/>
      <c r="G4380" s="5"/>
      <c r="H4380" s="5"/>
    </row>
    <row r="4381" spans="1:8" x14ac:dyDescent="0.2">
      <c r="A4381" s="5" t="s">
        <v>4867</v>
      </c>
      <c r="B4381" s="5" t="s">
        <v>4843</v>
      </c>
      <c r="C4381" s="8">
        <v>76</v>
      </c>
      <c r="D4381" s="5" t="s">
        <v>42</v>
      </c>
      <c r="E4381" s="5"/>
      <c r="G4381" s="5"/>
      <c r="H4381" s="5"/>
    </row>
    <row r="4382" spans="1:8" x14ac:dyDescent="0.2">
      <c r="A4382" s="5"/>
      <c r="B4382" s="5" t="s">
        <v>4865</v>
      </c>
      <c r="C4382" s="5"/>
      <c r="D4382" s="5" t="s">
        <v>322</v>
      </c>
      <c r="E4382" s="5"/>
      <c r="G4382" s="5"/>
      <c r="H4382" s="5"/>
    </row>
    <row r="4383" spans="1:8" x14ac:dyDescent="0.2">
      <c r="A4383" s="5"/>
      <c r="B4383" s="5" t="s">
        <v>4868</v>
      </c>
      <c r="C4383" s="5"/>
      <c r="D4383" s="5" t="s">
        <v>366</v>
      </c>
      <c r="E4383" s="5"/>
      <c r="G4383" s="5"/>
      <c r="H4383" s="5"/>
    </row>
    <row r="4384" spans="1:8" x14ac:dyDescent="0.2">
      <c r="A4384" s="5" t="s">
        <v>4869</v>
      </c>
      <c r="B4384" s="5" t="s">
        <v>1081</v>
      </c>
      <c r="C4384" s="8">
        <v>127</v>
      </c>
      <c r="D4384" s="5" t="s">
        <v>42</v>
      </c>
      <c r="E4384" s="5"/>
      <c r="G4384" s="5"/>
      <c r="H4384" s="5"/>
    </row>
    <row r="4385" spans="1:9" x14ac:dyDescent="0.2">
      <c r="B4385" s="6" t="s">
        <v>4870</v>
      </c>
      <c r="C4385" s="6"/>
      <c r="D4385" s="6"/>
      <c r="E4385" s="6"/>
      <c r="F4385" s="9">
        <f>SUM(H4239:H4385)</f>
        <v>0</v>
      </c>
      <c r="G4385" s="6"/>
      <c r="I4385" s="9">
        <f>PRODUCT(F4385,G4385)</f>
        <v>0</v>
      </c>
    </row>
    <row r="4387" spans="1:9" x14ac:dyDescent="0.2">
      <c r="A4387" s="6" t="s">
        <v>4871</v>
      </c>
      <c r="B4387" s="6" t="s">
        <v>4872</v>
      </c>
    </row>
    <row r="4388" spans="1:9" x14ac:dyDescent="0.2">
      <c r="A4388" s="5"/>
      <c r="B4388" s="5" t="s">
        <v>64</v>
      </c>
      <c r="C4388" s="5"/>
      <c r="D4388" s="5" t="s">
        <v>13</v>
      </c>
      <c r="E4388" s="5"/>
      <c r="G4388" s="5"/>
      <c r="H4388" s="5"/>
    </row>
    <row r="4389" spans="1:9" x14ac:dyDescent="0.2">
      <c r="A4389" s="5" t="s">
        <v>4873</v>
      </c>
      <c r="B4389" s="5" t="s">
        <v>66</v>
      </c>
      <c r="C4389" s="5"/>
      <c r="D4389" s="5" t="s">
        <v>18</v>
      </c>
      <c r="E4389" s="5"/>
      <c r="G4389" s="5"/>
      <c r="H4389" s="5"/>
    </row>
    <row r="4390" spans="1:9" x14ac:dyDescent="0.2">
      <c r="A4390" s="5" t="s">
        <v>4874</v>
      </c>
      <c r="B4390" s="5" t="s">
        <v>68</v>
      </c>
      <c r="C4390" s="5"/>
      <c r="D4390" s="5" t="s">
        <v>18</v>
      </c>
      <c r="E4390" s="5"/>
      <c r="G4390" s="5"/>
      <c r="H4390" s="5"/>
    </row>
    <row r="4391" spans="1:9" x14ac:dyDescent="0.2">
      <c r="A4391" s="5"/>
      <c r="B4391" s="5" t="s">
        <v>71</v>
      </c>
      <c r="C4391" s="5"/>
      <c r="D4391" s="5" t="s">
        <v>13</v>
      </c>
      <c r="E4391" s="5"/>
      <c r="G4391" s="5"/>
      <c r="H4391" s="5"/>
    </row>
    <row r="4392" spans="1:9" x14ac:dyDescent="0.2">
      <c r="A4392" s="5" t="s">
        <v>4875</v>
      </c>
      <c r="B4392" s="5" t="s">
        <v>4876</v>
      </c>
      <c r="C4392" s="5"/>
      <c r="D4392" s="5" t="s">
        <v>18</v>
      </c>
      <c r="E4392" s="5"/>
      <c r="G4392" s="5"/>
      <c r="H4392" s="5"/>
    </row>
    <row r="4393" spans="1:9" x14ac:dyDescent="0.2">
      <c r="A4393" s="5" t="s">
        <v>4877</v>
      </c>
      <c r="B4393" s="5" t="s">
        <v>269</v>
      </c>
      <c r="C4393" s="5"/>
      <c r="D4393" s="5" t="s">
        <v>18</v>
      </c>
      <c r="E4393" s="5"/>
      <c r="G4393" s="5"/>
      <c r="H4393" s="5"/>
    </row>
    <row r="4394" spans="1:9" x14ac:dyDescent="0.2">
      <c r="A4394" s="5" t="s">
        <v>4878</v>
      </c>
      <c r="B4394" s="5" t="s">
        <v>4879</v>
      </c>
      <c r="C4394" s="5"/>
      <c r="D4394" s="5" t="s">
        <v>18</v>
      </c>
      <c r="E4394" s="5"/>
      <c r="G4394" s="5"/>
      <c r="H4394" s="5"/>
    </row>
    <row r="4395" spans="1:9" x14ac:dyDescent="0.2">
      <c r="A4395" s="5"/>
      <c r="B4395" s="5" t="s">
        <v>76</v>
      </c>
      <c r="C4395" s="5"/>
      <c r="D4395" s="5" t="s">
        <v>13</v>
      </c>
      <c r="E4395" s="5"/>
      <c r="G4395" s="5"/>
      <c r="H4395" s="5"/>
    </row>
    <row r="4396" spans="1:9" x14ac:dyDescent="0.2">
      <c r="A4396" s="5"/>
      <c r="B4396" s="5" t="s">
        <v>77</v>
      </c>
      <c r="C4396" s="5"/>
      <c r="D4396" s="5" t="s">
        <v>15</v>
      </c>
      <c r="E4396" s="5"/>
      <c r="G4396" s="5"/>
      <c r="H4396" s="5"/>
    </row>
    <row r="4397" spans="1:9" x14ac:dyDescent="0.2">
      <c r="A4397" s="5" t="s">
        <v>4880</v>
      </c>
      <c r="B4397" s="5" t="s">
        <v>4881</v>
      </c>
      <c r="C4397" s="5"/>
      <c r="D4397" s="5" t="s">
        <v>18</v>
      </c>
      <c r="E4397" s="5"/>
      <c r="G4397" s="5"/>
      <c r="H4397" s="5"/>
    </row>
    <row r="4398" spans="1:9" x14ac:dyDescent="0.2">
      <c r="A4398" s="5" t="s">
        <v>4882</v>
      </c>
      <c r="B4398" s="5" t="s">
        <v>4883</v>
      </c>
      <c r="C4398" s="5"/>
      <c r="D4398" s="5" t="s">
        <v>18</v>
      </c>
      <c r="E4398" s="5"/>
      <c r="G4398" s="5"/>
      <c r="H4398" s="5"/>
    </row>
    <row r="4399" spans="1:9" x14ac:dyDescent="0.2">
      <c r="A4399" s="5" t="s">
        <v>4884</v>
      </c>
      <c r="B4399" s="5" t="s">
        <v>4885</v>
      </c>
      <c r="C4399" s="5"/>
      <c r="D4399" s="5" t="s">
        <v>18</v>
      </c>
      <c r="E4399" s="5"/>
      <c r="G4399" s="5"/>
      <c r="H4399" s="5"/>
    </row>
    <row r="4400" spans="1:9" x14ac:dyDescent="0.2">
      <c r="A4400" s="5" t="s">
        <v>4886</v>
      </c>
      <c r="B4400" s="5" t="s">
        <v>4887</v>
      </c>
      <c r="C4400" s="5"/>
      <c r="D4400" s="5" t="s">
        <v>18</v>
      </c>
      <c r="E4400" s="5"/>
      <c r="G4400" s="5"/>
      <c r="H4400" s="5"/>
    </row>
    <row r="4401" spans="1:8" x14ac:dyDescent="0.2">
      <c r="A4401" s="5" t="s">
        <v>4888</v>
      </c>
      <c r="B4401" s="5" t="s">
        <v>4889</v>
      </c>
      <c r="C4401" s="5"/>
      <c r="D4401" s="5" t="s">
        <v>18</v>
      </c>
      <c r="E4401" s="5"/>
      <c r="G4401" s="5"/>
      <c r="H4401" s="5"/>
    </row>
    <row r="4402" spans="1:8" x14ac:dyDescent="0.2">
      <c r="A4402" s="5" t="s">
        <v>4890</v>
      </c>
      <c r="B4402" s="5" t="s">
        <v>299</v>
      </c>
      <c r="C4402" s="5"/>
      <c r="D4402" s="5" t="s">
        <v>18</v>
      </c>
      <c r="E4402" s="5"/>
      <c r="G4402" s="5"/>
      <c r="H4402" s="5"/>
    </row>
    <row r="4403" spans="1:8" x14ac:dyDescent="0.2">
      <c r="A4403" s="5"/>
      <c r="B4403" s="5" t="s">
        <v>94</v>
      </c>
      <c r="C4403" s="5"/>
      <c r="D4403" s="5" t="s">
        <v>13</v>
      </c>
      <c r="E4403" s="5"/>
      <c r="G4403" s="5"/>
      <c r="H4403" s="5"/>
    </row>
    <row r="4404" spans="1:8" x14ac:dyDescent="0.2">
      <c r="A4404" s="5" t="s">
        <v>4891</v>
      </c>
      <c r="B4404" s="5" t="s">
        <v>4295</v>
      </c>
      <c r="C4404" s="8">
        <v>1</v>
      </c>
      <c r="D4404" s="5" t="s">
        <v>97</v>
      </c>
      <c r="E4404" s="5"/>
      <c r="G4404" s="5"/>
      <c r="H4404" s="5"/>
    </row>
    <row r="4405" spans="1:8" x14ac:dyDescent="0.2">
      <c r="A4405" s="5" t="s">
        <v>4892</v>
      </c>
      <c r="B4405" s="5" t="s">
        <v>2758</v>
      </c>
      <c r="C4405" s="8">
        <v>1</v>
      </c>
      <c r="D4405" s="5" t="s">
        <v>97</v>
      </c>
      <c r="E4405" s="5"/>
      <c r="G4405" s="5"/>
      <c r="H4405" s="5"/>
    </row>
    <row r="4406" spans="1:8" x14ac:dyDescent="0.2">
      <c r="A4406" s="5" t="s">
        <v>4893</v>
      </c>
      <c r="B4406" s="5" t="s">
        <v>589</v>
      </c>
      <c r="C4406" s="8">
        <v>1</v>
      </c>
      <c r="D4406" s="5" t="s">
        <v>97</v>
      </c>
      <c r="E4406" s="5"/>
      <c r="G4406" s="5"/>
      <c r="H4406" s="5"/>
    </row>
    <row r="4407" spans="1:8" x14ac:dyDescent="0.2">
      <c r="A4407" s="5" t="s">
        <v>4894</v>
      </c>
      <c r="B4407" s="5" t="s">
        <v>4895</v>
      </c>
      <c r="C4407" s="8">
        <v>1</v>
      </c>
      <c r="D4407" s="5" t="s">
        <v>97</v>
      </c>
      <c r="E4407" s="5"/>
      <c r="G4407" s="5"/>
      <c r="H4407" s="5"/>
    </row>
    <row r="4408" spans="1:8" x14ac:dyDescent="0.2">
      <c r="A4408" s="5" t="s">
        <v>4896</v>
      </c>
      <c r="B4408" s="5" t="s">
        <v>3966</v>
      </c>
      <c r="C4408" s="8">
        <v>1</v>
      </c>
      <c r="D4408" s="5" t="s">
        <v>97</v>
      </c>
      <c r="E4408" s="5"/>
      <c r="G4408" s="5"/>
      <c r="H4408" s="5"/>
    </row>
    <row r="4409" spans="1:8" x14ac:dyDescent="0.2">
      <c r="A4409" s="5" t="s">
        <v>4897</v>
      </c>
      <c r="B4409" s="5" t="s">
        <v>4898</v>
      </c>
      <c r="C4409" s="8">
        <v>1</v>
      </c>
      <c r="D4409" s="5" t="s">
        <v>97</v>
      </c>
      <c r="E4409" s="5"/>
      <c r="G4409" s="5"/>
      <c r="H4409" s="5"/>
    </row>
    <row r="4410" spans="1:8" x14ac:dyDescent="0.2">
      <c r="A4410" s="5" t="s">
        <v>4899</v>
      </c>
      <c r="B4410" s="5" t="s">
        <v>4900</v>
      </c>
      <c r="C4410" s="8">
        <v>1</v>
      </c>
      <c r="D4410" s="5" t="s">
        <v>97</v>
      </c>
      <c r="E4410" s="5"/>
      <c r="G4410" s="5"/>
      <c r="H4410" s="5"/>
    </row>
    <row r="4411" spans="1:8" x14ac:dyDescent="0.2">
      <c r="A4411" s="5" t="s">
        <v>4901</v>
      </c>
      <c r="B4411" s="5" t="s">
        <v>4902</v>
      </c>
      <c r="C4411" s="8">
        <v>1</v>
      </c>
      <c r="D4411" s="5" t="s">
        <v>97</v>
      </c>
      <c r="E4411" s="5"/>
      <c r="G4411" s="5"/>
      <c r="H4411" s="5"/>
    </row>
    <row r="4412" spans="1:8" x14ac:dyDescent="0.2">
      <c r="A4412" s="5" t="s">
        <v>4903</v>
      </c>
      <c r="B4412" s="5" t="s">
        <v>4904</v>
      </c>
      <c r="C4412" s="8">
        <v>1</v>
      </c>
      <c r="D4412" s="5" t="s">
        <v>97</v>
      </c>
      <c r="E4412" s="5"/>
      <c r="G4412" s="5"/>
      <c r="H4412" s="5"/>
    </row>
    <row r="4413" spans="1:8" x14ac:dyDescent="0.2">
      <c r="A4413" s="5" t="s">
        <v>4905</v>
      </c>
      <c r="B4413" s="5" t="s">
        <v>2761</v>
      </c>
      <c r="C4413" s="8">
        <v>1</v>
      </c>
      <c r="D4413" s="5" t="s">
        <v>97</v>
      </c>
      <c r="E4413" s="5"/>
      <c r="G4413" s="5"/>
      <c r="H4413" s="5"/>
    </row>
    <row r="4414" spans="1:8" x14ac:dyDescent="0.2">
      <c r="A4414" s="5"/>
      <c r="B4414" s="5" t="s">
        <v>135</v>
      </c>
      <c r="C4414" s="5"/>
      <c r="D4414" s="5" t="s">
        <v>13</v>
      </c>
      <c r="E4414" s="5"/>
      <c r="G4414" s="5"/>
      <c r="H4414" s="5"/>
    </row>
    <row r="4415" spans="1:8" x14ac:dyDescent="0.2">
      <c r="A4415" s="5" t="s">
        <v>4906</v>
      </c>
      <c r="B4415" s="5" t="s">
        <v>4907</v>
      </c>
      <c r="C4415" s="5"/>
      <c r="D4415" s="5" t="s">
        <v>18</v>
      </c>
      <c r="E4415" s="5"/>
      <c r="G4415" s="5"/>
      <c r="H4415" s="5"/>
    </row>
    <row r="4416" spans="1:8" x14ac:dyDescent="0.2">
      <c r="A4416" s="5" t="s">
        <v>4908</v>
      </c>
      <c r="B4416" s="5" t="s">
        <v>4909</v>
      </c>
      <c r="C4416" s="5"/>
      <c r="D4416" s="5" t="s">
        <v>18</v>
      </c>
      <c r="E4416" s="5"/>
      <c r="G4416" s="5"/>
      <c r="H4416" s="5"/>
    </row>
    <row r="4417" spans="1:8" x14ac:dyDescent="0.2">
      <c r="A4417" s="5"/>
      <c r="B4417" s="5" t="s">
        <v>38</v>
      </c>
      <c r="C4417" s="5"/>
      <c r="D4417" s="5" t="s">
        <v>13</v>
      </c>
      <c r="E4417" s="5"/>
      <c r="G4417" s="5"/>
      <c r="H4417" s="5"/>
    </row>
    <row r="4418" spans="1:8" x14ac:dyDescent="0.2">
      <c r="A4418" s="5"/>
      <c r="B4418" s="5" t="s">
        <v>4910</v>
      </c>
      <c r="C4418" s="5"/>
      <c r="D4418" s="5" t="s">
        <v>15</v>
      </c>
      <c r="E4418" s="5"/>
      <c r="G4418" s="5"/>
      <c r="H4418" s="5"/>
    </row>
    <row r="4419" spans="1:8" x14ac:dyDescent="0.2">
      <c r="A4419" s="5"/>
      <c r="B4419" s="5" t="s">
        <v>4911</v>
      </c>
      <c r="C4419" s="5"/>
      <c r="D4419" s="5" t="s">
        <v>322</v>
      </c>
      <c r="E4419" s="5"/>
      <c r="G4419" s="5"/>
      <c r="H4419" s="5"/>
    </row>
    <row r="4420" spans="1:8" x14ac:dyDescent="0.2">
      <c r="A4420" s="5" t="s">
        <v>4912</v>
      </c>
      <c r="B4420" s="5" t="s">
        <v>3017</v>
      </c>
      <c r="C4420" s="8">
        <v>12</v>
      </c>
      <c r="D4420" s="5" t="s">
        <v>42</v>
      </c>
      <c r="E4420" s="5"/>
      <c r="G4420" s="5"/>
      <c r="H4420" s="5"/>
    </row>
    <row r="4421" spans="1:8" x14ac:dyDescent="0.2">
      <c r="A4421" s="5" t="s">
        <v>4913</v>
      </c>
      <c r="B4421" s="5" t="s">
        <v>2988</v>
      </c>
      <c r="C4421" s="8">
        <v>33</v>
      </c>
      <c r="D4421" s="5" t="s">
        <v>42</v>
      </c>
      <c r="E4421" s="5"/>
      <c r="G4421" s="5"/>
      <c r="H4421" s="5"/>
    </row>
    <row r="4422" spans="1:8" x14ac:dyDescent="0.2">
      <c r="A4422" s="5" t="s">
        <v>4914</v>
      </c>
      <c r="B4422" s="5" t="s">
        <v>2990</v>
      </c>
      <c r="C4422" s="8">
        <v>59</v>
      </c>
      <c r="D4422" s="5" t="s">
        <v>42</v>
      </c>
      <c r="E4422" s="5"/>
      <c r="G4422" s="5"/>
      <c r="H4422" s="5"/>
    </row>
    <row r="4423" spans="1:8" x14ac:dyDescent="0.2">
      <c r="A4423" s="5" t="s">
        <v>4915</v>
      </c>
      <c r="B4423" s="5" t="s">
        <v>2992</v>
      </c>
      <c r="C4423" s="8">
        <v>16</v>
      </c>
      <c r="D4423" s="5" t="s">
        <v>42</v>
      </c>
      <c r="E4423" s="5"/>
      <c r="G4423" s="5"/>
      <c r="H4423" s="5"/>
    </row>
    <row r="4424" spans="1:8" x14ac:dyDescent="0.2">
      <c r="A4424" s="5"/>
      <c r="B4424" s="5" t="s">
        <v>4916</v>
      </c>
      <c r="C4424" s="5"/>
      <c r="D4424" s="5" t="s">
        <v>322</v>
      </c>
      <c r="E4424" s="5"/>
      <c r="G4424" s="5"/>
      <c r="H4424" s="5"/>
    </row>
    <row r="4425" spans="1:8" x14ac:dyDescent="0.2">
      <c r="A4425" s="5" t="s">
        <v>4917</v>
      </c>
      <c r="B4425" s="5" t="s">
        <v>3017</v>
      </c>
      <c r="C4425" s="8">
        <v>112</v>
      </c>
      <c r="D4425" s="5" t="s">
        <v>42</v>
      </c>
      <c r="E4425" s="5"/>
      <c r="G4425" s="5"/>
      <c r="H4425" s="5"/>
    </row>
    <row r="4426" spans="1:8" x14ac:dyDescent="0.2">
      <c r="A4426" s="5"/>
      <c r="B4426" s="5" t="s">
        <v>4918</v>
      </c>
      <c r="C4426" s="5"/>
      <c r="D4426" s="5" t="s">
        <v>322</v>
      </c>
      <c r="E4426" s="5"/>
      <c r="G4426" s="5"/>
      <c r="H4426" s="5"/>
    </row>
    <row r="4427" spans="1:8" x14ac:dyDescent="0.2">
      <c r="A4427" s="5" t="s">
        <v>4919</v>
      </c>
      <c r="B4427" s="5" t="s">
        <v>2990</v>
      </c>
      <c r="C4427" s="8">
        <v>51</v>
      </c>
      <c r="D4427" s="5" t="s">
        <v>42</v>
      </c>
      <c r="E4427" s="5"/>
      <c r="G4427" s="5"/>
      <c r="H4427" s="5"/>
    </row>
    <row r="4428" spans="1:8" x14ac:dyDescent="0.2">
      <c r="A4428" s="5" t="s">
        <v>4920</v>
      </c>
      <c r="B4428" s="5" t="s">
        <v>2992</v>
      </c>
      <c r="C4428" s="8">
        <v>262</v>
      </c>
      <c r="D4428" s="5" t="s">
        <v>42</v>
      </c>
      <c r="E4428" s="5"/>
      <c r="G4428" s="5"/>
      <c r="H4428" s="5"/>
    </row>
    <row r="4429" spans="1:8" x14ac:dyDescent="0.2">
      <c r="A4429" s="5"/>
      <c r="B4429" s="5" t="s">
        <v>4921</v>
      </c>
      <c r="C4429" s="5"/>
      <c r="D4429" s="5" t="s">
        <v>15</v>
      </c>
      <c r="E4429" s="5"/>
      <c r="G4429" s="5"/>
      <c r="H4429" s="5"/>
    </row>
    <row r="4430" spans="1:8" x14ac:dyDescent="0.2">
      <c r="A4430" s="5"/>
      <c r="B4430" s="5" t="s">
        <v>4922</v>
      </c>
      <c r="C4430" s="5"/>
      <c r="D4430" s="5" t="s">
        <v>322</v>
      </c>
      <c r="E4430" s="5"/>
      <c r="G4430" s="5"/>
      <c r="H4430" s="5"/>
    </row>
    <row r="4431" spans="1:8" x14ac:dyDescent="0.2">
      <c r="A4431" s="5" t="s">
        <v>4923</v>
      </c>
      <c r="B4431" s="5" t="s">
        <v>3017</v>
      </c>
      <c r="C4431" s="8">
        <v>2</v>
      </c>
      <c r="D4431" s="5" t="s">
        <v>155</v>
      </c>
      <c r="E4431" s="5"/>
      <c r="G4431" s="5"/>
      <c r="H4431" s="5"/>
    </row>
    <row r="4432" spans="1:8" x14ac:dyDescent="0.2">
      <c r="A4432" s="5" t="s">
        <v>4924</v>
      </c>
      <c r="B4432" s="5" t="s">
        <v>2992</v>
      </c>
      <c r="C4432" s="8">
        <v>5</v>
      </c>
      <c r="D4432" s="5" t="s">
        <v>155</v>
      </c>
      <c r="E4432" s="5"/>
      <c r="G4432" s="5"/>
      <c r="H4432" s="5"/>
    </row>
    <row r="4433" spans="1:8" x14ac:dyDescent="0.2">
      <c r="A4433" s="5"/>
      <c r="B4433" s="5" t="s">
        <v>4925</v>
      </c>
      <c r="C4433" s="5"/>
      <c r="D4433" s="5" t="s">
        <v>15</v>
      </c>
      <c r="E4433" s="5"/>
      <c r="G4433" s="5"/>
      <c r="H4433" s="5"/>
    </row>
    <row r="4434" spans="1:8" x14ac:dyDescent="0.2">
      <c r="A4434" s="5"/>
      <c r="B4434" s="5" t="s">
        <v>4926</v>
      </c>
      <c r="C4434" s="5"/>
      <c r="D4434" s="5" t="s">
        <v>322</v>
      </c>
      <c r="E4434" s="5"/>
      <c r="G4434" s="5"/>
      <c r="H4434" s="5"/>
    </row>
    <row r="4435" spans="1:8" x14ac:dyDescent="0.2">
      <c r="A4435" s="5" t="s">
        <v>4927</v>
      </c>
      <c r="B4435" s="5" t="s">
        <v>3930</v>
      </c>
      <c r="C4435" s="8">
        <v>2</v>
      </c>
      <c r="D4435" s="5" t="s">
        <v>42</v>
      </c>
      <c r="E4435" s="5"/>
      <c r="G4435" s="5"/>
      <c r="H4435" s="5"/>
    </row>
    <row r="4436" spans="1:8" x14ac:dyDescent="0.2">
      <c r="A4436" s="5" t="s">
        <v>4928</v>
      </c>
      <c r="B4436" s="5" t="s">
        <v>3932</v>
      </c>
      <c r="C4436" s="8">
        <v>3</v>
      </c>
      <c r="D4436" s="5" t="s">
        <v>42</v>
      </c>
      <c r="E4436" s="5"/>
      <c r="G4436" s="5"/>
      <c r="H4436" s="5"/>
    </row>
    <row r="4437" spans="1:8" x14ac:dyDescent="0.2">
      <c r="A4437" s="5" t="s">
        <v>4929</v>
      </c>
      <c r="B4437" s="5" t="s">
        <v>2526</v>
      </c>
      <c r="C4437" s="8">
        <v>3</v>
      </c>
      <c r="D4437" s="5" t="s">
        <v>42</v>
      </c>
      <c r="E4437" s="5"/>
      <c r="G4437" s="5"/>
      <c r="H4437" s="5"/>
    </row>
    <row r="4438" spans="1:8" x14ac:dyDescent="0.2">
      <c r="A4438" s="5"/>
      <c r="B4438" s="5" t="s">
        <v>4930</v>
      </c>
      <c r="C4438" s="5"/>
      <c r="D4438" s="5" t="s">
        <v>322</v>
      </c>
      <c r="E4438" s="5"/>
      <c r="G4438" s="5"/>
      <c r="H4438" s="5"/>
    </row>
    <row r="4439" spans="1:8" x14ac:dyDescent="0.2">
      <c r="A4439" s="5" t="s">
        <v>4931</v>
      </c>
      <c r="B4439" s="5" t="s">
        <v>3930</v>
      </c>
      <c r="C4439" s="8">
        <v>221</v>
      </c>
      <c r="D4439" s="5" t="s">
        <v>42</v>
      </c>
      <c r="E4439" s="5"/>
      <c r="G4439" s="5"/>
      <c r="H4439" s="5"/>
    </row>
    <row r="4440" spans="1:8" x14ac:dyDescent="0.2">
      <c r="A4440" s="5"/>
      <c r="B4440" s="5" t="s">
        <v>4932</v>
      </c>
      <c r="C4440" s="5"/>
      <c r="D4440" s="5" t="s">
        <v>322</v>
      </c>
      <c r="E4440" s="5"/>
      <c r="G4440" s="5"/>
      <c r="H4440" s="5"/>
    </row>
    <row r="4441" spans="1:8" x14ac:dyDescent="0.2">
      <c r="A4441" s="5" t="s">
        <v>4933</v>
      </c>
      <c r="B4441" s="5" t="s">
        <v>3932</v>
      </c>
      <c r="C4441" s="8">
        <v>3</v>
      </c>
      <c r="D4441" s="5" t="s">
        <v>42</v>
      </c>
      <c r="E4441" s="5"/>
      <c r="G4441" s="5"/>
      <c r="H4441" s="5"/>
    </row>
    <row r="4442" spans="1:8" x14ac:dyDescent="0.2">
      <c r="A4442" s="5" t="s">
        <v>4934</v>
      </c>
      <c r="B4442" s="5" t="s">
        <v>2526</v>
      </c>
      <c r="C4442" s="8">
        <v>8</v>
      </c>
      <c r="D4442" s="5" t="s">
        <v>42</v>
      </c>
      <c r="E4442" s="5"/>
      <c r="G4442" s="5"/>
      <c r="H4442" s="5"/>
    </row>
    <row r="4443" spans="1:8" x14ac:dyDescent="0.2">
      <c r="A4443" s="5" t="s">
        <v>4935</v>
      </c>
      <c r="B4443" s="5" t="s">
        <v>2559</v>
      </c>
      <c r="C4443" s="8">
        <v>7</v>
      </c>
      <c r="D4443" s="5" t="s">
        <v>42</v>
      </c>
      <c r="E4443" s="5"/>
      <c r="G4443" s="5"/>
      <c r="H4443" s="5"/>
    </row>
    <row r="4444" spans="1:8" x14ac:dyDescent="0.2">
      <c r="A4444" s="5"/>
      <c r="B4444" s="5" t="s">
        <v>4936</v>
      </c>
      <c r="C4444" s="5"/>
      <c r="D4444" s="5" t="s">
        <v>15</v>
      </c>
      <c r="E4444" s="5"/>
      <c r="G4444" s="5"/>
      <c r="H4444" s="5"/>
    </row>
    <row r="4445" spans="1:8" x14ac:dyDescent="0.2">
      <c r="A4445" s="5"/>
      <c r="B4445" s="5" t="s">
        <v>4937</v>
      </c>
      <c r="C4445" s="5"/>
      <c r="D4445" s="5" t="s">
        <v>322</v>
      </c>
      <c r="E4445" s="5"/>
      <c r="G4445" s="5"/>
      <c r="H4445" s="5"/>
    </row>
    <row r="4446" spans="1:8" x14ac:dyDescent="0.2">
      <c r="A4446" s="5" t="s">
        <v>4938</v>
      </c>
      <c r="B4446" s="5" t="s">
        <v>3930</v>
      </c>
      <c r="C4446" s="8">
        <v>3</v>
      </c>
      <c r="D4446" s="5" t="s">
        <v>155</v>
      </c>
      <c r="E4446" s="5"/>
      <c r="G4446" s="5"/>
      <c r="H4446" s="5"/>
    </row>
    <row r="4447" spans="1:8" x14ac:dyDescent="0.2">
      <c r="A4447" s="5" t="s">
        <v>4939</v>
      </c>
      <c r="B4447" s="5" t="s">
        <v>3932</v>
      </c>
      <c r="C4447" s="8">
        <v>4</v>
      </c>
      <c r="D4447" s="5" t="s">
        <v>155</v>
      </c>
      <c r="E4447" s="5"/>
      <c r="G4447" s="5"/>
      <c r="H4447" s="5"/>
    </row>
    <row r="4448" spans="1:8" x14ac:dyDescent="0.2">
      <c r="A4448" s="5" t="s">
        <v>4940</v>
      </c>
      <c r="B4448" s="5" t="s">
        <v>2526</v>
      </c>
      <c r="C4448" s="8">
        <v>4</v>
      </c>
      <c r="D4448" s="5" t="s">
        <v>155</v>
      </c>
      <c r="E4448" s="5"/>
      <c r="G4448" s="5"/>
      <c r="H4448" s="5"/>
    </row>
    <row r="4449" spans="1:8" x14ac:dyDescent="0.2">
      <c r="A4449" s="5"/>
      <c r="B4449" s="5" t="s">
        <v>4941</v>
      </c>
      <c r="C4449" s="5"/>
      <c r="D4449" s="5" t="s">
        <v>322</v>
      </c>
      <c r="E4449" s="5"/>
      <c r="G4449" s="5"/>
      <c r="H4449" s="5"/>
    </row>
    <row r="4450" spans="1:8" x14ac:dyDescent="0.2">
      <c r="A4450" s="5" t="s">
        <v>4942</v>
      </c>
      <c r="B4450" s="5" t="s">
        <v>3932</v>
      </c>
      <c r="C4450" s="8">
        <v>1</v>
      </c>
      <c r="D4450" s="5" t="s">
        <v>155</v>
      </c>
      <c r="E4450" s="5"/>
      <c r="G4450" s="5"/>
      <c r="H4450" s="5"/>
    </row>
    <row r="4451" spans="1:8" x14ac:dyDescent="0.2">
      <c r="A4451" s="5" t="s">
        <v>4943</v>
      </c>
      <c r="B4451" s="5" t="s">
        <v>2526</v>
      </c>
      <c r="C4451" s="8">
        <v>2</v>
      </c>
      <c r="D4451" s="5" t="s">
        <v>155</v>
      </c>
      <c r="E4451" s="5"/>
      <c r="G4451" s="5"/>
      <c r="H4451" s="5"/>
    </row>
    <row r="4452" spans="1:8" x14ac:dyDescent="0.2">
      <c r="A4452" s="5" t="s">
        <v>4944</v>
      </c>
      <c r="B4452" s="5" t="s">
        <v>2559</v>
      </c>
      <c r="C4452" s="8">
        <v>2</v>
      </c>
      <c r="D4452" s="5" t="s">
        <v>155</v>
      </c>
      <c r="E4452" s="5"/>
      <c r="G4452" s="5"/>
      <c r="H4452" s="5"/>
    </row>
    <row r="4453" spans="1:8" x14ac:dyDescent="0.2">
      <c r="A4453" s="5"/>
      <c r="B4453" s="5" t="s">
        <v>4945</v>
      </c>
      <c r="C4453" s="5"/>
      <c r="D4453" s="5" t="s">
        <v>15</v>
      </c>
      <c r="E4453" s="5"/>
      <c r="G4453" s="5"/>
      <c r="H4453" s="5"/>
    </row>
    <row r="4454" spans="1:8" x14ac:dyDescent="0.2">
      <c r="A4454" s="5"/>
      <c r="B4454" s="5" t="s">
        <v>4946</v>
      </c>
      <c r="C4454" s="5"/>
      <c r="D4454" s="5" t="s">
        <v>322</v>
      </c>
      <c r="E4454" s="5"/>
      <c r="G4454" s="5"/>
      <c r="H4454" s="5"/>
    </row>
    <row r="4455" spans="1:8" x14ac:dyDescent="0.2">
      <c r="A4455" s="5" t="s">
        <v>4947</v>
      </c>
      <c r="B4455" s="5" t="s">
        <v>3930</v>
      </c>
      <c r="C4455" s="8">
        <v>10</v>
      </c>
      <c r="D4455" s="5" t="s">
        <v>155</v>
      </c>
      <c r="E4455" s="5"/>
      <c r="G4455" s="5"/>
      <c r="H4455" s="5"/>
    </row>
    <row r="4456" spans="1:8" x14ac:dyDescent="0.2">
      <c r="A4456" s="5" t="s">
        <v>4948</v>
      </c>
      <c r="B4456" s="5" t="s">
        <v>3932</v>
      </c>
      <c r="C4456" s="8">
        <v>37</v>
      </c>
      <c r="D4456" s="5" t="s">
        <v>155</v>
      </c>
      <c r="E4456" s="5"/>
      <c r="G4456" s="5"/>
      <c r="H4456" s="5"/>
    </row>
    <row r="4457" spans="1:8" x14ac:dyDescent="0.2">
      <c r="A4457" s="5" t="s">
        <v>4949</v>
      </c>
      <c r="B4457" s="5" t="s">
        <v>2526</v>
      </c>
      <c r="C4457" s="8">
        <v>139</v>
      </c>
      <c r="D4457" s="5" t="s">
        <v>155</v>
      </c>
      <c r="E4457" s="5"/>
      <c r="G4457" s="5"/>
      <c r="H4457" s="5"/>
    </row>
    <row r="4458" spans="1:8" x14ac:dyDescent="0.2">
      <c r="A4458" s="5" t="s">
        <v>4950</v>
      </c>
      <c r="B4458" s="5" t="s">
        <v>2559</v>
      </c>
      <c r="C4458" s="8">
        <v>37</v>
      </c>
      <c r="D4458" s="5" t="s">
        <v>155</v>
      </c>
      <c r="E4458" s="5"/>
      <c r="G4458" s="5"/>
      <c r="H4458" s="5"/>
    </row>
    <row r="4459" spans="1:8" x14ac:dyDescent="0.2">
      <c r="A4459" s="5"/>
      <c r="B4459" s="5" t="s">
        <v>4951</v>
      </c>
      <c r="C4459" s="5"/>
      <c r="D4459" s="5" t="s">
        <v>15</v>
      </c>
      <c r="E4459" s="5"/>
      <c r="G4459" s="5"/>
      <c r="H4459" s="5"/>
    </row>
    <row r="4460" spans="1:8" x14ac:dyDescent="0.2">
      <c r="A4460" s="5"/>
      <c r="B4460" s="5" t="s">
        <v>4952</v>
      </c>
      <c r="C4460" s="5"/>
      <c r="D4460" s="5" t="s">
        <v>322</v>
      </c>
      <c r="E4460" s="5"/>
      <c r="G4460" s="5"/>
      <c r="H4460" s="5"/>
    </row>
    <row r="4461" spans="1:8" x14ac:dyDescent="0.2">
      <c r="A4461" s="5" t="s">
        <v>4953</v>
      </c>
      <c r="B4461" s="5" t="s">
        <v>3017</v>
      </c>
      <c r="C4461" s="8">
        <v>12</v>
      </c>
      <c r="D4461" s="5" t="s">
        <v>42</v>
      </c>
      <c r="E4461" s="5"/>
      <c r="G4461" s="5"/>
      <c r="H4461" s="5"/>
    </row>
    <row r="4462" spans="1:8" x14ac:dyDescent="0.2">
      <c r="A4462" s="5" t="s">
        <v>4954</v>
      </c>
      <c r="B4462" s="5" t="s">
        <v>2988</v>
      </c>
      <c r="C4462" s="8">
        <v>30</v>
      </c>
      <c r="D4462" s="5" t="s">
        <v>42</v>
      </c>
      <c r="E4462" s="5"/>
      <c r="G4462" s="5"/>
      <c r="H4462" s="5"/>
    </row>
    <row r="4463" spans="1:8" x14ac:dyDescent="0.2">
      <c r="A4463" s="5" t="s">
        <v>4955</v>
      </c>
      <c r="B4463" s="5" t="s">
        <v>2990</v>
      </c>
      <c r="C4463" s="8">
        <v>59</v>
      </c>
      <c r="D4463" s="5" t="s">
        <v>42</v>
      </c>
      <c r="E4463" s="5"/>
      <c r="G4463" s="5"/>
      <c r="H4463" s="5"/>
    </row>
    <row r="4464" spans="1:8" x14ac:dyDescent="0.2">
      <c r="A4464" s="5" t="s">
        <v>4956</v>
      </c>
      <c r="B4464" s="5" t="s">
        <v>2992</v>
      </c>
      <c r="C4464" s="8">
        <v>16</v>
      </c>
      <c r="D4464" s="5" t="s">
        <v>42</v>
      </c>
      <c r="E4464" s="5"/>
      <c r="G4464" s="5"/>
      <c r="H4464" s="5"/>
    </row>
    <row r="4465" spans="1:8" x14ac:dyDescent="0.2">
      <c r="A4465" s="5"/>
      <c r="B4465" s="5" t="s">
        <v>53</v>
      </c>
      <c r="C4465" s="5"/>
      <c r="D4465" s="5" t="s">
        <v>13</v>
      </c>
      <c r="E4465" s="5"/>
      <c r="G4465" s="5"/>
      <c r="H4465" s="5"/>
    </row>
    <row r="4466" spans="1:8" x14ac:dyDescent="0.2">
      <c r="A4466" s="5"/>
      <c r="B4466" s="5" t="s">
        <v>4910</v>
      </c>
      <c r="C4466" s="5"/>
      <c r="D4466" s="5" t="s">
        <v>15</v>
      </c>
      <c r="E4466" s="5"/>
      <c r="G4466" s="5"/>
      <c r="H4466" s="5"/>
    </row>
    <row r="4467" spans="1:8" x14ac:dyDescent="0.2">
      <c r="A4467" s="5"/>
      <c r="B4467" s="5" t="s">
        <v>4911</v>
      </c>
      <c r="C4467" s="5"/>
      <c r="D4467" s="5" t="s">
        <v>322</v>
      </c>
      <c r="E4467" s="5"/>
      <c r="G4467" s="5"/>
      <c r="H4467" s="5"/>
    </row>
    <row r="4468" spans="1:8" x14ac:dyDescent="0.2">
      <c r="A4468" s="5" t="s">
        <v>4957</v>
      </c>
      <c r="B4468" s="5" t="s">
        <v>3017</v>
      </c>
      <c r="C4468" s="8">
        <v>27</v>
      </c>
      <c r="D4468" s="5" t="s">
        <v>42</v>
      </c>
      <c r="E4468" s="5"/>
      <c r="G4468" s="5"/>
      <c r="H4468" s="5"/>
    </row>
    <row r="4469" spans="1:8" x14ac:dyDescent="0.2">
      <c r="A4469" s="5" t="s">
        <v>4958</v>
      </c>
      <c r="B4469" s="5" t="s">
        <v>2988</v>
      </c>
      <c r="C4469" s="8">
        <v>20</v>
      </c>
      <c r="D4469" s="5" t="s">
        <v>42</v>
      </c>
      <c r="E4469" s="5"/>
      <c r="G4469" s="5"/>
      <c r="H4469" s="5"/>
    </row>
    <row r="4470" spans="1:8" x14ac:dyDescent="0.2">
      <c r="A4470" s="5" t="s">
        <v>4959</v>
      </c>
      <c r="B4470" s="5" t="s">
        <v>2990</v>
      </c>
      <c r="C4470" s="8">
        <v>19</v>
      </c>
      <c r="D4470" s="5" t="s">
        <v>42</v>
      </c>
      <c r="E4470" s="5"/>
      <c r="G4470" s="5"/>
      <c r="H4470" s="5"/>
    </row>
    <row r="4471" spans="1:8" x14ac:dyDescent="0.2">
      <c r="A4471" s="5" t="s">
        <v>4960</v>
      </c>
      <c r="B4471" s="5" t="s">
        <v>2992</v>
      </c>
      <c r="C4471" s="8">
        <v>17</v>
      </c>
      <c r="D4471" s="5" t="s">
        <v>42</v>
      </c>
      <c r="E4471" s="5"/>
      <c r="G4471" s="5"/>
      <c r="H4471" s="5"/>
    </row>
    <row r="4472" spans="1:8" x14ac:dyDescent="0.2">
      <c r="A4472" s="5"/>
      <c r="B4472" s="5" t="s">
        <v>4921</v>
      </c>
      <c r="C4472" s="5"/>
      <c r="D4472" s="5" t="s">
        <v>15</v>
      </c>
      <c r="E4472" s="5"/>
      <c r="G4472" s="5"/>
      <c r="H4472" s="5"/>
    </row>
    <row r="4473" spans="1:8" x14ac:dyDescent="0.2">
      <c r="A4473" s="5"/>
      <c r="B4473" s="5" t="s">
        <v>4922</v>
      </c>
      <c r="C4473" s="5"/>
      <c r="D4473" s="5" t="s">
        <v>322</v>
      </c>
      <c r="E4473" s="5"/>
      <c r="G4473" s="5"/>
      <c r="H4473" s="5"/>
    </row>
    <row r="4474" spans="1:8" x14ac:dyDescent="0.2">
      <c r="A4474" s="5" t="s">
        <v>4961</v>
      </c>
      <c r="B4474" s="5" t="s">
        <v>2992</v>
      </c>
      <c r="C4474" s="8">
        <v>5</v>
      </c>
      <c r="D4474" s="5" t="s">
        <v>155</v>
      </c>
      <c r="E4474" s="5"/>
      <c r="G4474" s="5"/>
      <c r="H4474" s="5"/>
    </row>
    <row r="4475" spans="1:8" x14ac:dyDescent="0.2">
      <c r="A4475" s="5"/>
      <c r="B4475" s="5" t="s">
        <v>4925</v>
      </c>
      <c r="C4475" s="5"/>
      <c r="D4475" s="5" t="s">
        <v>15</v>
      </c>
      <c r="E4475" s="5"/>
      <c r="G4475" s="5"/>
      <c r="H4475" s="5"/>
    </row>
    <row r="4476" spans="1:8" x14ac:dyDescent="0.2">
      <c r="A4476" s="5"/>
      <c r="B4476" s="5" t="s">
        <v>4962</v>
      </c>
      <c r="C4476" s="5"/>
      <c r="D4476" s="5" t="s">
        <v>322</v>
      </c>
      <c r="E4476" s="5"/>
      <c r="G4476" s="5"/>
      <c r="H4476" s="5"/>
    </row>
    <row r="4477" spans="1:8" x14ac:dyDescent="0.2">
      <c r="A4477" s="5" t="s">
        <v>4963</v>
      </c>
      <c r="B4477" s="5" t="s">
        <v>3941</v>
      </c>
      <c r="C4477" s="8">
        <v>4</v>
      </c>
      <c r="D4477" s="5" t="s">
        <v>42</v>
      </c>
      <c r="E4477" s="5"/>
      <c r="G4477" s="5"/>
      <c r="H4477" s="5"/>
    </row>
    <row r="4478" spans="1:8" x14ac:dyDescent="0.2">
      <c r="A4478" s="5" t="s">
        <v>4964</v>
      </c>
      <c r="B4478" s="5" t="s">
        <v>2572</v>
      </c>
      <c r="C4478" s="8">
        <v>4</v>
      </c>
      <c r="D4478" s="5" t="s">
        <v>42</v>
      </c>
      <c r="E4478" s="5"/>
      <c r="G4478" s="5"/>
      <c r="H4478" s="5"/>
    </row>
    <row r="4479" spans="1:8" x14ac:dyDescent="0.2">
      <c r="A4479" s="5"/>
      <c r="B4479" s="5" t="s">
        <v>4932</v>
      </c>
      <c r="C4479" s="5"/>
      <c r="D4479" s="5" t="s">
        <v>322</v>
      </c>
      <c r="E4479" s="5"/>
      <c r="G4479" s="5"/>
      <c r="H4479" s="5"/>
    </row>
    <row r="4480" spans="1:8" x14ac:dyDescent="0.2">
      <c r="A4480" s="5" t="s">
        <v>4965</v>
      </c>
      <c r="B4480" s="5" t="s">
        <v>3941</v>
      </c>
      <c r="C4480" s="8">
        <v>2</v>
      </c>
      <c r="D4480" s="5" t="s">
        <v>42</v>
      </c>
      <c r="E4480" s="5"/>
      <c r="G4480" s="5"/>
      <c r="H4480" s="5"/>
    </row>
    <row r="4481" spans="1:8" x14ac:dyDescent="0.2">
      <c r="A4481" s="5"/>
      <c r="B4481" s="5" t="s">
        <v>4936</v>
      </c>
      <c r="C4481" s="5"/>
      <c r="D4481" s="5" t="s">
        <v>15</v>
      </c>
      <c r="E4481" s="5"/>
      <c r="G4481" s="5"/>
      <c r="H4481" s="5"/>
    </row>
    <row r="4482" spans="1:8" x14ac:dyDescent="0.2">
      <c r="A4482" s="5"/>
      <c r="B4482" s="5" t="s">
        <v>4941</v>
      </c>
      <c r="C4482" s="5"/>
      <c r="D4482" s="5" t="s">
        <v>322</v>
      </c>
      <c r="E4482" s="5"/>
      <c r="G4482" s="5"/>
      <c r="H4482" s="5"/>
    </row>
    <row r="4483" spans="1:8" x14ac:dyDescent="0.2">
      <c r="A4483" s="5" t="s">
        <v>4966</v>
      </c>
      <c r="B4483" s="5" t="s">
        <v>3932</v>
      </c>
      <c r="C4483" s="8">
        <v>1</v>
      </c>
      <c r="D4483" s="5" t="s">
        <v>155</v>
      </c>
      <c r="E4483" s="5"/>
      <c r="G4483" s="5"/>
      <c r="H4483" s="5"/>
    </row>
    <row r="4484" spans="1:8" x14ac:dyDescent="0.2">
      <c r="A4484" s="5" t="s">
        <v>4967</v>
      </c>
      <c r="B4484" s="5" t="s">
        <v>2526</v>
      </c>
      <c r="C4484" s="8">
        <v>2</v>
      </c>
      <c r="D4484" s="5" t="s">
        <v>155</v>
      </c>
      <c r="E4484" s="5"/>
      <c r="G4484" s="5"/>
      <c r="H4484" s="5"/>
    </row>
    <row r="4485" spans="1:8" x14ac:dyDescent="0.2">
      <c r="A4485" s="5" t="s">
        <v>4968</v>
      </c>
      <c r="B4485" s="5" t="s">
        <v>2559</v>
      </c>
      <c r="C4485" s="8">
        <v>2</v>
      </c>
      <c r="D4485" s="5" t="s">
        <v>155</v>
      </c>
      <c r="E4485" s="5"/>
      <c r="G4485" s="5"/>
      <c r="H4485" s="5"/>
    </row>
    <row r="4486" spans="1:8" x14ac:dyDescent="0.2">
      <c r="A4486" s="5"/>
      <c r="B4486" s="5" t="s">
        <v>4945</v>
      </c>
      <c r="C4486" s="5"/>
      <c r="D4486" s="5" t="s">
        <v>15</v>
      </c>
      <c r="E4486" s="5"/>
      <c r="G4486" s="5"/>
      <c r="H4486" s="5"/>
    </row>
    <row r="4487" spans="1:8" x14ac:dyDescent="0.2">
      <c r="A4487" s="5"/>
      <c r="B4487" s="5" t="s">
        <v>4946</v>
      </c>
      <c r="C4487" s="5"/>
      <c r="D4487" s="5" t="s">
        <v>322</v>
      </c>
      <c r="E4487" s="5"/>
      <c r="G4487" s="5"/>
      <c r="H4487" s="5"/>
    </row>
    <row r="4488" spans="1:8" x14ac:dyDescent="0.2">
      <c r="A4488" s="5" t="s">
        <v>4969</v>
      </c>
      <c r="B4488" s="5" t="s">
        <v>3939</v>
      </c>
      <c r="C4488" s="8">
        <v>69</v>
      </c>
      <c r="D4488" s="5" t="s">
        <v>155</v>
      </c>
      <c r="E4488" s="5"/>
      <c r="G4488" s="5"/>
      <c r="H4488" s="5"/>
    </row>
    <row r="4489" spans="1:8" x14ac:dyDescent="0.2">
      <c r="A4489" s="5" t="s">
        <v>4970</v>
      </c>
      <c r="B4489" s="5" t="s">
        <v>3941</v>
      </c>
      <c r="C4489" s="8">
        <v>15</v>
      </c>
      <c r="D4489" s="5" t="s">
        <v>155</v>
      </c>
      <c r="E4489" s="5"/>
      <c r="G4489" s="5"/>
      <c r="H4489" s="5"/>
    </row>
    <row r="4490" spans="1:8" x14ac:dyDescent="0.2">
      <c r="A4490" s="5" t="s">
        <v>4971</v>
      </c>
      <c r="B4490" s="5" t="s">
        <v>2572</v>
      </c>
      <c r="C4490" s="8">
        <v>16</v>
      </c>
      <c r="D4490" s="5" t="s">
        <v>155</v>
      </c>
      <c r="E4490" s="5"/>
      <c r="G4490" s="5"/>
      <c r="H4490" s="5"/>
    </row>
    <row r="4491" spans="1:8" x14ac:dyDescent="0.2">
      <c r="A4491" s="5" t="s">
        <v>4972</v>
      </c>
      <c r="B4491" s="5" t="s">
        <v>3944</v>
      </c>
      <c r="C4491" s="8">
        <v>36</v>
      </c>
      <c r="D4491" s="5" t="s">
        <v>155</v>
      </c>
      <c r="E4491" s="5"/>
      <c r="G4491" s="5"/>
      <c r="H4491" s="5"/>
    </row>
    <row r="4492" spans="1:8" x14ac:dyDescent="0.2">
      <c r="A4492" s="5"/>
      <c r="B4492" s="5" t="s">
        <v>4951</v>
      </c>
      <c r="C4492" s="5"/>
      <c r="D4492" s="5" t="s">
        <v>15</v>
      </c>
      <c r="E4492" s="5"/>
      <c r="G4492" s="5"/>
      <c r="H4492" s="5"/>
    </row>
    <row r="4493" spans="1:8" x14ac:dyDescent="0.2">
      <c r="A4493" s="5"/>
      <c r="B4493" s="5" t="s">
        <v>4952</v>
      </c>
      <c r="C4493" s="5"/>
      <c r="D4493" s="5" t="s">
        <v>322</v>
      </c>
      <c r="E4493" s="5"/>
      <c r="G4493" s="5"/>
      <c r="H4493" s="5"/>
    </row>
    <row r="4494" spans="1:8" x14ac:dyDescent="0.2">
      <c r="A4494" s="5" t="s">
        <v>4973</v>
      </c>
      <c r="B4494" s="5" t="s">
        <v>3017</v>
      </c>
      <c r="C4494" s="8">
        <v>27</v>
      </c>
      <c r="D4494" s="5" t="s">
        <v>42</v>
      </c>
      <c r="E4494" s="5"/>
      <c r="G4494" s="5"/>
      <c r="H4494" s="5"/>
    </row>
    <row r="4495" spans="1:8" x14ac:dyDescent="0.2">
      <c r="A4495" s="5" t="s">
        <v>4974</v>
      </c>
      <c r="B4495" s="5" t="s">
        <v>2988</v>
      </c>
      <c r="C4495" s="8">
        <v>16</v>
      </c>
      <c r="D4495" s="5" t="s">
        <v>42</v>
      </c>
      <c r="E4495" s="5"/>
      <c r="G4495" s="5"/>
      <c r="H4495" s="5"/>
    </row>
    <row r="4496" spans="1:8" x14ac:dyDescent="0.2">
      <c r="A4496" s="5" t="s">
        <v>4975</v>
      </c>
      <c r="B4496" s="5" t="s">
        <v>2990</v>
      </c>
      <c r="C4496" s="8">
        <v>16</v>
      </c>
      <c r="D4496" s="5" t="s">
        <v>42</v>
      </c>
      <c r="E4496" s="5"/>
      <c r="G4496" s="5"/>
      <c r="H4496" s="5"/>
    </row>
    <row r="4497" spans="1:9" x14ac:dyDescent="0.2">
      <c r="A4497" s="5" t="s">
        <v>4976</v>
      </c>
      <c r="B4497" s="5" t="s">
        <v>2992</v>
      </c>
      <c r="C4497" s="8">
        <v>17</v>
      </c>
      <c r="D4497" s="5" t="s">
        <v>42</v>
      </c>
      <c r="E4497" s="5"/>
      <c r="G4497" s="5"/>
      <c r="H4497" s="5"/>
    </row>
    <row r="4498" spans="1:9" x14ac:dyDescent="0.2">
      <c r="B4498" s="6" t="s">
        <v>4977</v>
      </c>
      <c r="C4498" s="6"/>
      <c r="D4498" s="6"/>
      <c r="E4498" s="6"/>
      <c r="F4498" s="9">
        <f>SUM(H4388:H4498)</f>
        <v>0</v>
      </c>
      <c r="G4498" s="6"/>
      <c r="I4498" s="9">
        <f>PRODUCT(F4498,G4498)</f>
        <v>0</v>
      </c>
    </row>
    <row r="4500" spans="1:9" x14ac:dyDescent="0.2">
      <c r="A4500" s="6" t="s">
        <v>4978</v>
      </c>
      <c r="B4500" s="6" t="s">
        <v>4979</v>
      </c>
    </row>
    <row r="4501" spans="1:9" x14ac:dyDescent="0.2">
      <c r="A4501" s="5"/>
      <c r="B4501" s="5" t="s">
        <v>64</v>
      </c>
      <c r="C4501" s="5"/>
      <c r="D4501" s="5" t="s">
        <v>13</v>
      </c>
      <c r="E4501" s="5"/>
      <c r="G4501" s="5"/>
      <c r="H4501" s="5"/>
    </row>
    <row r="4502" spans="1:9" x14ac:dyDescent="0.2">
      <c r="A4502" s="5" t="s">
        <v>4980</v>
      </c>
      <c r="B4502" s="5" t="s">
        <v>66</v>
      </c>
      <c r="C4502" s="5"/>
      <c r="D4502" s="5" t="s">
        <v>18</v>
      </c>
      <c r="E4502" s="5"/>
      <c r="G4502" s="5"/>
      <c r="H4502" s="5"/>
    </row>
    <row r="4503" spans="1:9" x14ac:dyDescent="0.2">
      <c r="A4503" s="5" t="s">
        <v>4981</v>
      </c>
      <c r="B4503" s="5" t="s">
        <v>68</v>
      </c>
      <c r="C4503" s="5"/>
      <c r="D4503" s="5" t="s">
        <v>18</v>
      </c>
      <c r="E4503" s="5"/>
      <c r="G4503" s="5"/>
      <c r="H4503" s="5"/>
    </row>
    <row r="4504" spans="1:9" x14ac:dyDescent="0.2">
      <c r="A4504" s="5"/>
      <c r="B4504" s="5" t="s">
        <v>71</v>
      </c>
      <c r="C4504" s="5"/>
      <c r="D4504" s="5" t="s">
        <v>13</v>
      </c>
      <c r="E4504" s="5"/>
      <c r="G4504" s="5"/>
      <c r="H4504" s="5"/>
    </row>
    <row r="4505" spans="1:9" x14ac:dyDescent="0.2">
      <c r="A4505" s="5" t="s">
        <v>4982</v>
      </c>
      <c r="B4505" s="5" t="s">
        <v>4983</v>
      </c>
      <c r="C4505" s="5"/>
      <c r="D4505" s="5" t="s">
        <v>18</v>
      </c>
      <c r="E4505" s="5"/>
      <c r="G4505" s="5"/>
      <c r="H4505" s="5"/>
    </row>
    <row r="4506" spans="1:9" x14ac:dyDescent="0.2">
      <c r="A4506" s="5" t="s">
        <v>4984</v>
      </c>
      <c r="B4506" s="5" t="s">
        <v>4985</v>
      </c>
      <c r="C4506" s="5"/>
      <c r="D4506" s="5" t="s">
        <v>18</v>
      </c>
      <c r="E4506" s="5"/>
      <c r="G4506" s="5"/>
      <c r="H4506" s="5"/>
    </row>
    <row r="4507" spans="1:9" x14ac:dyDescent="0.2">
      <c r="A4507" s="5" t="s">
        <v>4986</v>
      </c>
      <c r="B4507" s="5" t="s">
        <v>269</v>
      </c>
      <c r="C4507" s="5"/>
      <c r="D4507" s="5" t="s">
        <v>18</v>
      </c>
      <c r="E4507" s="5"/>
      <c r="G4507" s="5"/>
      <c r="H4507" s="5"/>
    </row>
    <row r="4508" spans="1:9" x14ac:dyDescent="0.2">
      <c r="A4508" s="5" t="s">
        <v>4987</v>
      </c>
      <c r="B4508" s="5" t="s">
        <v>4988</v>
      </c>
      <c r="C4508" s="5"/>
      <c r="D4508" s="5" t="s">
        <v>18</v>
      </c>
      <c r="E4508" s="5"/>
      <c r="G4508" s="5"/>
      <c r="H4508" s="5"/>
    </row>
    <row r="4509" spans="1:9" x14ac:dyDescent="0.2">
      <c r="A4509" s="5"/>
      <c r="B4509" s="5" t="s">
        <v>76</v>
      </c>
      <c r="C4509" s="5"/>
      <c r="D4509" s="5" t="s">
        <v>13</v>
      </c>
      <c r="E4509" s="5"/>
      <c r="G4509" s="5"/>
      <c r="H4509" s="5"/>
    </row>
    <row r="4510" spans="1:9" x14ac:dyDescent="0.2">
      <c r="A4510" s="5"/>
      <c r="B4510" s="5" t="s">
        <v>77</v>
      </c>
      <c r="C4510" s="5"/>
      <c r="D4510" s="5" t="s">
        <v>15</v>
      </c>
      <c r="E4510" s="5"/>
      <c r="G4510" s="5"/>
      <c r="H4510" s="5"/>
    </row>
    <row r="4511" spans="1:9" x14ac:dyDescent="0.2">
      <c r="A4511" s="5" t="s">
        <v>4989</v>
      </c>
      <c r="B4511" s="5" t="s">
        <v>3915</v>
      </c>
      <c r="C4511" s="5"/>
      <c r="D4511" s="5" t="s">
        <v>18</v>
      </c>
      <c r="E4511" s="5"/>
      <c r="G4511" s="5"/>
      <c r="H4511" s="5"/>
    </row>
    <row r="4512" spans="1:9" x14ac:dyDescent="0.2">
      <c r="A4512" s="5" t="s">
        <v>4990</v>
      </c>
      <c r="B4512" s="5" t="s">
        <v>3917</v>
      </c>
      <c r="C4512" s="5"/>
      <c r="D4512" s="5" t="s">
        <v>18</v>
      </c>
      <c r="E4512" s="5"/>
      <c r="G4512" s="5"/>
      <c r="H4512" s="5"/>
    </row>
    <row r="4513" spans="1:8" x14ac:dyDescent="0.2">
      <c r="A4513" s="5" t="s">
        <v>4991</v>
      </c>
      <c r="B4513" s="5" t="s">
        <v>299</v>
      </c>
      <c r="C4513" s="5"/>
      <c r="D4513" s="5" t="s">
        <v>18</v>
      </c>
      <c r="E4513" s="5"/>
      <c r="G4513" s="5"/>
      <c r="H4513" s="5"/>
    </row>
    <row r="4514" spans="1:8" x14ac:dyDescent="0.2">
      <c r="A4514" s="5"/>
      <c r="B4514" s="5" t="s">
        <v>94</v>
      </c>
      <c r="C4514" s="5"/>
      <c r="D4514" s="5" t="s">
        <v>13</v>
      </c>
      <c r="E4514" s="5"/>
      <c r="G4514" s="5"/>
      <c r="H4514" s="5"/>
    </row>
    <row r="4515" spans="1:8" x14ac:dyDescent="0.2">
      <c r="A4515" s="5" t="s">
        <v>4992</v>
      </c>
      <c r="B4515" s="5" t="s">
        <v>4295</v>
      </c>
      <c r="C4515" s="8">
        <v>1</v>
      </c>
      <c r="D4515" s="5" t="s">
        <v>97</v>
      </c>
      <c r="E4515" s="5"/>
      <c r="G4515" s="5"/>
      <c r="H4515" s="5"/>
    </row>
    <row r="4516" spans="1:8" x14ac:dyDescent="0.2">
      <c r="A4516" s="5" t="s">
        <v>4993</v>
      </c>
      <c r="B4516" s="5" t="s">
        <v>2758</v>
      </c>
      <c r="C4516" s="8">
        <v>1</v>
      </c>
      <c r="D4516" s="5" t="s">
        <v>97</v>
      </c>
      <c r="E4516" s="5"/>
      <c r="G4516" s="5"/>
      <c r="H4516" s="5"/>
    </row>
    <row r="4517" spans="1:8" x14ac:dyDescent="0.2">
      <c r="A4517" s="5" t="s">
        <v>4994</v>
      </c>
      <c r="B4517" s="5" t="s">
        <v>305</v>
      </c>
      <c r="C4517" s="8">
        <v>1</v>
      </c>
      <c r="D4517" s="5" t="s">
        <v>97</v>
      </c>
      <c r="E4517" s="5"/>
      <c r="G4517" s="5"/>
      <c r="H4517" s="5"/>
    </row>
    <row r="4518" spans="1:8" x14ac:dyDescent="0.2">
      <c r="A4518" s="5" t="s">
        <v>4995</v>
      </c>
      <c r="B4518" s="5" t="s">
        <v>3332</v>
      </c>
      <c r="C4518" s="8">
        <v>1</v>
      </c>
      <c r="D4518" s="5" t="s">
        <v>97</v>
      </c>
      <c r="E4518" s="5"/>
      <c r="G4518" s="5"/>
      <c r="H4518" s="5"/>
    </row>
    <row r="4519" spans="1:8" x14ac:dyDescent="0.2">
      <c r="A4519" s="5" t="s">
        <v>4996</v>
      </c>
      <c r="B4519" s="5" t="s">
        <v>589</v>
      </c>
      <c r="C4519" s="8">
        <v>1</v>
      </c>
      <c r="D4519" s="5" t="s">
        <v>97</v>
      </c>
      <c r="E4519" s="5"/>
      <c r="G4519" s="5"/>
      <c r="H4519" s="5"/>
    </row>
    <row r="4520" spans="1:8" x14ac:dyDescent="0.2">
      <c r="A4520" s="5" t="s">
        <v>4997</v>
      </c>
      <c r="B4520" s="5" t="s">
        <v>2979</v>
      </c>
      <c r="C4520" s="8">
        <v>1</v>
      </c>
      <c r="D4520" s="5" t="s">
        <v>97</v>
      </c>
      <c r="E4520" s="5"/>
      <c r="G4520" s="5"/>
      <c r="H4520" s="5"/>
    </row>
    <row r="4521" spans="1:8" x14ac:dyDescent="0.2">
      <c r="A4521" s="5" t="s">
        <v>4998</v>
      </c>
      <c r="B4521" s="5" t="s">
        <v>111</v>
      </c>
      <c r="C4521" s="8">
        <v>1</v>
      </c>
      <c r="D4521" s="5" t="s">
        <v>97</v>
      </c>
      <c r="E4521" s="5"/>
      <c r="G4521" s="5"/>
      <c r="H4521" s="5"/>
    </row>
    <row r="4522" spans="1:8" x14ac:dyDescent="0.2">
      <c r="A4522" s="5" t="s">
        <v>4999</v>
      </c>
      <c r="B4522" s="5" t="s">
        <v>5000</v>
      </c>
      <c r="C4522" s="8">
        <v>1</v>
      </c>
      <c r="D4522" s="5" t="s">
        <v>97</v>
      </c>
      <c r="E4522" s="5"/>
      <c r="G4522" s="5"/>
      <c r="H4522" s="5"/>
    </row>
    <row r="4523" spans="1:8" x14ac:dyDescent="0.2">
      <c r="A4523" s="5" t="s">
        <v>5001</v>
      </c>
      <c r="B4523" s="5" t="s">
        <v>5002</v>
      </c>
      <c r="C4523" s="8">
        <v>1</v>
      </c>
      <c r="D4523" s="5" t="s">
        <v>97</v>
      </c>
      <c r="E4523" s="5"/>
      <c r="G4523" s="5"/>
      <c r="H4523" s="5"/>
    </row>
    <row r="4524" spans="1:8" x14ac:dyDescent="0.2">
      <c r="A4524" s="5" t="s">
        <v>5003</v>
      </c>
      <c r="B4524" s="5" t="s">
        <v>3342</v>
      </c>
      <c r="C4524" s="8">
        <v>1</v>
      </c>
      <c r="D4524" s="5" t="s">
        <v>97</v>
      </c>
      <c r="E4524" s="5"/>
      <c r="G4524" s="5"/>
      <c r="H4524" s="5"/>
    </row>
    <row r="4525" spans="1:8" x14ac:dyDescent="0.2">
      <c r="A4525" s="5" t="s">
        <v>5004</v>
      </c>
      <c r="B4525" s="5" t="s">
        <v>2761</v>
      </c>
      <c r="C4525" s="8">
        <v>1</v>
      </c>
      <c r="D4525" s="5" t="s">
        <v>97</v>
      </c>
      <c r="E4525" s="5"/>
      <c r="G4525" s="5"/>
      <c r="H4525" s="5"/>
    </row>
    <row r="4526" spans="1:8" x14ac:dyDescent="0.2">
      <c r="A4526" s="5"/>
      <c r="B4526" s="5" t="s">
        <v>135</v>
      </c>
      <c r="C4526" s="5"/>
      <c r="D4526" s="5" t="s">
        <v>13</v>
      </c>
      <c r="E4526" s="5"/>
      <c r="G4526" s="5"/>
      <c r="H4526" s="5"/>
    </row>
    <row r="4527" spans="1:8" x14ac:dyDescent="0.2">
      <c r="A4527" s="5" t="s">
        <v>5005</v>
      </c>
      <c r="B4527" s="5" t="s">
        <v>5006</v>
      </c>
      <c r="C4527" s="5"/>
      <c r="D4527" s="5" t="s">
        <v>18</v>
      </c>
      <c r="E4527" s="5"/>
      <c r="G4527" s="5"/>
      <c r="H4527" s="5"/>
    </row>
    <row r="4528" spans="1:8" x14ac:dyDescent="0.2">
      <c r="A4528" s="5" t="s">
        <v>5007</v>
      </c>
      <c r="B4528" s="5" t="s">
        <v>4909</v>
      </c>
      <c r="C4528" s="5"/>
      <c r="D4528" s="5" t="s">
        <v>18</v>
      </c>
      <c r="E4528" s="5"/>
      <c r="G4528" s="5"/>
      <c r="H4528" s="5"/>
    </row>
    <row r="4529" spans="1:8" x14ac:dyDescent="0.2">
      <c r="A4529" s="5" t="s">
        <v>5008</v>
      </c>
      <c r="B4529" s="5" t="s">
        <v>5009</v>
      </c>
      <c r="C4529" s="5"/>
      <c r="D4529" s="5" t="s">
        <v>18</v>
      </c>
      <c r="E4529" s="5"/>
      <c r="G4529" s="5"/>
      <c r="H4529" s="5"/>
    </row>
    <row r="4530" spans="1:8" x14ac:dyDescent="0.2">
      <c r="A4530" s="5"/>
      <c r="B4530" s="5" t="s">
        <v>38</v>
      </c>
      <c r="C4530" s="5"/>
      <c r="D4530" s="5" t="s">
        <v>13</v>
      </c>
      <c r="E4530" s="5"/>
      <c r="G4530" s="5"/>
      <c r="H4530" s="5"/>
    </row>
    <row r="4531" spans="1:8" x14ac:dyDescent="0.2">
      <c r="A4531" s="5"/>
      <c r="B4531" s="5" t="s">
        <v>5010</v>
      </c>
      <c r="C4531" s="5"/>
      <c r="D4531" s="5" t="s">
        <v>15</v>
      </c>
      <c r="E4531" s="5"/>
      <c r="G4531" s="5"/>
      <c r="H4531" s="5"/>
    </row>
    <row r="4532" spans="1:8" x14ac:dyDescent="0.2">
      <c r="A4532" s="5"/>
      <c r="B4532" s="5" t="s">
        <v>5011</v>
      </c>
      <c r="C4532" s="5"/>
      <c r="D4532" s="5" t="s">
        <v>322</v>
      </c>
      <c r="E4532" s="5"/>
      <c r="G4532" s="5"/>
      <c r="H4532" s="5"/>
    </row>
    <row r="4533" spans="1:8" x14ac:dyDescent="0.2">
      <c r="A4533" s="5" t="s">
        <v>5012</v>
      </c>
      <c r="B4533" s="5" t="s">
        <v>3017</v>
      </c>
      <c r="C4533" s="8">
        <v>144</v>
      </c>
      <c r="D4533" s="5" t="s">
        <v>42</v>
      </c>
      <c r="E4533" s="5"/>
      <c r="G4533" s="5"/>
      <c r="H4533" s="5"/>
    </row>
    <row r="4534" spans="1:8" x14ac:dyDescent="0.2">
      <c r="A4534" s="5" t="s">
        <v>5013</v>
      </c>
      <c r="B4534" s="5" t="s">
        <v>2988</v>
      </c>
      <c r="C4534" s="8">
        <v>14</v>
      </c>
      <c r="D4534" s="5" t="s">
        <v>42</v>
      </c>
      <c r="E4534" s="5"/>
      <c r="G4534" s="5"/>
      <c r="H4534" s="5"/>
    </row>
    <row r="4535" spans="1:8" x14ac:dyDescent="0.2">
      <c r="A4535" s="5" t="s">
        <v>5014</v>
      </c>
      <c r="B4535" s="5" t="s">
        <v>2990</v>
      </c>
      <c r="C4535" s="8">
        <v>13</v>
      </c>
      <c r="D4535" s="5" t="s">
        <v>42</v>
      </c>
      <c r="E4535" s="5"/>
      <c r="G4535" s="5"/>
      <c r="H4535" s="5"/>
    </row>
    <row r="4536" spans="1:8" x14ac:dyDescent="0.2">
      <c r="A4536" s="5"/>
      <c r="B4536" s="5" t="s">
        <v>5015</v>
      </c>
      <c r="C4536" s="5"/>
      <c r="D4536" s="5" t="s">
        <v>322</v>
      </c>
      <c r="E4536" s="5"/>
      <c r="G4536" s="5"/>
      <c r="H4536" s="5"/>
    </row>
    <row r="4537" spans="1:8" x14ac:dyDescent="0.2">
      <c r="A4537" s="5" t="s">
        <v>5016</v>
      </c>
      <c r="B4537" s="5" t="s">
        <v>2992</v>
      </c>
      <c r="C4537" s="8">
        <v>5</v>
      </c>
      <c r="D4537" s="5" t="s">
        <v>42</v>
      </c>
      <c r="E4537" s="5"/>
      <c r="G4537" s="5"/>
      <c r="H4537" s="5"/>
    </row>
    <row r="4538" spans="1:8" x14ac:dyDescent="0.2">
      <c r="A4538" s="5"/>
      <c r="B4538" s="5" t="s">
        <v>5017</v>
      </c>
      <c r="C4538" s="5"/>
      <c r="D4538" s="5" t="s">
        <v>322</v>
      </c>
      <c r="E4538" s="5"/>
      <c r="G4538" s="5"/>
      <c r="H4538" s="5"/>
    </row>
    <row r="4539" spans="1:8" x14ac:dyDescent="0.2">
      <c r="A4539" s="5" t="s">
        <v>5018</v>
      </c>
      <c r="B4539" s="5" t="s">
        <v>3017</v>
      </c>
      <c r="C4539" s="8">
        <v>117</v>
      </c>
      <c r="D4539" s="5" t="s">
        <v>42</v>
      </c>
      <c r="E4539" s="5"/>
      <c r="G4539" s="5"/>
      <c r="H4539" s="5"/>
    </row>
    <row r="4540" spans="1:8" x14ac:dyDescent="0.2">
      <c r="A4540" s="5" t="s">
        <v>5019</v>
      </c>
      <c r="B4540" s="5" t="s">
        <v>2988</v>
      </c>
      <c r="C4540" s="8">
        <v>4</v>
      </c>
      <c r="D4540" s="5" t="s">
        <v>42</v>
      </c>
      <c r="E4540" s="5"/>
      <c r="G4540" s="5"/>
      <c r="H4540" s="5"/>
    </row>
    <row r="4541" spans="1:8" x14ac:dyDescent="0.2">
      <c r="A4541" s="5"/>
      <c r="B4541" s="5" t="s">
        <v>5020</v>
      </c>
      <c r="C4541" s="5"/>
      <c r="D4541" s="5" t="s">
        <v>322</v>
      </c>
      <c r="E4541" s="5"/>
      <c r="G4541" s="5"/>
      <c r="H4541" s="5"/>
    </row>
    <row r="4542" spans="1:8" x14ac:dyDescent="0.2">
      <c r="A4542" s="5" t="s">
        <v>5021</v>
      </c>
      <c r="B4542" s="5" t="s">
        <v>2990</v>
      </c>
      <c r="C4542" s="8">
        <v>264</v>
      </c>
      <c r="D4542" s="5" t="s">
        <v>42</v>
      </c>
      <c r="E4542" s="5"/>
      <c r="G4542" s="5"/>
      <c r="H4542" s="5"/>
    </row>
    <row r="4543" spans="1:8" x14ac:dyDescent="0.2">
      <c r="A4543" s="5" t="s">
        <v>5022</v>
      </c>
      <c r="B4543" s="5" t="s">
        <v>2992</v>
      </c>
      <c r="C4543" s="8">
        <v>95</v>
      </c>
      <c r="D4543" s="5" t="s">
        <v>42</v>
      </c>
      <c r="E4543" s="5"/>
      <c r="G4543" s="5"/>
      <c r="H4543" s="5"/>
    </row>
    <row r="4544" spans="1:8" x14ac:dyDescent="0.2">
      <c r="A4544" s="5"/>
      <c r="B4544" s="5" t="s">
        <v>5023</v>
      </c>
      <c r="C4544" s="5"/>
      <c r="D4544" s="5" t="s">
        <v>15</v>
      </c>
      <c r="E4544" s="5"/>
      <c r="G4544" s="5"/>
      <c r="H4544" s="5"/>
    </row>
    <row r="4545" spans="1:8" x14ac:dyDescent="0.2">
      <c r="A4545" s="5"/>
      <c r="B4545" s="5" t="s">
        <v>5024</v>
      </c>
      <c r="C4545" s="5"/>
      <c r="D4545" s="5" t="s">
        <v>322</v>
      </c>
      <c r="E4545" s="5"/>
      <c r="G4545" s="5"/>
      <c r="H4545" s="5"/>
    </row>
    <row r="4546" spans="1:8" x14ac:dyDescent="0.2">
      <c r="A4546" s="5" t="s">
        <v>5025</v>
      </c>
      <c r="B4546" s="5" t="s">
        <v>3017</v>
      </c>
      <c r="C4546" s="8">
        <v>3</v>
      </c>
      <c r="D4546" s="5" t="s">
        <v>42</v>
      </c>
      <c r="E4546" s="5"/>
      <c r="G4546" s="5"/>
      <c r="H4546" s="5"/>
    </row>
    <row r="4547" spans="1:8" x14ac:dyDescent="0.2">
      <c r="A4547" s="5"/>
      <c r="B4547" s="5" t="s">
        <v>4921</v>
      </c>
      <c r="C4547" s="5"/>
      <c r="D4547" s="5" t="s">
        <v>15</v>
      </c>
      <c r="E4547" s="5"/>
      <c r="G4547" s="5"/>
      <c r="H4547" s="5"/>
    </row>
    <row r="4548" spans="1:8" x14ac:dyDescent="0.2">
      <c r="A4548" s="5"/>
      <c r="B4548" s="5" t="s">
        <v>5026</v>
      </c>
      <c r="C4548" s="5"/>
      <c r="D4548" s="5" t="s">
        <v>322</v>
      </c>
      <c r="E4548" s="5"/>
      <c r="G4548" s="5"/>
      <c r="H4548" s="5"/>
    </row>
    <row r="4549" spans="1:8" x14ac:dyDescent="0.2">
      <c r="A4549" s="5" t="s">
        <v>5027</v>
      </c>
      <c r="B4549" s="5" t="s">
        <v>2988</v>
      </c>
      <c r="C4549" s="8">
        <v>5</v>
      </c>
      <c r="D4549" s="5" t="s">
        <v>155</v>
      </c>
      <c r="E4549" s="5"/>
      <c r="G4549" s="5"/>
      <c r="H4549" s="5"/>
    </row>
    <row r="4550" spans="1:8" x14ac:dyDescent="0.2">
      <c r="A4550" s="5" t="s">
        <v>5028</v>
      </c>
      <c r="B4550" s="5" t="s">
        <v>2990</v>
      </c>
      <c r="C4550" s="8">
        <v>14</v>
      </c>
      <c r="D4550" s="5" t="s">
        <v>155</v>
      </c>
      <c r="E4550" s="5"/>
      <c r="G4550" s="5"/>
      <c r="H4550" s="5"/>
    </row>
    <row r="4551" spans="1:8" x14ac:dyDescent="0.2">
      <c r="A4551" s="5"/>
      <c r="B4551" s="5" t="s">
        <v>5029</v>
      </c>
      <c r="C4551" s="5"/>
      <c r="D4551" s="5" t="s">
        <v>15</v>
      </c>
      <c r="E4551" s="5"/>
      <c r="G4551" s="5"/>
      <c r="H4551" s="5"/>
    </row>
    <row r="4552" spans="1:8" x14ac:dyDescent="0.2">
      <c r="A4552" s="5" t="s">
        <v>5030</v>
      </c>
      <c r="B4552" s="5" t="s">
        <v>5031</v>
      </c>
      <c r="C4552" s="8">
        <v>395</v>
      </c>
      <c r="D4552" s="5" t="s">
        <v>42</v>
      </c>
      <c r="E4552" s="5"/>
      <c r="G4552" s="5"/>
      <c r="H4552" s="5"/>
    </row>
    <row r="4553" spans="1:8" x14ac:dyDescent="0.2">
      <c r="A4553" s="5" t="s">
        <v>5032</v>
      </c>
      <c r="B4553" s="5" t="s">
        <v>5033</v>
      </c>
      <c r="C4553" s="8">
        <v>395</v>
      </c>
      <c r="D4553" s="5" t="s">
        <v>42</v>
      </c>
      <c r="E4553" s="5"/>
      <c r="G4553" s="5"/>
      <c r="H4553" s="5"/>
    </row>
    <row r="4554" spans="1:8" x14ac:dyDescent="0.2">
      <c r="A4554" s="5" t="s">
        <v>5034</v>
      </c>
      <c r="B4554" s="5" t="s">
        <v>5035</v>
      </c>
      <c r="C4554" s="8">
        <v>198</v>
      </c>
      <c r="D4554" s="5" t="s">
        <v>42</v>
      </c>
      <c r="E4554" s="5"/>
      <c r="G4554" s="5"/>
      <c r="H4554" s="5"/>
    </row>
    <row r="4555" spans="1:8" x14ac:dyDescent="0.2">
      <c r="A4555" s="5" t="s">
        <v>5036</v>
      </c>
      <c r="B4555" s="5" t="s">
        <v>5037</v>
      </c>
      <c r="C4555" s="8">
        <v>651</v>
      </c>
      <c r="D4555" s="5" t="s">
        <v>42</v>
      </c>
      <c r="E4555" s="5"/>
      <c r="G4555" s="5"/>
      <c r="H4555" s="5"/>
    </row>
    <row r="4556" spans="1:8" x14ac:dyDescent="0.2">
      <c r="A4556" s="5" t="s">
        <v>5038</v>
      </c>
      <c r="B4556" s="5" t="s">
        <v>5039</v>
      </c>
      <c r="C4556" s="8">
        <v>651</v>
      </c>
      <c r="D4556" s="5" t="s">
        <v>42</v>
      </c>
      <c r="E4556" s="5"/>
      <c r="G4556" s="5"/>
      <c r="H4556" s="5"/>
    </row>
    <row r="4557" spans="1:8" x14ac:dyDescent="0.2">
      <c r="A4557" s="5"/>
      <c r="B4557" s="5" t="s">
        <v>5040</v>
      </c>
      <c r="C4557" s="5"/>
      <c r="D4557" s="5" t="s">
        <v>15</v>
      </c>
      <c r="E4557" s="5"/>
      <c r="G4557" s="5"/>
      <c r="H4557" s="5"/>
    </row>
    <row r="4558" spans="1:8" x14ac:dyDescent="0.2">
      <c r="A4558" s="5"/>
      <c r="B4558" s="5" t="s">
        <v>5041</v>
      </c>
      <c r="C4558" s="5"/>
      <c r="D4558" s="5" t="s">
        <v>322</v>
      </c>
      <c r="E4558" s="5"/>
      <c r="G4558" s="5"/>
      <c r="H4558" s="5"/>
    </row>
    <row r="4559" spans="1:8" x14ac:dyDescent="0.2">
      <c r="A4559" s="5" t="s">
        <v>5042</v>
      </c>
      <c r="B4559" s="5" t="s">
        <v>3932</v>
      </c>
      <c r="C4559" s="8">
        <v>61</v>
      </c>
      <c r="D4559" s="5" t="s">
        <v>42</v>
      </c>
      <c r="E4559" s="5"/>
      <c r="G4559" s="5"/>
      <c r="H4559" s="5"/>
    </row>
    <row r="4560" spans="1:8" x14ac:dyDescent="0.2">
      <c r="A4560" s="5" t="s">
        <v>5043</v>
      </c>
      <c r="B4560" s="5" t="s">
        <v>2559</v>
      </c>
      <c r="C4560" s="8">
        <v>27</v>
      </c>
      <c r="D4560" s="5" t="s">
        <v>42</v>
      </c>
      <c r="E4560" s="5"/>
      <c r="G4560" s="5"/>
      <c r="H4560" s="5"/>
    </row>
    <row r="4561" spans="1:8" x14ac:dyDescent="0.2">
      <c r="A4561" s="5"/>
      <c r="B4561" s="5" t="s">
        <v>5044</v>
      </c>
      <c r="C4561" s="5"/>
      <c r="D4561" s="5" t="s">
        <v>322</v>
      </c>
      <c r="E4561" s="5"/>
      <c r="G4561" s="5"/>
      <c r="H4561" s="5"/>
    </row>
    <row r="4562" spans="1:8" x14ac:dyDescent="0.2">
      <c r="A4562" s="5" t="s">
        <v>5045</v>
      </c>
      <c r="B4562" s="5" t="s">
        <v>3932</v>
      </c>
      <c r="C4562" s="8">
        <v>1</v>
      </c>
      <c r="D4562" s="5" t="s">
        <v>42</v>
      </c>
      <c r="E4562" s="5"/>
      <c r="G4562" s="5"/>
      <c r="H4562" s="5"/>
    </row>
    <row r="4563" spans="1:8" x14ac:dyDescent="0.2">
      <c r="A4563" s="5"/>
      <c r="B4563" s="5" t="s">
        <v>5046</v>
      </c>
      <c r="C4563" s="5"/>
      <c r="D4563" s="5" t="s">
        <v>15</v>
      </c>
      <c r="E4563" s="5"/>
      <c r="G4563" s="5"/>
      <c r="H4563" s="5"/>
    </row>
    <row r="4564" spans="1:8" x14ac:dyDescent="0.2">
      <c r="A4564" s="5"/>
      <c r="B4564" s="5" t="s">
        <v>5047</v>
      </c>
      <c r="C4564" s="5"/>
      <c r="D4564" s="5" t="s">
        <v>322</v>
      </c>
      <c r="E4564" s="5"/>
      <c r="G4564" s="5"/>
      <c r="H4564" s="5"/>
    </row>
    <row r="4565" spans="1:8" x14ac:dyDescent="0.2">
      <c r="A4565" s="5" t="s">
        <v>5048</v>
      </c>
      <c r="B4565" s="5" t="s">
        <v>3930</v>
      </c>
      <c r="C4565" s="8">
        <v>95</v>
      </c>
      <c r="D4565" s="5" t="s">
        <v>155</v>
      </c>
      <c r="E4565" s="5"/>
      <c r="G4565" s="5"/>
      <c r="H4565" s="5"/>
    </row>
    <row r="4566" spans="1:8" x14ac:dyDescent="0.2">
      <c r="A4566" s="5" t="s">
        <v>5049</v>
      </c>
      <c r="B4566" s="5" t="s">
        <v>3932</v>
      </c>
      <c r="C4566" s="8">
        <v>15</v>
      </c>
      <c r="D4566" s="5" t="s">
        <v>155</v>
      </c>
      <c r="E4566" s="5"/>
      <c r="G4566" s="5"/>
      <c r="H4566" s="5"/>
    </row>
    <row r="4567" spans="1:8" x14ac:dyDescent="0.2">
      <c r="A4567" s="5" t="s">
        <v>5050</v>
      </c>
      <c r="B4567" s="5" t="s">
        <v>2526</v>
      </c>
      <c r="C4567" s="8">
        <v>15</v>
      </c>
      <c r="D4567" s="5" t="s">
        <v>155</v>
      </c>
      <c r="E4567" s="5"/>
      <c r="G4567" s="5"/>
      <c r="H4567" s="5"/>
    </row>
    <row r="4568" spans="1:8" x14ac:dyDescent="0.2">
      <c r="A4568" s="5"/>
      <c r="B4568" s="5" t="s">
        <v>5051</v>
      </c>
      <c r="C4568" s="5"/>
      <c r="D4568" s="5" t="s">
        <v>322</v>
      </c>
      <c r="E4568" s="5"/>
      <c r="G4568" s="5"/>
      <c r="H4568" s="5"/>
    </row>
    <row r="4569" spans="1:8" x14ac:dyDescent="0.2">
      <c r="A4569" s="5" t="s">
        <v>5052</v>
      </c>
      <c r="B4569" s="5" t="s">
        <v>3930</v>
      </c>
      <c r="C4569" s="8">
        <v>27</v>
      </c>
      <c r="D4569" s="5" t="s">
        <v>155</v>
      </c>
      <c r="E4569" s="5"/>
      <c r="G4569" s="5"/>
      <c r="H4569" s="5"/>
    </row>
    <row r="4570" spans="1:8" x14ac:dyDescent="0.2">
      <c r="A4570" s="5"/>
      <c r="B4570" s="5" t="s">
        <v>5053</v>
      </c>
      <c r="C4570" s="5"/>
      <c r="D4570" s="5" t="s">
        <v>322</v>
      </c>
      <c r="E4570" s="5"/>
      <c r="G4570" s="5"/>
      <c r="H4570" s="5"/>
    </row>
    <row r="4571" spans="1:8" x14ac:dyDescent="0.2">
      <c r="A4571" s="5" t="s">
        <v>5054</v>
      </c>
      <c r="B4571" s="5" t="s">
        <v>2526</v>
      </c>
      <c r="C4571" s="8">
        <v>55</v>
      </c>
      <c r="D4571" s="5" t="s">
        <v>155</v>
      </c>
      <c r="E4571" s="5"/>
      <c r="G4571" s="5"/>
      <c r="H4571" s="5"/>
    </row>
    <row r="4572" spans="1:8" x14ac:dyDescent="0.2">
      <c r="A4572" s="5" t="s">
        <v>5055</v>
      </c>
      <c r="B4572" s="5" t="s">
        <v>2559</v>
      </c>
      <c r="C4572" s="8">
        <v>29</v>
      </c>
      <c r="D4572" s="5" t="s">
        <v>155</v>
      </c>
      <c r="E4572" s="5"/>
      <c r="G4572" s="5"/>
      <c r="H4572" s="5"/>
    </row>
    <row r="4573" spans="1:8" x14ac:dyDescent="0.2">
      <c r="A4573" s="5"/>
      <c r="B4573" s="5" t="s">
        <v>5056</v>
      </c>
      <c r="C4573" s="5"/>
      <c r="D4573" s="5" t="s">
        <v>15</v>
      </c>
      <c r="E4573" s="5"/>
      <c r="G4573" s="5"/>
      <c r="H4573" s="5"/>
    </row>
    <row r="4574" spans="1:8" x14ac:dyDescent="0.2">
      <c r="A4574" s="5"/>
      <c r="B4574" s="5" t="s">
        <v>5057</v>
      </c>
      <c r="C4574" s="5"/>
      <c r="D4574" s="5" t="s">
        <v>322</v>
      </c>
      <c r="E4574" s="5"/>
      <c r="G4574" s="5"/>
      <c r="H4574" s="5"/>
    </row>
    <row r="4575" spans="1:8" x14ac:dyDescent="0.2">
      <c r="A4575" s="5" t="s">
        <v>5058</v>
      </c>
      <c r="B4575" s="5" t="s">
        <v>3930</v>
      </c>
      <c r="C4575" s="8">
        <v>47</v>
      </c>
      <c r="D4575" s="5" t="s">
        <v>42</v>
      </c>
      <c r="E4575" s="5"/>
      <c r="G4575" s="5"/>
      <c r="H4575" s="5"/>
    </row>
    <row r="4576" spans="1:8" x14ac:dyDescent="0.2">
      <c r="A4576" s="5"/>
      <c r="B4576" s="5" t="s">
        <v>53</v>
      </c>
      <c r="C4576" s="5"/>
      <c r="D4576" s="5" t="s">
        <v>13</v>
      </c>
      <c r="E4576" s="5"/>
      <c r="G4576" s="5"/>
      <c r="H4576" s="5"/>
    </row>
    <row r="4577" spans="1:8" x14ac:dyDescent="0.2">
      <c r="A4577" s="5"/>
      <c r="B4577" s="5" t="s">
        <v>5010</v>
      </c>
      <c r="C4577" s="5"/>
      <c r="D4577" s="5" t="s">
        <v>15</v>
      </c>
      <c r="E4577" s="5"/>
      <c r="G4577" s="5"/>
      <c r="H4577" s="5"/>
    </row>
    <row r="4578" spans="1:8" x14ac:dyDescent="0.2">
      <c r="A4578" s="5"/>
      <c r="B4578" s="5" t="s">
        <v>5020</v>
      </c>
      <c r="C4578" s="5"/>
      <c r="D4578" s="5" t="s">
        <v>322</v>
      </c>
      <c r="E4578" s="5"/>
      <c r="G4578" s="5"/>
      <c r="H4578" s="5"/>
    </row>
    <row r="4579" spans="1:8" x14ac:dyDescent="0.2">
      <c r="A4579" s="5" t="s">
        <v>5059</v>
      </c>
      <c r="B4579" s="5" t="s">
        <v>2992</v>
      </c>
      <c r="C4579" s="8">
        <v>21</v>
      </c>
      <c r="D4579" s="5" t="s">
        <v>42</v>
      </c>
      <c r="E4579" s="5"/>
      <c r="G4579" s="5"/>
      <c r="H4579" s="5"/>
    </row>
    <row r="4580" spans="1:8" x14ac:dyDescent="0.2">
      <c r="A4580" s="5"/>
      <c r="B4580" s="5" t="s">
        <v>5060</v>
      </c>
      <c r="C4580" s="5"/>
      <c r="D4580" s="5" t="s">
        <v>322</v>
      </c>
      <c r="E4580" s="5"/>
      <c r="G4580" s="5"/>
      <c r="H4580" s="5"/>
    </row>
    <row r="4581" spans="1:8" x14ac:dyDescent="0.2">
      <c r="A4581" s="5" t="s">
        <v>5061</v>
      </c>
      <c r="B4581" s="5" t="s">
        <v>3017</v>
      </c>
      <c r="C4581" s="8">
        <v>27</v>
      </c>
      <c r="D4581" s="5" t="s">
        <v>42</v>
      </c>
      <c r="E4581" s="5"/>
      <c r="G4581" s="5"/>
      <c r="H4581" s="5"/>
    </row>
    <row r="4582" spans="1:8" x14ac:dyDescent="0.2">
      <c r="A4582" s="5"/>
      <c r="B4582" s="5" t="s">
        <v>5023</v>
      </c>
      <c r="C4582" s="5"/>
      <c r="D4582" s="5" t="s">
        <v>15</v>
      </c>
      <c r="E4582" s="5"/>
      <c r="G4582" s="5"/>
      <c r="H4582" s="5"/>
    </row>
    <row r="4583" spans="1:8" x14ac:dyDescent="0.2">
      <c r="A4583" s="5"/>
      <c r="B4583" s="5" t="s">
        <v>5062</v>
      </c>
      <c r="C4583" s="5"/>
      <c r="D4583" s="5" t="s">
        <v>322</v>
      </c>
      <c r="E4583" s="5"/>
      <c r="G4583" s="5"/>
      <c r="H4583" s="5"/>
    </row>
    <row r="4584" spans="1:8" x14ac:dyDescent="0.2">
      <c r="A4584" s="5" t="s">
        <v>5063</v>
      </c>
      <c r="B4584" s="5" t="s">
        <v>3017</v>
      </c>
      <c r="C4584" s="8">
        <v>2</v>
      </c>
      <c r="D4584" s="5" t="s">
        <v>42</v>
      </c>
      <c r="E4584" s="5"/>
      <c r="G4584" s="5"/>
      <c r="H4584" s="5"/>
    </row>
    <row r="4585" spans="1:8" x14ac:dyDescent="0.2">
      <c r="A4585" s="5"/>
      <c r="B4585" s="5" t="s">
        <v>5024</v>
      </c>
      <c r="C4585" s="5"/>
      <c r="D4585" s="5" t="s">
        <v>322</v>
      </c>
      <c r="E4585" s="5"/>
      <c r="G4585" s="5"/>
      <c r="H4585" s="5"/>
    </row>
    <row r="4586" spans="1:8" x14ac:dyDescent="0.2">
      <c r="A4586" s="5" t="s">
        <v>5064</v>
      </c>
      <c r="B4586" s="5" t="s">
        <v>3017</v>
      </c>
      <c r="C4586" s="8">
        <v>3</v>
      </c>
      <c r="D4586" s="5" t="s">
        <v>42</v>
      </c>
      <c r="E4586" s="5"/>
      <c r="G4586" s="5"/>
      <c r="H4586" s="5"/>
    </row>
    <row r="4587" spans="1:8" x14ac:dyDescent="0.2">
      <c r="A4587" s="5" t="s">
        <v>5065</v>
      </c>
      <c r="B4587" s="5" t="s">
        <v>2988</v>
      </c>
      <c r="C4587" s="8">
        <v>3</v>
      </c>
      <c r="D4587" s="5" t="s">
        <v>42</v>
      </c>
      <c r="E4587" s="5"/>
      <c r="G4587" s="5"/>
      <c r="H4587" s="5"/>
    </row>
    <row r="4588" spans="1:8" x14ac:dyDescent="0.2">
      <c r="A4588" s="5"/>
      <c r="B4588" s="5" t="s">
        <v>4921</v>
      </c>
      <c r="C4588" s="5"/>
      <c r="D4588" s="5" t="s">
        <v>15</v>
      </c>
      <c r="E4588" s="5"/>
      <c r="G4588" s="5"/>
      <c r="H4588" s="5"/>
    </row>
    <row r="4589" spans="1:8" x14ac:dyDescent="0.2">
      <c r="A4589" s="5"/>
      <c r="B4589" s="5" t="s">
        <v>5026</v>
      </c>
      <c r="C4589" s="5"/>
      <c r="D4589" s="5" t="s">
        <v>322</v>
      </c>
      <c r="E4589" s="5"/>
      <c r="G4589" s="5"/>
      <c r="H4589" s="5"/>
    </row>
    <row r="4590" spans="1:8" x14ac:dyDescent="0.2">
      <c r="A4590" s="5" t="s">
        <v>5066</v>
      </c>
      <c r="B4590" s="5" t="s">
        <v>3017</v>
      </c>
      <c r="C4590" s="8">
        <v>4</v>
      </c>
      <c r="D4590" s="5" t="s">
        <v>155</v>
      </c>
      <c r="E4590" s="5"/>
      <c r="G4590" s="5"/>
      <c r="H4590" s="5"/>
    </row>
    <row r="4591" spans="1:8" x14ac:dyDescent="0.2">
      <c r="A4591" s="5"/>
      <c r="B4591" s="5" t="s">
        <v>5029</v>
      </c>
      <c r="C4591" s="5"/>
      <c r="D4591" s="5" t="s">
        <v>15</v>
      </c>
      <c r="E4591" s="5"/>
      <c r="G4591" s="5"/>
      <c r="H4591" s="5"/>
    </row>
    <row r="4592" spans="1:8" x14ac:dyDescent="0.2">
      <c r="A4592" s="5" t="s">
        <v>5067</v>
      </c>
      <c r="B4592" s="5" t="s">
        <v>5031</v>
      </c>
      <c r="C4592" s="8">
        <v>21</v>
      </c>
      <c r="D4592" s="5" t="s">
        <v>42</v>
      </c>
      <c r="E4592" s="5"/>
      <c r="G4592" s="5"/>
      <c r="H4592" s="5"/>
    </row>
    <row r="4593" spans="1:8" x14ac:dyDescent="0.2">
      <c r="A4593" s="5" t="s">
        <v>5068</v>
      </c>
      <c r="B4593" s="5" t="s">
        <v>5033</v>
      </c>
      <c r="C4593" s="8">
        <v>21</v>
      </c>
      <c r="D4593" s="5" t="s">
        <v>42</v>
      </c>
      <c r="E4593" s="5"/>
      <c r="G4593" s="5"/>
      <c r="H4593" s="5"/>
    </row>
    <row r="4594" spans="1:8" x14ac:dyDescent="0.2">
      <c r="A4594" s="5" t="s">
        <v>5069</v>
      </c>
      <c r="B4594" s="5" t="s">
        <v>5035</v>
      </c>
      <c r="C4594" s="8">
        <v>11</v>
      </c>
      <c r="D4594" s="5" t="s">
        <v>42</v>
      </c>
      <c r="E4594" s="5"/>
      <c r="G4594" s="5"/>
      <c r="H4594" s="5"/>
    </row>
    <row r="4595" spans="1:8" x14ac:dyDescent="0.2">
      <c r="A4595" s="5" t="s">
        <v>5070</v>
      </c>
      <c r="B4595" s="5" t="s">
        <v>5037</v>
      </c>
      <c r="C4595" s="8">
        <v>48</v>
      </c>
      <c r="D4595" s="5" t="s">
        <v>42</v>
      </c>
      <c r="E4595" s="5"/>
      <c r="G4595" s="5"/>
      <c r="H4595" s="5"/>
    </row>
    <row r="4596" spans="1:8" x14ac:dyDescent="0.2">
      <c r="A4596" s="5" t="s">
        <v>5071</v>
      </c>
      <c r="B4596" s="5" t="s">
        <v>5039</v>
      </c>
      <c r="C4596" s="8">
        <v>48</v>
      </c>
      <c r="D4596" s="5" t="s">
        <v>42</v>
      </c>
      <c r="E4596" s="5"/>
      <c r="G4596" s="5"/>
      <c r="H4596" s="5"/>
    </row>
    <row r="4597" spans="1:8" x14ac:dyDescent="0.2">
      <c r="A4597" s="5"/>
      <c r="B4597" s="5" t="s">
        <v>5040</v>
      </c>
      <c r="C4597" s="5"/>
      <c r="D4597" s="5" t="s">
        <v>15</v>
      </c>
      <c r="E4597" s="5"/>
      <c r="G4597" s="5"/>
      <c r="H4597" s="5"/>
    </row>
    <row r="4598" spans="1:8" x14ac:dyDescent="0.2">
      <c r="A4598" s="5"/>
      <c r="B4598" s="5" t="s">
        <v>5041</v>
      </c>
      <c r="C4598" s="5"/>
      <c r="D4598" s="5" t="s">
        <v>322</v>
      </c>
      <c r="E4598" s="5"/>
      <c r="G4598" s="5"/>
      <c r="H4598" s="5"/>
    </row>
    <row r="4599" spans="1:8" x14ac:dyDescent="0.2">
      <c r="A4599" s="5" t="s">
        <v>5072</v>
      </c>
      <c r="B4599" s="5" t="s">
        <v>3939</v>
      </c>
      <c r="C4599" s="8">
        <v>90</v>
      </c>
      <c r="D4599" s="5" t="s">
        <v>42</v>
      </c>
      <c r="E4599" s="5"/>
      <c r="G4599" s="5"/>
      <c r="H4599" s="5"/>
    </row>
    <row r="4600" spans="1:8" x14ac:dyDescent="0.2">
      <c r="A4600" s="5" t="s">
        <v>5073</v>
      </c>
      <c r="B4600" s="5" t="s">
        <v>3944</v>
      </c>
      <c r="C4600" s="8">
        <v>20</v>
      </c>
      <c r="D4600" s="5" t="s">
        <v>42</v>
      </c>
      <c r="E4600" s="5"/>
      <c r="G4600" s="5"/>
      <c r="H4600" s="5"/>
    </row>
    <row r="4601" spans="1:8" x14ac:dyDescent="0.2">
      <c r="A4601" s="5"/>
      <c r="B4601" s="5" t="s">
        <v>5074</v>
      </c>
      <c r="C4601" s="5"/>
      <c r="D4601" s="5" t="s">
        <v>322</v>
      </c>
      <c r="E4601" s="5"/>
      <c r="G4601" s="5"/>
      <c r="H4601" s="5"/>
    </row>
    <row r="4602" spans="1:8" x14ac:dyDescent="0.2">
      <c r="A4602" s="5" t="s">
        <v>5075</v>
      </c>
      <c r="B4602" s="5" t="s">
        <v>3939</v>
      </c>
      <c r="C4602" s="8">
        <v>3</v>
      </c>
      <c r="D4602" s="5" t="s">
        <v>42</v>
      </c>
      <c r="E4602" s="5"/>
      <c r="G4602" s="5"/>
      <c r="H4602" s="5"/>
    </row>
    <row r="4603" spans="1:8" x14ac:dyDescent="0.2">
      <c r="A4603" s="5"/>
      <c r="B4603" s="5" t="s">
        <v>5044</v>
      </c>
      <c r="C4603" s="5"/>
      <c r="D4603" s="5" t="s">
        <v>322</v>
      </c>
      <c r="E4603" s="5"/>
      <c r="G4603" s="5"/>
      <c r="H4603" s="5"/>
    </row>
    <row r="4604" spans="1:8" x14ac:dyDescent="0.2">
      <c r="A4604" s="5" t="s">
        <v>5076</v>
      </c>
      <c r="B4604" s="5" t="s">
        <v>3939</v>
      </c>
      <c r="C4604" s="8">
        <v>2</v>
      </c>
      <c r="D4604" s="5" t="s">
        <v>42</v>
      </c>
      <c r="E4604" s="5"/>
      <c r="G4604" s="5"/>
      <c r="H4604" s="5"/>
    </row>
    <row r="4605" spans="1:8" x14ac:dyDescent="0.2">
      <c r="A4605" s="5"/>
      <c r="B4605" s="5" t="s">
        <v>5077</v>
      </c>
      <c r="C4605" s="5"/>
      <c r="D4605" s="5" t="s">
        <v>322</v>
      </c>
      <c r="E4605" s="5"/>
      <c r="G4605" s="5"/>
      <c r="H4605" s="5"/>
    </row>
    <row r="4606" spans="1:8" x14ac:dyDescent="0.2">
      <c r="A4606" s="5" t="s">
        <v>5078</v>
      </c>
      <c r="B4606" s="5" t="s">
        <v>3939</v>
      </c>
      <c r="C4606" s="8">
        <v>3</v>
      </c>
      <c r="D4606" s="5" t="s">
        <v>155</v>
      </c>
      <c r="E4606" s="5"/>
      <c r="G4606" s="5"/>
      <c r="H4606" s="5"/>
    </row>
    <row r="4607" spans="1:8" x14ac:dyDescent="0.2">
      <c r="A4607" s="5"/>
      <c r="B4607" s="5" t="s">
        <v>5046</v>
      </c>
      <c r="C4607" s="5"/>
      <c r="D4607" s="5" t="s">
        <v>15</v>
      </c>
      <c r="E4607" s="5"/>
      <c r="G4607" s="5"/>
      <c r="H4607" s="5"/>
    </row>
    <row r="4608" spans="1:8" x14ac:dyDescent="0.2">
      <c r="A4608" s="5"/>
      <c r="B4608" s="5" t="s">
        <v>5079</v>
      </c>
      <c r="C4608" s="5"/>
      <c r="D4608" s="5" t="s">
        <v>322</v>
      </c>
      <c r="E4608" s="5"/>
      <c r="G4608" s="5"/>
      <c r="H4608" s="5"/>
    </row>
    <row r="4609" spans="1:9" x14ac:dyDescent="0.2">
      <c r="A4609" s="5" t="s">
        <v>5080</v>
      </c>
      <c r="B4609" s="5" t="s">
        <v>3939</v>
      </c>
      <c r="C4609" s="8">
        <v>13</v>
      </c>
      <c r="D4609" s="5" t="s">
        <v>155</v>
      </c>
      <c r="E4609" s="5"/>
      <c r="G4609" s="5"/>
      <c r="H4609" s="5"/>
    </row>
    <row r="4610" spans="1:9" x14ac:dyDescent="0.2">
      <c r="B4610" s="6" t="s">
        <v>5081</v>
      </c>
      <c r="C4610" s="6"/>
      <c r="D4610" s="6"/>
      <c r="E4610" s="6"/>
      <c r="F4610" s="9">
        <f>SUM(H4501:H4610)</f>
        <v>0</v>
      </c>
      <c r="G4610" s="6"/>
      <c r="I4610" s="9">
        <f>PRODUCT(F4610,G4610)</f>
        <v>0</v>
      </c>
    </row>
    <row r="4612" spans="1:9" x14ac:dyDescent="0.2">
      <c r="A4612" s="6" t="s">
        <v>5082</v>
      </c>
      <c r="B4612" s="6" t="s">
        <v>5083</v>
      </c>
    </row>
    <row r="4613" spans="1:9" x14ac:dyDescent="0.2">
      <c r="A4613" s="5"/>
      <c r="B4613" s="5" t="s">
        <v>64</v>
      </c>
      <c r="C4613" s="5"/>
      <c r="D4613" s="5" t="s">
        <v>13</v>
      </c>
      <c r="E4613" s="5"/>
      <c r="G4613" s="5"/>
      <c r="H4613" s="5"/>
    </row>
    <row r="4614" spans="1:9" x14ac:dyDescent="0.2">
      <c r="A4614" s="5" t="s">
        <v>5084</v>
      </c>
      <c r="B4614" s="5" t="s">
        <v>66</v>
      </c>
      <c r="C4614" s="5"/>
      <c r="D4614" s="5" t="s">
        <v>18</v>
      </c>
      <c r="E4614" s="5"/>
      <c r="G4614" s="5"/>
      <c r="H4614" s="5"/>
    </row>
    <row r="4615" spans="1:9" x14ac:dyDescent="0.2">
      <c r="A4615" s="5" t="s">
        <v>5085</v>
      </c>
      <c r="B4615" s="5" t="s">
        <v>68</v>
      </c>
      <c r="C4615" s="5"/>
      <c r="D4615" s="5" t="s">
        <v>18</v>
      </c>
      <c r="E4615" s="5"/>
      <c r="G4615" s="5"/>
      <c r="H4615" s="5"/>
    </row>
    <row r="4616" spans="1:9" x14ac:dyDescent="0.2">
      <c r="A4616" s="5"/>
      <c r="B4616" s="5" t="s">
        <v>71</v>
      </c>
      <c r="C4616" s="5"/>
      <c r="D4616" s="5" t="s">
        <v>13</v>
      </c>
      <c r="E4616" s="5"/>
      <c r="G4616" s="5"/>
      <c r="H4616" s="5"/>
    </row>
    <row r="4617" spans="1:9" x14ac:dyDescent="0.2">
      <c r="A4617" s="5" t="s">
        <v>5086</v>
      </c>
      <c r="B4617" s="5" t="s">
        <v>5087</v>
      </c>
      <c r="C4617" s="5"/>
      <c r="D4617" s="5" t="s">
        <v>18</v>
      </c>
      <c r="E4617" s="5"/>
      <c r="G4617" s="5"/>
      <c r="H4617" s="5"/>
    </row>
    <row r="4618" spans="1:9" x14ac:dyDescent="0.2">
      <c r="A4618" s="5" t="s">
        <v>5088</v>
      </c>
      <c r="B4618" s="5" t="s">
        <v>269</v>
      </c>
      <c r="C4618" s="5"/>
      <c r="D4618" s="5" t="s">
        <v>18</v>
      </c>
      <c r="E4618" s="5"/>
      <c r="G4618" s="5"/>
      <c r="H4618" s="5"/>
    </row>
    <row r="4619" spans="1:9" x14ac:dyDescent="0.2">
      <c r="A4619" s="5" t="s">
        <v>5089</v>
      </c>
      <c r="B4619" s="5" t="s">
        <v>2482</v>
      </c>
      <c r="C4619" s="5"/>
      <c r="D4619" s="5" t="s">
        <v>18</v>
      </c>
      <c r="E4619" s="5"/>
      <c r="G4619" s="5"/>
      <c r="H4619" s="5"/>
    </row>
    <row r="4620" spans="1:9" x14ac:dyDescent="0.2">
      <c r="A4620" s="5"/>
      <c r="B4620" s="5" t="s">
        <v>94</v>
      </c>
      <c r="C4620" s="5"/>
      <c r="D4620" s="5" t="s">
        <v>13</v>
      </c>
      <c r="E4620" s="5"/>
      <c r="G4620" s="5"/>
      <c r="H4620" s="5"/>
    </row>
    <row r="4621" spans="1:9" x14ac:dyDescent="0.2">
      <c r="A4621" s="5" t="s">
        <v>5090</v>
      </c>
      <c r="B4621" s="5" t="s">
        <v>5091</v>
      </c>
      <c r="C4621" s="8">
        <v>1</v>
      </c>
      <c r="D4621" s="5" t="s">
        <v>97</v>
      </c>
      <c r="E4621" s="5"/>
      <c r="G4621" s="5"/>
      <c r="H4621" s="5"/>
    </row>
    <row r="4622" spans="1:9" x14ac:dyDescent="0.2">
      <c r="A4622" s="5" t="s">
        <v>5092</v>
      </c>
      <c r="B4622" s="5" t="s">
        <v>2299</v>
      </c>
      <c r="C4622" s="8">
        <v>1</v>
      </c>
      <c r="D4622" s="5" t="s">
        <v>97</v>
      </c>
      <c r="E4622" s="5"/>
      <c r="G4622" s="5"/>
      <c r="H4622" s="5"/>
    </row>
    <row r="4623" spans="1:9" x14ac:dyDescent="0.2">
      <c r="A4623" s="5" t="s">
        <v>5093</v>
      </c>
      <c r="B4623" s="5" t="s">
        <v>3332</v>
      </c>
      <c r="C4623" s="8">
        <v>1</v>
      </c>
      <c r="D4623" s="5" t="s">
        <v>97</v>
      </c>
      <c r="E4623" s="5"/>
      <c r="G4623" s="5"/>
      <c r="H4623" s="5"/>
    </row>
    <row r="4624" spans="1:9" x14ac:dyDescent="0.2">
      <c r="A4624" s="5" t="s">
        <v>5094</v>
      </c>
      <c r="B4624" s="5" t="s">
        <v>2761</v>
      </c>
      <c r="C4624" s="8">
        <v>1</v>
      </c>
      <c r="D4624" s="5" t="s">
        <v>97</v>
      </c>
      <c r="E4624" s="5"/>
      <c r="G4624" s="5"/>
      <c r="H4624" s="5"/>
    </row>
    <row r="4625" spans="1:8" x14ac:dyDescent="0.2">
      <c r="A4625" s="5"/>
      <c r="B4625" s="5" t="s">
        <v>135</v>
      </c>
      <c r="C4625" s="5"/>
      <c r="D4625" s="5" t="s">
        <v>13</v>
      </c>
      <c r="E4625" s="5"/>
      <c r="G4625" s="5"/>
      <c r="H4625" s="5"/>
    </row>
    <row r="4626" spans="1:8" x14ac:dyDescent="0.2">
      <c r="A4626" s="5" t="s">
        <v>5095</v>
      </c>
      <c r="B4626" s="5" t="s">
        <v>5006</v>
      </c>
      <c r="C4626" s="5"/>
      <c r="D4626" s="5" t="s">
        <v>18</v>
      </c>
      <c r="E4626" s="5"/>
      <c r="G4626" s="5"/>
      <c r="H4626" s="5"/>
    </row>
    <row r="4627" spans="1:8" x14ac:dyDescent="0.2">
      <c r="A4627" s="5" t="s">
        <v>5096</v>
      </c>
      <c r="B4627" s="5" t="s">
        <v>4909</v>
      </c>
      <c r="C4627" s="5"/>
      <c r="D4627" s="5" t="s">
        <v>18</v>
      </c>
      <c r="E4627" s="5"/>
      <c r="G4627" s="5"/>
      <c r="H4627" s="5"/>
    </row>
    <row r="4628" spans="1:8" x14ac:dyDescent="0.2">
      <c r="A4628" s="5"/>
      <c r="B4628" s="5" t="s">
        <v>38</v>
      </c>
      <c r="C4628" s="5"/>
      <c r="D4628" s="5" t="s">
        <v>13</v>
      </c>
      <c r="E4628" s="5"/>
      <c r="G4628" s="5"/>
      <c r="H4628" s="5"/>
    </row>
    <row r="4629" spans="1:8" x14ac:dyDescent="0.2">
      <c r="A4629" s="5"/>
      <c r="B4629" s="5" t="s">
        <v>5097</v>
      </c>
      <c r="C4629" s="5"/>
      <c r="D4629" s="5" t="s">
        <v>15</v>
      </c>
      <c r="E4629" s="5"/>
      <c r="G4629" s="5"/>
      <c r="H4629" s="5"/>
    </row>
    <row r="4630" spans="1:8" x14ac:dyDescent="0.2">
      <c r="A4630" s="5"/>
      <c r="B4630" s="5" t="s">
        <v>5098</v>
      </c>
      <c r="C4630" s="5"/>
      <c r="D4630" s="5" t="s">
        <v>322</v>
      </c>
      <c r="E4630" s="5"/>
      <c r="G4630" s="5"/>
      <c r="H4630" s="5"/>
    </row>
    <row r="4631" spans="1:8" x14ac:dyDescent="0.2">
      <c r="A4631" s="5" t="s">
        <v>5099</v>
      </c>
      <c r="B4631" s="5" t="s">
        <v>2988</v>
      </c>
      <c r="C4631" s="8">
        <v>687</v>
      </c>
      <c r="D4631" s="5" t="s">
        <v>42</v>
      </c>
      <c r="E4631" s="5"/>
      <c r="G4631" s="5"/>
      <c r="H4631" s="5"/>
    </row>
    <row r="4632" spans="1:8" x14ac:dyDescent="0.2">
      <c r="A4632" s="5" t="s">
        <v>5100</v>
      </c>
      <c r="B4632" s="5" t="s">
        <v>2990</v>
      </c>
      <c r="C4632" s="8">
        <v>316</v>
      </c>
      <c r="D4632" s="5" t="s">
        <v>42</v>
      </c>
      <c r="E4632" s="5"/>
      <c r="G4632" s="5"/>
      <c r="H4632" s="5"/>
    </row>
    <row r="4633" spans="1:8" x14ac:dyDescent="0.2">
      <c r="A4633" s="5" t="s">
        <v>5101</v>
      </c>
      <c r="B4633" s="5" t="s">
        <v>2992</v>
      </c>
      <c r="C4633" s="8">
        <v>38</v>
      </c>
      <c r="D4633" s="5" t="s">
        <v>42</v>
      </c>
      <c r="E4633" s="5"/>
      <c r="G4633" s="5"/>
      <c r="H4633" s="5"/>
    </row>
    <row r="4634" spans="1:8" x14ac:dyDescent="0.2">
      <c r="A4634" s="5"/>
      <c r="B4634" s="5" t="s">
        <v>5102</v>
      </c>
      <c r="C4634" s="5"/>
      <c r="D4634" s="5" t="s">
        <v>322</v>
      </c>
      <c r="E4634" s="5"/>
      <c r="G4634" s="5"/>
      <c r="H4634" s="5"/>
    </row>
    <row r="4635" spans="1:8" x14ac:dyDescent="0.2">
      <c r="A4635" s="5" t="s">
        <v>5103</v>
      </c>
      <c r="B4635" s="5" t="s">
        <v>2988</v>
      </c>
      <c r="C4635" s="8">
        <v>293</v>
      </c>
      <c r="D4635" s="5" t="s">
        <v>42</v>
      </c>
      <c r="E4635" s="5"/>
      <c r="G4635" s="5"/>
      <c r="H4635" s="5"/>
    </row>
    <row r="4636" spans="1:8" x14ac:dyDescent="0.2">
      <c r="A4636" s="5" t="s">
        <v>5104</v>
      </c>
      <c r="B4636" s="5" t="s">
        <v>2990</v>
      </c>
      <c r="C4636" s="8">
        <v>302</v>
      </c>
      <c r="D4636" s="5" t="s">
        <v>42</v>
      </c>
      <c r="E4636" s="5"/>
      <c r="G4636" s="5"/>
      <c r="H4636" s="5"/>
    </row>
    <row r="4637" spans="1:8" x14ac:dyDescent="0.2">
      <c r="A4637" s="5"/>
      <c r="B4637" s="5" t="s">
        <v>5105</v>
      </c>
      <c r="C4637" s="5"/>
      <c r="D4637" s="5" t="s">
        <v>322</v>
      </c>
      <c r="E4637" s="5"/>
      <c r="G4637" s="5"/>
      <c r="H4637" s="5"/>
    </row>
    <row r="4638" spans="1:8" x14ac:dyDescent="0.2">
      <c r="A4638" s="5" t="s">
        <v>5106</v>
      </c>
      <c r="B4638" s="5" t="s">
        <v>2990</v>
      </c>
      <c r="C4638" s="8">
        <v>276</v>
      </c>
      <c r="D4638" s="5" t="s">
        <v>42</v>
      </c>
      <c r="E4638" s="5"/>
      <c r="G4638" s="5"/>
      <c r="H4638" s="5"/>
    </row>
    <row r="4639" spans="1:8" x14ac:dyDescent="0.2">
      <c r="A4639" s="5"/>
      <c r="B4639" s="5" t="s">
        <v>5107</v>
      </c>
      <c r="C4639" s="5"/>
      <c r="D4639" s="5" t="s">
        <v>322</v>
      </c>
      <c r="E4639" s="5"/>
      <c r="G4639" s="5"/>
      <c r="H4639" s="5"/>
    </row>
    <row r="4640" spans="1:8" x14ac:dyDescent="0.2">
      <c r="A4640" s="5" t="s">
        <v>5108</v>
      </c>
      <c r="B4640" s="5" t="s">
        <v>2988</v>
      </c>
      <c r="C4640" s="8">
        <v>127</v>
      </c>
      <c r="D4640" s="5" t="s">
        <v>42</v>
      </c>
      <c r="E4640" s="5"/>
      <c r="G4640" s="5"/>
      <c r="H4640" s="5"/>
    </row>
    <row r="4641" spans="1:8" x14ac:dyDescent="0.2">
      <c r="A4641" s="5" t="s">
        <v>5109</v>
      </c>
      <c r="B4641" s="5" t="s">
        <v>2990</v>
      </c>
      <c r="C4641" s="8">
        <v>13</v>
      </c>
      <c r="D4641" s="5" t="s">
        <v>42</v>
      </c>
      <c r="E4641" s="5"/>
      <c r="G4641" s="5"/>
      <c r="H4641" s="5"/>
    </row>
    <row r="4642" spans="1:8" x14ac:dyDescent="0.2">
      <c r="A4642" s="5"/>
      <c r="B4642" s="5" t="s">
        <v>5110</v>
      </c>
      <c r="C4642" s="5"/>
      <c r="D4642" s="5" t="s">
        <v>322</v>
      </c>
      <c r="E4642" s="5"/>
      <c r="G4642" s="5"/>
      <c r="H4642" s="5"/>
    </row>
    <row r="4643" spans="1:8" x14ac:dyDescent="0.2">
      <c r="A4643" s="5" t="s">
        <v>5111</v>
      </c>
      <c r="B4643" s="5" t="s">
        <v>2988</v>
      </c>
      <c r="C4643" s="8">
        <v>151</v>
      </c>
      <c r="D4643" s="5" t="s">
        <v>42</v>
      </c>
      <c r="E4643" s="5"/>
      <c r="G4643" s="5"/>
      <c r="H4643" s="5"/>
    </row>
    <row r="4644" spans="1:8" x14ac:dyDescent="0.2">
      <c r="A4644" s="5" t="s">
        <v>5112</v>
      </c>
      <c r="B4644" s="5" t="s">
        <v>2990</v>
      </c>
      <c r="C4644" s="8">
        <v>196</v>
      </c>
      <c r="D4644" s="5" t="s">
        <v>42</v>
      </c>
      <c r="E4644" s="5"/>
      <c r="G4644" s="5"/>
      <c r="H4644" s="5"/>
    </row>
    <row r="4645" spans="1:8" x14ac:dyDescent="0.2">
      <c r="A4645" s="5"/>
      <c r="B4645" s="5" t="s">
        <v>5113</v>
      </c>
      <c r="C4645" s="5"/>
      <c r="D4645" s="5" t="s">
        <v>322</v>
      </c>
      <c r="E4645" s="5"/>
      <c r="G4645" s="5"/>
      <c r="H4645" s="5"/>
    </row>
    <row r="4646" spans="1:8" x14ac:dyDescent="0.2">
      <c r="A4646" s="5" t="s">
        <v>5114</v>
      </c>
      <c r="B4646" s="5" t="s">
        <v>2988</v>
      </c>
      <c r="C4646" s="8">
        <v>86</v>
      </c>
      <c r="D4646" s="5" t="s">
        <v>42</v>
      </c>
      <c r="E4646" s="5"/>
      <c r="G4646" s="5"/>
      <c r="H4646" s="5"/>
    </row>
    <row r="4647" spans="1:8" x14ac:dyDescent="0.2">
      <c r="A4647" s="5"/>
      <c r="B4647" s="5" t="s">
        <v>5115</v>
      </c>
      <c r="C4647" s="5"/>
      <c r="D4647" s="5" t="s">
        <v>322</v>
      </c>
      <c r="E4647" s="5"/>
      <c r="G4647" s="5"/>
      <c r="H4647" s="5"/>
    </row>
    <row r="4648" spans="1:8" x14ac:dyDescent="0.2">
      <c r="A4648" s="5" t="s">
        <v>5116</v>
      </c>
      <c r="B4648" s="5" t="s">
        <v>2988</v>
      </c>
      <c r="C4648" s="8">
        <v>167</v>
      </c>
      <c r="D4648" s="5" t="s">
        <v>42</v>
      </c>
      <c r="E4648" s="5"/>
      <c r="G4648" s="5"/>
      <c r="H4648" s="5"/>
    </row>
    <row r="4649" spans="1:8" x14ac:dyDescent="0.2">
      <c r="A4649" s="5"/>
      <c r="B4649" s="5" t="s">
        <v>5117</v>
      </c>
      <c r="C4649" s="5"/>
      <c r="D4649" s="5" t="s">
        <v>322</v>
      </c>
      <c r="E4649" s="5"/>
      <c r="G4649" s="5"/>
      <c r="H4649" s="5"/>
    </row>
    <row r="4650" spans="1:8" x14ac:dyDescent="0.2">
      <c r="A4650" s="5" t="s">
        <v>5118</v>
      </c>
      <c r="B4650" s="5" t="s">
        <v>3017</v>
      </c>
      <c r="C4650" s="8">
        <v>20</v>
      </c>
      <c r="D4650" s="5" t="s">
        <v>42</v>
      </c>
      <c r="E4650" s="5"/>
      <c r="G4650" s="5"/>
      <c r="H4650" s="5"/>
    </row>
    <row r="4651" spans="1:8" x14ac:dyDescent="0.2">
      <c r="A4651" s="5"/>
      <c r="B4651" s="5" t="s">
        <v>5119</v>
      </c>
      <c r="C4651" s="5"/>
      <c r="D4651" s="5" t="s">
        <v>322</v>
      </c>
      <c r="E4651" s="5"/>
      <c r="G4651" s="5"/>
      <c r="H4651" s="5"/>
    </row>
    <row r="4652" spans="1:8" x14ac:dyDescent="0.2">
      <c r="A4652" s="5" t="s">
        <v>5120</v>
      </c>
      <c r="B4652" s="5" t="s">
        <v>3017</v>
      </c>
      <c r="C4652" s="8">
        <v>71</v>
      </c>
      <c r="D4652" s="5" t="s">
        <v>42</v>
      </c>
      <c r="E4652" s="5"/>
      <c r="G4652" s="5"/>
      <c r="H4652" s="5"/>
    </row>
    <row r="4653" spans="1:8" x14ac:dyDescent="0.2">
      <c r="A4653" s="5"/>
      <c r="B4653" s="5" t="s">
        <v>5121</v>
      </c>
      <c r="C4653" s="5"/>
      <c r="D4653" s="5" t="s">
        <v>322</v>
      </c>
      <c r="E4653" s="5"/>
      <c r="G4653" s="5"/>
      <c r="H4653" s="5"/>
    </row>
    <row r="4654" spans="1:8" x14ac:dyDescent="0.2">
      <c r="A4654" s="5" t="s">
        <v>5122</v>
      </c>
      <c r="B4654" s="5" t="s">
        <v>2990</v>
      </c>
      <c r="C4654" s="8">
        <v>52</v>
      </c>
      <c r="D4654" s="5" t="s">
        <v>42</v>
      </c>
      <c r="E4654" s="5"/>
      <c r="G4654" s="5"/>
      <c r="H4654" s="5"/>
    </row>
    <row r="4655" spans="1:8" x14ac:dyDescent="0.2">
      <c r="A4655" s="5" t="s">
        <v>5123</v>
      </c>
      <c r="B4655" s="5" t="s">
        <v>2992</v>
      </c>
      <c r="C4655" s="8">
        <v>689</v>
      </c>
      <c r="D4655" s="5" t="s">
        <v>42</v>
      </c>
      <c r="E4655" s="5"/>
      <c r="G4655" s="5"/>
      <c r="H4655" s="5"/>
    </row>
    <row r="4656" spans="1:8" x14ac:dyDescent="0.2">
      <c r="A4656" s="5"/>
      <c r="B4656" s="5" t="s">
        <v>4921</v>
      </c>
      <c r="C4656" s="5"/>
      <c r="D4656" s="5" t="s">
        <v>15</v>
      </c>
      <c r="E4656" s="5"/>
      <c r="G4656" s="5"/>
      <c r="H4656" s="5"/>
    </row>
    <row r="4657" spans="1:8" x14ac:dyDescent="0.2">
      <c r="A4657" s="5"/>
      <c r="B4657" s="5" t="s">
        <v>5124</v>
      </c>
      <c r="C4657" s="5"/>
      <c r="D4657" s="5" t="s">
        <v>322</v>
      </c>
      <c r="E4657" s="5"/>
      <c r="G4657" s="5"/>
      <c r="H4657" s="5"/>
    </row>
    <row r="4658" spans="1:8" x14ac:dyDescent="0.2">
      <c r="A4658" s="5" t="s">
        <v>5125</v>
      </c>
      <c r="B4658" s="5" t="s">
        <v>2988</v>
      </c>
      <c r="C4658" s="8">
        <v>3</v>
      </c>
      <c r="D4658" s="5" t="s">
        <v>155</v>
      </c>
      <c r="E4658" s="5"/>
      <c r="G4658" s="5"/>
      <c r="H4658" s="5"/>
    </row>
    <row r="4659" spans="1:8" x14ac:dyDescent="0.2">
      <c r="A4659" s="5" t="s">
        <v>5126</v>
      </c>
      <c r="B4659" s="5" t="s">
        <v>2990</v>
      </c>
      <c r="C4659" s="8">
        <v>13</v>
      </c>
      <c r="D4659" s="5" t="s">
        <v>155</v>
      </c>
      <c r="E4659" s="5"/>
      <c r="G4659" s="5"/>
      <c r="H4659" s="5"/>
    </row>
    <row r="4660" spans="1:8" x14ac:dyDescent="0.2">
      <c r="A4660" s="5"/>
      <c r="B4660" s="5" t="s">
        <v>5127</v>
      </c>
      <c r="C4660" s="5"/>
      <c r="D4660" s="5" t="s">
        <v>13</v>
      </c>
      <c r="E4660" s="5"/>
      <c r="G4660" s="5"/>
      <c r="H4660" s="5"/>
    </row>
    <row r="4661" spans="1:8" x14ac:dyDescent="0.2">
      <c r="A4661" s="5" t="s">
        <v>5128</v>
      </c>
      <c r="B4661" s="5" t="s">
        <v>5031</v>
      </c>
      <c r="C4661" s="8">
        <v>3398</v>
      </c>
      <c r="D4661" s="5" t="s">
        <v>42</v>
      </c>
      <c r="E4661" s="5"/>
      <c r="G4661" s="5"/>
      <c r="H4661" s="5"/>
    </row>
    <row r="4662" spans="1:8" x14ac:dyDescent="0.2">
      <c r="A4662" s="5" t="s">
        <v>5129</v>
      </c>
      <c r="B4662" s="5" t="s">
        <v>5035</v>
      </c>
      <c r="C4662" s="8">
        <v>1699</v>
      </c>
      <c r="D4662" s="5" t="s">
        <v>42</v>
      </c>
      <c r="E4662" s="5"/>
      <c r="G4662" s="5"/>
      <c r="H4662" s="5"/>
    </row>
    <row r="4663" spans="1:8" x14ac:dyDescent="0.2">
      <c r="A4663" s="5" t="s">
        <v>5130</v>
      </c>
      <c r="B4663" s="5" t="s">
        <v>5131</v>
      </c>
      <c r="C4663" s="8">
        <v>3390</v>
      </c>
      <c r="D4663" s="5" t="s">
        <v>42</v>
      </c>
      <c r="E4663" s="5"/>
      <c r="G4663" s="5"/>
      <c r="H4663" s="5"/>
    </row>
    <row r="4664" spans="1:8" x14ac:dyDescent="0.2">
      <c r="A4664" s="5"/>
      <c r="B4664" s="5" t="s">
        <v>53</v>
      </c>
      <c r="C4664" s="5"/>
      <c r="D4664" s="5" t="s">
        <v>13</v>
      </c>
      <c r="E4664" s="5"/>
      <c r="G4664" s="5"/>
      <c r="H4664" s="5"/>
    </row>
    <row r="4665" spans="1:8" x14ac:dyDescent="0.2">
      <c r="A4665" s="5"/>
      <c r="B4665" s="5" t="s">
        <v>5097</v>
      </c>
      <c r="C4665" s="5"/>
      <c r="D4665" s="5" t="s">
        <v>15</v>
      </c>
      <c r="E4665" s="5"/>
      <c r="G4665" s="5"/>
      <c r="H4665" s="5"/>
    </row>
    <row r="4666" spans="1:8" x14ac:dyDescent="0.2">
      <c r="A4666" s="5"/>
      <c r="B4666" s="5" t="s">
        <v>5098</v>
      </c>
      <c r="C4666" s="5"/>
      <c r="D4666" s="5" t="s">
        <v>322</v>
      </c>
      <c r="E4666" s="5"/>
      <c r="G4666" s="5"/>
      <c r="H4666" s="5"/>
    </row>
    <row r="4667" spans="1:8" x14ac:dyDescent="0.2">
      <c r="A4667" s="5" t="s">
        <v>5132</v>
      </c>
      <c r="B4667" s="5" t="s">
        <v>3017</v>
      </c>
      <c r="C4667" s="8">
        <v>162</v>
      </c>
      <c r="D4667" s="5" t="s">
        <v>42</v>
      </c>
      <c r="E4667" s="5"/>
      <c r="G4667" s="5"/>
      <c r="H4667" s="5"/>
    </row>
    <row r="4668" spans="1:8" x14ac:dyDescent="0.2">
      <c r="A4668" s="5" t="s">
        <v>5133</v>
      </c>
      <c r="B4668" s="5" t="s">
        <v>2988</v>
      </c>
      <c r="C4668" s="8">
        <v>418</v>
      </c>
      <c r="D4668" s="5" t="s">
        <v>42</v>
      </c>
      <c r="E4668" s="5"/>
      <c r="G4668" s="5"/>
      <c r="H4668" s="5"/>
    </row>
    <row r="4669" spans="1:8" x14ac:dyDescent="0.2">
      <c r="A4669" s="5" t="s">
        <v>5134</v>
      </c>
      <c r="B4669" s="5" t="s">
        <v>2990</v>
      </c>
      <c r="C4669" s="8">
        <v>438</v>
      </c>
      <c r="D4669" s="5" t="s">
        <v>42</v>
      </c>
      <c r="E4669" s="5"/>
      <c r="G4669" s="5"/>
      <c r="H4669" s="5"/>
    </row>
    <row r="4670" spans="1:8" x14ac:dyDescent="0.2">
      <c r="A4670" s="5" t="s">
        <v>5135</v>
      </c>
      <c r="B4670" s="5" t="s">
        <v>2992</v>
      </c>
      <c r="C4670" s="8">
        <v>71</v>
      </c>
      <c r="D4670" s="5" t="s">
        <v>42</v>
      </c>
      <c r="E4670" s="5"/>
      <c r="G4670" s="5"/>
      <c r="H4670" s="5"/>
    </row>
    <row r="4671" spans="1:8" x14ac:dyDescent="0.2">
      <c r="A4671" s="5"/>
      <c r="B4671" s="5" t="s">
        <v>5136</v>
      </c>
      <c r="C4671" s="5"/>
      <c r="D4671" s="5" t="s">
        <v>322</v>
      </c>
      <c r="E4671" s="5"/>
      <c r="G4671" s="5"/>
      <c r="H4671" s="5"/>
    </row>
    <row r="4672" spans="1:8" x14ac:dyDescent="0.2">
      <c r="A4672" s="5" t="s">
        <v>5137</v>
      </c>
      <c r="B4672" s="5" t="s">
        <v>2988</v>
      </c>
      <c r="C4672" s="8">
        <v>31</v>
      </c>
      <c r="D4672" s="5" t="s">
        <v>42</v>
      </c>
      <c r="E4672" s="5"/>
      <c r="G4672" s="5"/>
      <c r="H4672" s="5"/>
    </row>
    <row r="4673" spans="1:8" x14ac:dyDescent="0.2">
      <c r="A4673" s="5" t="s">
        <v>5138</v>
      </c>
      <c r="B4673" s="5" t="s">
        <v>2990</v>
      </c>
      <c r="C4673" s="8">
        <v>15</v>
      </c>
      <c r="D4673" s="5" t="s">
        <v>42</v>
      </c>
      <c r="E4673" s="5"/>
      <c r="G4673" s="5"/>
      <c r="H4673" s="5"/>
    </row>
    <row r="4674" spans="1:8" x14ac:dyDescent="0.2">
      <c r="A4674" s="5"/>
      <c r="B4674" s="5" t="s">
        <v>5139</v>
      </c>
      <c r="C4674" s="5"/>
      <c r="D4674" s="5" t="s">
        <v>322</v>
      </c>
      <c r="E4674" s="5"/>
      <c r="G4674" s="5"/>
      <c r="H4674" s="5"/>
    </row>
    <row r="4675" spans="1:8" x14ac:dyDescent="0.2">
      <c r="A4675" s="5" t="s">
        <v>5140</v>
      </c>
      <c r="B4675" s="5" t="s">
        <v>3017</v>
      </c>
      <c r="C4675" s="8">
        <v>20</v>
      </c>
      <c r="D4675" s="5" t="s">
        <v>42</v>
      </c>
      <c r="E4675" s="5"/>
      <c r="G4675" s="5"/>
      <c r="H4675" s="5"/>
    </row>
    <row r="4676" spans="1:8" x14ac:dyDescent="0.2">
      <c r="A4676" s="5" t="s">
        <v>5141</v>
      </c>
      <c r="B4676" s="5" t="s">
        <v>2988</v>
      </c>
      <c r="C4676" s="8">
        <v>160</v>
      </c>
      <c r="D4676" s="5" t="s">
        <v>42</v>
      </c>
      <c r="E4676" s="5"/>
      <c r="G4676" s="5"/>
      <c r="H4676" s="5"/>
    </row>
    <row r="4677" spans="1:8" x14ac:dyDescent="0.2">
      <c r="A4677" s="5" t="s">
        <v>5142</v>
      </c>
      <c r="B4677" s="5" t="s">
        <v>2990</v>
      </c>
      <c r="C4677" s="8">
        <v>140</v>
      </c>
      <c r="D4677" s="5" t="s">
        <v>42</v>
      </c>
      <c r="E4677" s="5"/>
      <c r="G4677" s="5"/>
      <c r="H4677" s="5"/>
    </row>
    <row r="4678" spans="1:8" x14ac:dyDescent="0.2">
      <c r="A4678" s="5"/>
      <c r="B4678" s="5" t="s">
        <v>5110</v>
      </c>
      <c r="C4678" s="5"/>
      <c r="D4678" s="5" t="s">
        <v>322</v>
      </c>
      <c r="E4678" s="5"/>
      <c r="G4678" s="5"/>
      <c r="H4678" s="5"/>
    </row>
    <row r="4679" spans="1:8" x14ac:dyDescent="0.2">
      <c r="A4679" s="5" t="s">
        <v>5143</v>
      </c>
      <c r="B4679" s="5" t="s">
        <v>2990</v>
      </c>
      <c r="C4679" s="8">
        <v>10</v>
      </c>
      <c r="D4679" s="5" t="s">
        <v>42</v>
      </c>
      <c r="E4679" s="5"/>
      <c r="G4679" s="5"/>
      <c r="H4679" s="5"/>
    </row>
    <row r="4680" spans="1:8" x14ac:dyDescent="0.2">
      <c r="A4680" s="5"/>
      <c r="B4680" s="5" t="s">
        <v>5117</v>
      </c>
      <c r="C4680" s="5"/>
      <c r="D4680" s="5" t="s">
        <v>322</v>
      </c>
      <c r="E4680" s="5"/>
      <c r="G4680" s="5"/>
      <c r="H4680" s="5"/>
    </row>
    <row r="4681" spans="1:8" x14ac:dyDescent="0.2">
      <c r="A4681" s="5" t="s">
        <v>5144</v>
      </c>
      <c r="B4681" s="5" t="s">
        <v>3017</v>
      </c>
      <c r="C4681" s="8">
        <v>66</v>
      </c>
      <c r="D4681" s="5" t="s">
        <v>42</v>
      </c>
      <c r="E4681" s="5"/>
      <c r="G4681" s="5"/>
      <c r="H4681" s="5"/>
    </row>
    <row r="4682" spans="1:8" x14ac:dyDescent="0.2">
      <c r="A4682" s="5" t="s">
        <v>5145</v>
      </c>
      <c r="B4682" s="5" t="s">
        <v>2988</v>
      </c>
      <c r="C4682" s="8">
        <v>12</v>
      </c>
      <c r="D4682" s="5" t="s">
        <v>42</v>
      </c>
      <c r="E4682" s="5"/>
      <c r="G4682" s="5"/>
      <c r="H4682" s="5"/>
    </row>
    <row r="4683" spans="1:8" x14ac:dyDescent="0.2">
      <c r="A4683" s="5" t="s">
        <v>5146</v>
      </c>
      <c r="B4683" s="5" t="s">
        <v>2990</v>
      </c>
      <c r="C4683" s="8">
        <v>18</v>
      </c>
      <c r="D4683" s="5" t="s">
        <v>42</v>
      </c>
      <c r="E4683" s="5"/>
      <c r="G4683" s="5"/>
      <c r="H4683" s="5"/>
    </row>
    <row r="4684" spans="1:8" x14ac:dyDescent="0.2">
      <c r="A4684" s="5"/>
      <c r="B4684" s="5" t="s">
        <v>5119</v>
      </c>
      <c r="C4684" s="5"/>
      <c r="D4684" s="5" t="s">
        <v>322</v>
      </c>
      <c r="E4684" s="5"/>
      <c r="G4684" s="5"/>
      <c r="H4684" s="5"/>
    </row>
    <row r="4685" spans="1:8" x14ac:dyDescent="0.2">
      <c r="A4685" s="5" t="s">
        <v>5147</v>
      </c>
      <c r="B4685" s="5" t="s">
        <v>3017</v>
      </c>
      <c r="C4685" s="8">
        <v>317</v>
      </c>
      <c r="D4685" s="5" t="s">
        <v>42</v>
      </c>
      <c r="E4685" s="5"/>
      <c r="G4685" s="5"/>
      <c r="H4685" s="5"/>
    </row>
    <row r="4686" spans="1:8" x14ac:dyDescent="0.2">
      <c r="A4686" s="5" t="s">
        <v>5148</v>
      </c>
      <c r="B4686" s="5" t="s">
        <v>2988</v>
      </c>
      <c r="C4686" s="8">
        <v>38</v>
      </c>
      <c r="D4686" s="5" t="s">
        <v>42</v>
      </c>
      <c r="E4686" s="5"/>
      <c r="G4686" s="5"/>
      <c r="H4686" s="5"/>
    </row>
    <row r="4687" spans="1:8" x14ac:dyDescent="0.2">
      <c r="A4687" s="5" t="s">
        <v>5149</v>
      </c>
      <c r="B4687" s="5" t="s">
        <v>2990</v>
      </c>
      <c r="C4687" s="8">
        <v>15</v>
      </c>
      <c r="D4687" s="5" t="s">
        <v>42</v>
      </c>
      <c r="E4687" s="5"/>
      <c r="G4687" s="5"/>
      <c r="H4687" s="5"/>
    </row>
    <row r="4688" spans="1:8" x14ac:dyDescent="0.2">
      <c r="A4688" s="5"/>
      <c r="B4688" s="5" t="s">
        <v>5150</v>
      </c>
      <c r="C4688" s="5"/>
      <c r="D4688" s="5" t="s">
        <v>322</v>
      </c>
      <c r="E4688" s="5"/>
      <c r="G4688" s="5"/>
      <c r="H4688" s="5"/>
    </row>
    <row r="4689" spans="1:9" x14ac:dyDescent="0.2">
      <c r="A4689" s="5" t="s">
        <v>5151</v>
      </c>
      <c r="B4689" s="5" t="s">
        <v>3017</v>
      </c>
      <c r="C4689" s="8">
        <v>39</v>
      </c>
      <c r="D4689" s="5" t="s">
        <v>42</v>
      </c>
      <c r="E4689" s="5"/>
      <c r="G4689" s="5"/>
      <c r="H4689" s="5"/>
    </row>
    <row r="4690" spans="1:9" x14ac:dyDescent="0.2">
      <c r="A4690" s="5" t="s">
        <v>5152</v>
      </c>
      <c r="B4690" s="5" t="s">
        <v>2988</v>
      </c>
      <c r="C4690" s="8">
        <v>15</v>
      </c>
      <c r="D4690" s="5" t="s">
        <v>42</v>
      </c>
      <c r="E4690" s="5"/>
      <c r="G4690" s="5"/>
      <c r="H4690" s="5"/>
    </row>
    <row r="4691" spans="1:9" x14ac:dyDescent="0.2">
      <c r="A4691" s="5" t="s">
        <v>5153</v>
      </c>
      <c r="B4691" s="5" t="s">
        <v>2990</v>
      </c>
      <c r="C4691" s="8">
        <v>23</v>
      </c>
      <c r="D4691" s="5" t="s">
        <v>42</v>
      </c>
      <c r="E4691" s="5"/>
      <c r="G4691" s="5"/>
      <c r="H4691" s="5"/>
    </row>
    <row r="4692" spans="1:9" x14ac:dyDescent="0.2">
      <c r="A4692" s="5"/>
      <c r="B4692" s="5" t="s">
        <v>4921</v>
      </c>
      <c r="C4692" s="5"/>
      <c r="D4692" s="5" t="s">
        <v>15</v>
      </c>
      <c r="E4692" s="5"/>
      <c r="G4692" s="5"/>
      <c r="H4692" s="5"/>
    </row>
    <row r="4693" spans="1:9" x14ac:dyDescent="0.2">
      <c r="A4693" s="5"/>
      <c r="B4693" s="5" t="s">
        <v>5124</v>
      </c>
      <c r="C4693" s="5"/>
      <c r="D4693" s="5" t="s">
        <v>322</v>
      </c>
      <c r="E4693" s="5"/>
      <c r="G4693" s="5"/>
      <c r="H4693" s="5"/>
    </row>
    <row r="4694" spans="1:9" x14ac:dyDescent="0.2">
      <c r="A4694" s="5" t="s">
        <v>5154</v>
      </c>
      <c r="B4694" s="5" t="s">
        <v>3017</v>
      </c>
      <c r="C4694" s="8">
        <v>2</v>
      </c>
      <c r="D4694" s="5" t="s">
        <v>155</v>
      </c>
      <c r="E4694" s="5"/>
      <c r="G4694" s="5"/>
      <c r="H4694" s="5"/>
    </row>
    <row r="4695" spans="1:9" x14ac:dyDescent="0.2">
      <c r="A4695" s="5" t="s">
        <v>5155</v>
      </c>
      <c r="B4695" s="5" t="s">
        <v>2988</v>
      </c>
      <c r="C4695" s="8">
        <v>2</v>
      </c>
      <c r="D4695" s="5" t="s">
        <v>155</v>
      </c>
      <c r="E4695" s="5"/>
      <c r="G4695" s="5"/>
      <c r="H4695" s="5"/>
    </row>
    <row r="4696" spans="1:9" x14ac:dyDescent="0.2">
      <c r="A4696" s="5" t="s">
        <v>5156</v>
      </c>
      <c r="B4696" s="5" t="s">
        <v>2990</v>
      </c>
      <c r="C4696" s="8">
        <v>2</v>
      </c>
      <c r="D4696" s="5" t="s">
        <v>155</v>
      </c>
      <c r="E4696" s="5"/>
      <c r="G4696" s="5"/>
      <c r="H4696" s="5"/>
    </row>
    <row r="4697" spans="1:9" x14ac:dyDescent="0.2">
      <c r="A4697" s="5"/>
      <c r="B4697" s="5" t="s">
        <v>5127</v>
      </c>
      <c r="C4697" s="5"/>
      <c r="D4697" s="5" t="s">
        <v>13</v>
      </c>
      <c r="E4697" s="5"/>
      <c r="G4697" s="5"/>
      <c r="H4697" s="5"/>
    </row>
    <row r="4698" spans="1:9" x14ac:dyDescent="0.2">
      <c r="A4698" s="5" t="s">
        <v>5157</v>
      </c>
      <c r="B4698" s="5" t="s">
        <v>5031</v>
      </c>
      <c r="C4698" s="8">
        <v>1295</v>
      </c>
      <c r="D4698" s="5" t="s">
        <v>42</v>
      </c>
      <c r="E4698" s="5"/>
      <c r="G4698" s="5"/>
      <c r="H4698" s="5"/>
    </row>
    <row r="4699" spans="1:9" x14ac:dyDescent="0.2">
      <c r="A4699" s="5" t="s">
        <v>5158</v>
      </c>
      <c r="B4699" s="5" t="s">
        <v>5035</v>
      </c>
      <c r="C4699" s="8">
        <v>648</v>
      </c>
      <c r="D4699" s="5" t="s">
        <v>42</v>
      </c>
      <c r="E4699" s="5"/>
      <c r="G4699" s="5"/>
      <c r="H4699" s="5"/>
    </row>
    <row r="4700" spans="1:9" x14ac:dyDescent="0.2">
      <c r="A4700" s="5" t="s">
        <v>5159</v>
      </c>
      <c r="B4700" s="5" t="s">
        <v>5131</v>
      </c>
      <c r="C4700" s="8">
        <v>1999</v>
      </c>
      <c r="D4700" s="5" t="s">
        <v>42</v>
      </c>
      <c r="E4700" s="5"/>
      <c r="G4700" s="5"/>
      <c r="H4700" s="5"/>
    </row>
    <row r="4701" spans="1:9" x14ac:dyDescent="0.2">
      <c r="B4701" s="6" t="s">
        <v>5160</v>
      </c>
      <c r="C4701" s="6"/>
      <c r="D4701" s="6"/>
      <c r="E4701" s="6"/>
      <c r="F4701" s="9">
        <f>SUM(H4613:H4701)</f>
        <v>0</v>
      </c>
      <c r="G4701" s="6"/>
      <c r="I4701" s="9">
        <f>PRODUCT(F4701,G4701)</f>
        <v>0</v>
      </c>
    </row>
    <row r="4703" spans="1:9" x14ac:dyDescent="0.2">
      <c r="A4703" s="6" t="s">
        <v>5161</v>
      </c>
      <c r="B4703" s="6" t="s">
        <v>5162</v>
      </c>
    </row>
    <row r="4704" spans="1:9" x14ac:dyDescent="0.2">
      <c r="A4704" s="5"/>
      <c r="B4704" s="5" t="s">
        <v>64</v>
      </c>
      <c r="C4704" s="5"/>
      <c r="D4704" s="5" t="s">
        <v>13</v>
      </c>
      <c r="E4704" s="5"/>
      <c r="G4704" s="5"/>
      <c r="H4704" s="5"/>
    </row>
    <row r="4705" spans="1:8" x14ac:dyDescent="0.2">
      <c r="A4705" s="5" t="s">
        <v>5163</v>
      </c>
      <c r="B4705" s="5" t="s">
        <v>66</v>
      </c>
      <c r="C4705" s="5"/>
      <c r="D4705" s="5" t="s">
        <v>18</v>
      </c>
      <c r="E4705" s="5"/>
      <c r="G4705" s="5"/>
      <c r="H4705" s="5"/>
    </row>
    <row r="4706" spans="1:8" x14ac:dyDescent="0.2">
      <c r="A4706" s="5" t="s">
        <v>5164</v>
      </c>
      <c r="B4706" s="5" t="s">
        <v>68</v>
      </c>
      <c r="C4706" s="5"/>
      <c r="D4706" s="5" t="s">
        <v>18</v>
      </c>
      <c r="E4706" s="5"/>
      <c r="G4706" s="5"/>
      <c r="H4706" s="5"/>
    </row>
    <row r="4707" spans="1:8" x14ac:dyDescent="0.2">
      <c r="A4707" s="5"/>
      <c r="B4707" s="5" t="s">
        <v>71</v>
      </c>
      <c r="C4707" s="5"/>
      <c r="D4707" s="5" t="s">
        <v>13</v>
      </c>
      <c r="E4707" s="5"/>
      <c r="G4707" s="5"/>
      <c r="H4707" s="5"/>
    </row>
    <row r="4708" spans="1:8" x14ac:dyDescent="0.2">
      <c r="A4708" s="5" t="s">
        <v>5165</v>
      </c>
      <c r="B4708" s="5" t="s">
        <v>5166</v>
      </c>
      <c r="C4708" s="5"/>
      <c r="D4708" s="5" t="s">
        <v>18</v>
      </c>
      <c r="E4708" s="5"/>
      <c r="G4708" s="5"/>
      <c r="H4708" s="5"/>
    </row>
    <row r="4709" spans="1:8" x14ac:dyDescent="0.2">
      <c r="A4709" s="5" t="s">
        <v>5167</v>
      </c>
      <c r="B4709" s="5" t="s">
        <v>269</v>
      </c>
      <c r="C4709" s="5"/>
      <c r="D4709" s="5" t="s">
        <v>18</v>
      </c>
      <c r="E4709" s="5"/>
      <c r="G4709" s="5"/>
      <c r="H4709" s="5"/>
    </row>
    <row r="4710" spans="1:8" x14ac:dyDescent="0.2">
      <c r="A4710" s="5" t="s">
        <v>5168</v>
      </c>
      <c r="B4710" s="5" t="s">
        <v>2482</v>
      </c>
      <c r="C4710" s="5"/>
      <c r="D4710" s="5" t="s">
        <v>18</v>
      </c>
      <c r="E4710" s="5"/>
      <c r="G4710" s="5"/>
      <c r="H4710" s="5"/>
    </row>
    <row r="4711" spans="1:8" x14ac:dyDescent="0.2">
      <c r="A4711" s="5"/>
      <c r="B4711" s="5" t="s">
        <v>76</v>
      </c>
      <c r="C4711" s="5"/>
      <c r="D4711" s="5" t="s">
        <v>13</v>
      </c>
      <c r="E4711" s="5"/>
      <c r="G4711" s="5"/>
      <c r="H4711" s="5"/>
    </row>
    <row r="4712" spans="1:8" x14ac:dyDescent="0.2">
      <c r="A4712" s="5"/>
      <c r="B4712" s="5" t="s">
        <v>77</v>
      </c>
      <c r="C4712" s="5"/>
      <c r="D4712" s="5" t="s">
        <v>15</v>
      </c>
      <c r="E4712" s="5"/>
      <c r="G4712" s="5"/>
      <c r="H4712" s="5"/>
    </row>
    <row r="4713" spans="1:8" x14ac:dyDescent="0.2">
      <c r="A4713" s="5" t="s">
        <v>5169</v>
      </c>
      <c r="B4713" s="5" t="s">
        <v>3915</v>
      </c>
      <c r="C4713" s="5"/>
      <c r="D4713" s="5" t="s">
        <v>18</v>
      </c>
      <c r="E4713" s="5"/>
      <c r="G4713" s="5"/>
      <c r="H4713" s="5"/>
    </row>
    <row r="4714" spans="1:8" x14ac:dyDescent="0.2">
      <c r="A4714" s="5" t="s">
        <v>5170</v>
      </c>
      <c r="B4714" s="5" t="s">
        <v>3917</v>
      </c>
      <c r="C4714" s="5"/>
      <c r="D4714" s="5" t="s">
        <v>18</v>
      </c>
      <c r="E4714" s="5"/>
      <c r="G4714" s="5"/>
      <c r="H4714" s="5"/>
    </row>
    <row r="4715" spans="1:8" x14ac:dyDescent="0.2">
      <c r="A4715" s="5" t="s">
        <v>5171</v>
      </c>
      <c r="B4715" s="5" t="s">
        <v>299</v>
      </c>
      <c r="C4715" s="5"/>
      <c r="D4715" s="5" t="s">
        <v>18</v>
      </c>
      <c r="E4715" s="5"/>
      <c r="G4715" s="5"/>
      <c r="H4715" s="5"/>
    </row>
    <row r="4716" spans="1:8" x14ac:dyDescent="0.2">
      <c r="A4716" s="5"/>
      <c r="B4716" s="5" t="s">
        <v>94</v>
      </c>
      <c r="C4716" s="5"/>
      <c r="D4716" s="5" t="s">
        <v>13</v>
      </c>
      <c r="E4716" s="5"/>
      <c r="G4716" s="5"/>
      <c r="H4716" s="5"/>
    </row>
    <row r="4717" spans="1:8" x14ac:dyDescent="0.2">
      <c r="A4717" s="5" t="s">
        <v>5172</v>
      </c>
      <c r="B4717" s="5" t="s">
        <v>4295</v>
      </c>
      <c r="C4717" s="8">
        <v>1</v>
      </c>
      <c r="D4717" s="5" t="s">
        <v>97</v>
      </c>
      <c r="E4717" s="5"/>
      <c r="G4717" s="5"/>
      <c r="H4717" s="5"/>
    </row>
    <row r="4718" spans="1:8" x14ac:dyDescent="0.2">
      <c r="A4718" s="5" t="s">
        <v>5173</v>
      </c>
      <c r="B4718" s="5" t="s">
        <v>2758</v>
      </c>
      <c r="C4718" s="8">
        <v>1</v>
      </c>
      <c r="D4718" s="5" t="s">
        <v>97</v>
      </c>
      <c r="E4718" s="5"/>
      <c r="G4718" s="5"/>
      <c r="H4718" s="5"/>
    </row>
    <row r="4719" spans="1:8" x14ac:dyDescent="0.2">
      <c r="A4719" s="5" t="s">
        <v>5174</v>
      </c>
      <c r="B4719" s="5" t="s">
        <v>305</v>
      </c>
      <c r="C4719" s="8">
        <v>1</v>
      </c>
      <c r="D4719" s="5" t="s">
        <v>97</v>
      </c>
      <c r="E4719" s="5"/>
      <c r="G4719" s="5"/>
      <c r="H4719" s="5"/>
    </row>
    <row r="4720" spans="1:8" x14ac:dyDescent="0.2">
      <c r="A4720" s="5" t="s">
        <v>5175</v>
      </c>
      <c r="B4720" s="5" t="s">
        <v>3332</v>
      </c>
      <c r="C4720" s="8">
        <v>1</v>
      </c>
      <c r="D4720" s="5" t="s">
        <v>97</v>
      </c>
      <c r="E4720" s="5"/>
      <c r="G4720" s="5"/>
      <c r="H4720" s="5"/>
    </row>
    <row r="4721" spans="1:8" x14ac:dyDescent="0.2">
      <c r="A4721" s="5" t="s">
        <v>5176</v>
      </c>
      <c r="B4721" s="5" t="s">
        <v>589</v>
      </c>
      <c r="C4721" s="8">
        <v>1</v>
      </c>
      <c r="D4721" s="5" t="s">
        <v>97</v>
      </c>
      <c r="E4721" s="5"/>
      <c r="G4721" s="5"/>
      <c r="H4721" s="5"/>
    </row>
    <row r="4722" spans="1:8" x14ac:dyDescent="0.2">
      <c r="A4722" s="5" t="s">
        <v>5177</v>
      </c>
      <c r="B4722" s="5" t="s">
        <v>2979</v>
      </c>
      <c r="C4722" s="8">
        <v>1</v>
      </c>
      <c r="D4722" s="5" t="s">
        <v>97</v>
      </c>
      <c r="E4722" s="5"/>
      <c r="G4722" s="5"/>
      <c r="H4722" s="5"/>
    </row>
    <row r="4723" spans="1:8" x14ac:dyDescent="0.2">
      <c r="A4723" s="5" t="s">
        <v>5178</v>
      </c>
      <c r="B4723" s="5" t="s">
        <v>111</v>
      </c>
      <c r="C4723" s="8">
        <v>1</v>
      </c>
      <c r="D4723" s="5" t="s">
        <v>97</v>
      </c>
      <c r="E4723" s="5"/>
      <c r="G4723" s="5"/>
      <c r="H4723" s="5"/>
    </row>
    <row r="4724" spans="1:8" x14ac:dyDescent="0.2">
      <c r="A4724" s="5" t="s">
        <v>5179</v>
      </c>
      <c r="B4724" s="5" t="s">
        <v>5000</v>
      </c>
      <c r="C4724" s="8">
        <v>1</v>
      </c>
      <c r="D4724" s="5" t="s">
        <v>97</v>
      </c>
      <c r="E4724" s="5"/>
      <c r="G4724" s="5"/>
      <c r="H4724" s="5"/>
    </row>
    <row r="4725" spans="1:8" x14ac:dyDescent="0.2">
      <c r="A4725" s="5" t="s">
        <v>5180</v>
      </c>
      <c r="B4725" s="5" t="s">
        <v>5002</v>
      </c>
      <c r="C4725" s="8">
        <v>1</v>
      </c>
      <c r="D4725" s="5" t="s">
        <v>97</v>
      </c>
      <c r="E4725" s="5"/>
      <c r="G4725" s="5"/>
      <c r="H4725" s="5"/>
    </row>
    <row r="4726" spans="1:8" x14ac:dyDescent="0.2">
      <c r="A4726" s="5" t="s">
        <v>5181</v>
      </c>
      <c r="B4726" s="5" t="s">
        <v>3342</v>
      </c>
      <c r="C4726" s="8">
        <v>1</v>
      </c>
      <c r="D4726" s="5" t="s">
        <v>97</v>
      </c>
      <c r="E4726" s="5"/>
      <c r="G4726" s="5"/>
      <c r="H4726" s="5"/>
    </row>
    <row r="4727" spans="1:8" x14ac:dyDescent="0.2">
      <c r="A4727" s="5" t="s">
        <v>5182</v>
      </c>
      <c r="B4727" s="5" t="s">
        <v>2761</v>
      </c>
      <c r="C4727" s="8">
        <v>1</v>
      </c>
      <c r="D4727" s="5" t="s">
        <v>97</v>
      </c>
      <c r="E4727" s="5"/>
      <c r="G4727" s="5"/>
      <c r="H4727" s="5"/>
    </row>
    <row r="4728" spans="1:8" x14ac:dyDescent="0.2">
      <c r="A4728" s="5"/>
      <c r="B4728" s="5" t="s">
        <v>135</v>
      </c>
      <c r="C4728" s="5"/>
      <c r="D4728" s="5" t="s">
        <v>13</v>
      </c>
      <c r="E4728" s="5"/>
      <c r="G4728" s="5"/>
      <c r="H4728" s="5"/>
    </row>
    <row r="4729" spans="1:8" x14ac:dyDescent="0.2">
      <c r="A4729" s="5" t="s">
        <v>5183</v>
      </c>
      <c r="B4729" s="5" t="s">
        <v>5006</v>
      </c>
      <c r="C4729" s="5"/>
      <c r="D4729" s="5" t="s">
        <v>18</v>
      </c>
      <c r="E4729" s="5"/>
      <c r="G4729" s="5"/>
      <c r="H4729" s="5"/>
    </row>
    <row r="4730" spans="1:8" x14ac:dyDescent="0.2">
      <c r="A4730" s="5" t="s">
        <v>5184</v>
      </c>
      <c r="B4730" s="5" t="s">
        <v>5185</v>
      </c>
      <c r="C4730" s="5"/>
      <c r="D4730" s="5" t="s">
        <v>18</v>
      </c>
      <c r="E4730" s="5"/>
      <c r="G4730" s="5"/>
      <c r="H4730" s="5"/>
    </row>
    <row r="4731" spans="1:8" x14ac:dyDescent="0.2">
      <c r="A4731" s="5" t="s">
        <v>5186</v>
      </c>
      <c r="B4731" s="5" t="s">
        <v>4909</v>
      </c>
      <c r="C4731" s="5"/>
      <c r="D4731" s="5" t="s">
        <v>18</v>
      </c>
      <c r="E4731" s="5"/>
      <c r="G4731" s="5"/>
      <c r="H4731" s="5"/>
    </row>
    <row r="4732" spans="1:8" x14ac:dyDescent="0.2">
      <c r="A4732" s="5"/>
      <c r="B4732" s="5" t="s">
        <v>38</v>
      </c>
      <c r="C4732" s="5"/>
      <c r="D4732" s="5" t="s">
        <v>13</v>
      </c>
      <c r="E4732" s="5"/>
      <c r="G4732" s="5"/>
      <c r="H4732" s="5"/>
    </row>
    <row r="4733" spans="1:8" x14ac:dyDescent="0.2">
      <c r="A4733" s="5"/>
      <c r="B4733" s="5" t="s">
        <v>5187</v>
      </c>
      <c r="C4733" s="5"/>
      <c r="D4733" s="5" t="s">
        <v>15</v>
      </c>
      <c r="E4733" s="5"/>
      <c r="G4733" s="5"/>
      <c r="H4733" s="5"/>
    </row>
    <row r="4734" spans="1:8" x14ac:dyDescent="0.2">
      <c r="A4734" s="5"/>
      <c r="B4734" s="5" t="s">
        <v>5188</v>
      </c>
      <c r="C4734" s="5"/>
      <c r="D4734" s="5" t="s">
        <v>322</v>
      </c>
      <c r="E4734" s="5"/>
      <c r="G4734" s="5"/>
      <c r="H4734" s="5"/>
    </row>
    <row r="4735" spans="1:8" x14ac:dyDescent="0.2">
      <c r="A4735" s="5" t="s">
        <v>5189</v>
      </c>
      <c r="B4735" s="5" t="s">
        <v>3017</v>
      </c>
      <c r="C4735" s="8">
        <v>98</v>
      </c>
      <c r="D4735" s="5" t="s">
        <v>42</v>
      </c>
      <c r="E4735" s="5"/>
      <c r="G4735" s="5"/>
      <c r="H4735" s="5"/>
    </row>
    <row r="4736" spans="1:8" x14ac:dyDescent="0.2">
      <c r="A4736" s="5" t="s">
        <v>5190</v>
      </c>
      <c r="B4736" s="5" t="s">
        <v>2992</v>
      </c>
      <c r="C4736" s="8">
        <v>2</v>
      </c>
      <c r="D4736" s="5" t="s">
        <v>42</v>
      </c>
      <c r="E4736" s="5"/>
      <c r="G4736" s="5"/>
      <c r="H4736" s="5"/>
    </row>
    <row r="4737" spans="1:9" x14ac:dyDescent="0.2">
      <c r="A4737" s="5"/>
      <c r="B4737" s="5" t="s">
        <v>5191</v>
      </c>
      <c r="C4737" s="5"/>
      <c r="D4737" s="5" t="s">
        <v>322</v>
      </c>
      <c r="E4737" s="5"/>
      <c r="G4737" s="5"/>
      <c r="H4737" s="5"/>
    </row>
    <row r="4738" spans="1:9" x14ac:dyDescent="0.2">
      <c r="A4738" s="5" t="s">
        <v>5192</v>
      </c>
      <c r="B4738" s="5" t="s">
        <v>3017</v>
      </c>
      <c r="C4738" s="8">
        <v>68</v>
      </c>
      <c r="D4738" s="5" t="s">
        <v>42</v>
      </c>
      <c r="E4738" s="5"/>
      <c r="G4738" s="5"/>
      <c r="H4738" s="5"/>
    </row>
    <row r="4739" spans="1:9" x14ac:dyDescent="0.2">
      <c r="A4739" s="5" t="s">
        <v>5193</v>
      </c>
      <c r="B4739" s="5" t="s">
        <v>2988</v>
      </c>
      <c r="C4739" s="8">
        <v>48</v>
      </c>
      <c r="D4739" s="5" t="s">
        <v>42</v>
      </c>
      <c r="E4739" s="5"/>
      <c r="G4739" s="5"/>
      <c r="H4739" s="5"/>
    </row>
    <row r="4740" spans="1:9" x14ac:dyDescent="0.2">
      <c r="A4740" s="5" t="s">
        <v>5194</v>
      </c>
      <c r="B4740" s="5" t="s">
        <v>2990</v>
      </c>
      <c r="C4740" s="8">
        <v>48</v>
      </c>
      <c r="D4740" s="5" t="s">
        <v>42</v>
      </c>
      <c r="E4740" s="5"/>
      <c r="G4740" s="5"/>
      <c r="H4740" s="5"/>
    </row>
    <row r="4741" spans="1:9" x14ac:dyDescent="0.2">
      <c r="A4741" s="5" t="s">
        <v>5195</v>
      </c>
      <c r="B4741" s="5" t="s">
        <v>2992</v>
      </c>
      <c r="C4741" s="8">
        <v>48</v>
      </c>
      <c r="D4741" s="5" t="s">
        <v>42</v>
      </c>
      <c r="E4741" s="5"/>
      <c r="G4741" s="5"/>
      <c r="H4741" s="5"/>
    </row>
    <row r="4742" spans="1:9" x14ac:dyDescent="0.2">
      <c r="A4742" s="5"/>
      <c r="B4742" s="5" t="s">
        <v>53</v>
      </c>
      <c r="C4742" s="5"/>
      <c r="D4742" s="5" t="s">
        <v>13</v>
      </c>
      <c r="E4742" s="5"/>
      <c r="G4742" s="5"/>
      <c r="H4742" s="5"/>
    </row>
    <row r="4743" spans="1:9" x14ac:dyDescent="0.2">
      <c r="A4743" s="5"/>
      <c r="B4743" s="5" t="s">
        <v>5196</v>
      </c>
      <c r="C4743" s="5"/>
      <c r="D4743" s="5" t="s">
        <v>322</v>
      </c>
      <c r="E4743" s="5"/>
      <c r="G4743" s="5"/>
      <c r="H4743" s="5"/>
    </row>
    <row r="4744" spans="1:9" x14ac:dyDescent="0.2">
      <c r="A4744" s="5" t="s">
        <v>5197</v>
      </c>
      <c r="B4744" s="5" t="s">
        <v>3017</v>
      </c>
      <c r="C4744" s="8">
        <v>21</v>
      </c>
      <c r="D4744" s="5" t="s">
        <v>42</v>
      </c>
      <c r="E4744" s="5"/>
      <c r="G4744" s="5"/>
      <c r="H4744" s="5"/>
    </row>
    <row r="4745" spans="1:9" x14ac:dyDescent="0.2">
      <c r="A4745" s="5" t="s">
        <v>5198</v>
      </c>
      <c r="B4745" s="5" t="s">
        <v>2988</v>
      </c>
      <c r="C4745" s="8">
        <v>32</v>
      </c>
      <c r="D4745" s="5" t="s">
        <v>42</v>
      </c>
      <c r="E4745" s="5"/>
      <c r="G4745" s="5"/>
      <c r="H4745" s="5"/>
    </row>
    <row r="4746" spans="1:9" x14ac:dyDescent="0.2">
      <c r="A4746" s="5" t="s">
        <v>5199</v>
      </c>
      <c r="B4746" s="5" t="s">
        <v>2990</v>
      </c>
      <c r="C4746" s="8">
        <v>36</v>
      </c>
      <c r="D4746" s="5" t="s">
        <v>42</v>
      </c>
      <c r="E4746" s="5"/>
      <c r="G4746" s="5"/>
      <c r="H4746" s="5"/>
    </row>
    <row r="4747" spans="1:9" x14ac:dyDescent="0.2">
      <c r="B4747" s="6" t="s">
        <v>5200</v>
      </c>
      <c r="C4747" s="6"/>
      <c r="D4747" s="6"/>
      <c r="E4747" s="6"/>
      <c r="F4747" s="9">
        <f>SUM(H4704:H4747)</f>
        <v>0</v>
      </c>
      <c r="G4747" s="6"/>
      <c r="I4747" s="9">
        <f>PRODUCT(F4747,G4747)</f>
        <v>0</v>
      </c>
    </row>
    <row r="4749" spans="1:9" x14ac:dyDescent="0.2">
      <c r="A4749" s="6" t="s">
        <v>5201</v>
      </c>
      <c r="B4749" s="6" t="s">
        <v>5202</v>
      </c>
    </row>
    <row r="4750" spans="1:9" x14ac:dyDescent="0.2">
      <c r="A4750" s="5"/>
      <c r="B4750" s="5" t="s">
        <v>64</v>
      </c>
      <c r="C4750" s="5"/>
      <c r="D4750" s="5" t="s">
        <v>13</v>
      </c>
      <c r="E4750" s="5"/>
      <c r="G4750" s="5"/>
      <c r="H4750" s="5"/>
    </row>
    <row r="4751" spans="1:9" x14ac:dyDescent="0.2">
      <c r="A4751" s="5" t="s">
        <v>5203</v>
      </c>
      <c r="B4751" s="5" t="s">
        <v>66</v>
      </c>
      <c r="C4751" s="5"/>
      <c r="D4751" s="5" t="s">
        <v>18</v>
      </c>
      <c r="E4751" s="5"/>
      <c r="G4751" s="5"/>
      <c r="H4751" s="5"/>
    </row>
    <row r="4752" spans="1:9" x14ac:dyDescent="0.2">
      <c r="A4752" s="5" t="s">
        <v>5204</v>
      </c>
      <c r="B4752" s="5" t="s">
        <v>68</v>
      </c>
      <c r="C4752" s="5"/>
      <c r="D4752" s="5" t="s">
        <v>18</v>
      </c>
      <c r="E4752" s="5"/>
      <c r="G4752" s="5"/>
      <c r="H4752" s="5"/>
    </row>
    <row r="4753" spans="1:8" x14ac:dyDescent="0.2">
      <c r="A4753" s="5"/>
      <c r="B4753" s="5" t="s">
        <v>71</v>
      </c>
      <c r="C4753" s="5"/>
      <c r="D4753" s="5" t="s">
        <v>13</v>
      </c>
      <c r="E4753" s="5"/>
      <c r="G4753" s="5"/>
      <c r="H4753" s="5"/>
    </row>
    <row r="4754" spans="1:8" x14ac:dyDescent="0.2">
      <c r="A4754" s="5" t="s">
        <v>5205</v>
      </c>
      <c r="B4754" s="5" t="s">
        <v>5206</v>
      </c>
      <c r="C4754" s="5"/>
      <c r="D4754" s="5" t="s">
        <v>18</v>
      </c>
      <c r="E4754" s="5"/>
      <c r="G4754" s="5"/>
      <c r="H4754" s="5"/>
    </row>
    <row r="4755" spans="1:8" x14ac:dyDescent="0.2">
      <c r="A4755" s="5" t="s">
        <v>5207</v>
      </c>
      <c r="B4755" s="5" t="s">
        <v>269</v>
      </c>
      <c r="C4755" s="5"/>
      <c r="D4755" s="5" t="s">
        <v>18</v>
      </c>
      <c r="E4755" s="5"/>
      <c r="G4755" s="5"/>
      <c r="H4755" s="5"/>
    </row>
    <row r="4756" spans="1:8" x14ac:dyDescent="0.2">
      <c r="A4756" s="5" t="s">
        <v>5208</v>
      </c>
      <c r="B4756" s="5" t="s">
        <v>5209</v>
      </c>
      <c r="C4756" s="5"/>
      <c r="D4756" s="5" t="s">
        <v>18</v>
      </c>
      <c r="E4756" s="5"/>
      <c r="G4756" s="5"/>
      <c r="H4756" s="5"/>
    </row>
    <row r="4757" spans="1:8" x14ac:dyDescent="0.2">
      <c r="A4757" s="5" t="s">
        <v>5210</v>
      </c>
      <c r="B4757" s="5" t="s">
        <v>2279</v>
      </c>
      <c r="C4757" s="5"/>
      <c r="D4757" s="5" t="s">
        <v>18</v>
      </c>
      <c r="E4757" s="5"/>
      <c r="G4757" s="5"/>
      <c r="H4757" s="5"/>
    </row>
    <row r="4758" spans="1:8" x14ac:dyDescent="0.2">
      <c r="A4758" s="5"/>
      <c r="B4758" s="5" t="s">
        <v>76</v>
      </c>
      <c r="C4758" s="5"/>
      <c r="D4758" s="5" t="s">
        <v>13</v>
      </c>
      <c r="E4758" s="5"/>
      <c r="G4758" s="5"/>
      <c r="H4758" s="5"/>
    </row>
    <row r="4759" spans="1:8" x14ac:dyDescent="0.2">
      <c r="A4759" s="5"/>
      <c r="B4759" s="5" t="s">
        <v>77</v>
      </c>
      <c r="C4759" s="5"/>
      <c r="D4759" s="5" t="s">
        <v>15</v>
      </c>
      <c r="E4759" s="5"/>
      <c r="G4759" s="5"/>
      <c r="H4759" s="5"/>
    </row>
    <row r="4760" spans="1:8" x14ac:dyDescent="0.2">
      <c r="A4760" s="5" t="s">
        <v>5211</v>
      </c>
      <c r="B4760" s="5" t="s">
        <v>5212</v>
      </c>
      <c r="C4760" s="5"/>
      <c r="D4760" s="5" t="s">
        <v>18</v>
      </c>
      <c r="E4760" s="5"/>
      <c r="G4760" s="5"/>
      <c r="H4760" s="5"/>
    </row>
    <row r="4761" spans="1:8" x14ac:dyDescent="0.2">
      <c r="A4761" s="5" t="s">
        <v>5213</v>
      </c>
      <c r="B4761" s="5" t="s">
        <v>5214</v>
      </c>
      <c r="C4761" s="5"/>
      <c r="D4761" s="5" t="s">
        <v>18</v>
      </c>
      <c r="E4761" s="5"/>
      <c r="G4761" s="5"/>
      <c r="H4761" s="5"/>
    </row>
    <row r="4762" spans="1:8" x14ac:dyDescent="0.2">
      <c r="A4762" s="5" t="s">
        <v>5215</v>
      </c>
      <c r="B4762" s="5" t="s">
        <v>5216</v>
      </c>
      <c r="C4762" s="5"/>
      <c r="D4762" s="5" t="s">
        <v>18</v>
      </c>
      <c r="E4762" s="5"/>
      <c r="G4762" s="5"/>
      <c r="H4762" s="5"/>
    </row>
    <row r="4763" spans="1:8" x14ac:dyDescent="0.2">
      <c r="A4763" s="5" t="s">
        <v>5217</v>
      </c>
      <c r="B4763" s="5" t="s">
        <v>5218</v>
      </c>
      <c r="C4763" s="5"/>
      <c r="D4763" s="5" t="s">
        <v>18</v>
      </c>
      <c r="E4763" s="5"/>
      <c r="G4763" s="5"/>
      <c r="H4763" s="5"/>
    </row>
    <row r="4764" spans="1:8" x14ac:dyDescent="0.2">
      <c r="A4764" s="5" t="s">
        <v>5219</v>
      </c>
      <c r="B4764" s="5" t="s">
        <v>5220</v>
      </c>
      <c r="C4764" s="5"/>
      <c r="D4764" s="5" t="s">
        <v>18</v>
      </c>
      <c r="E4764" s="5"/>
      <c r="G4764" s="5"/>
      <c r="H4764" s="5"/>
    </row>
    <row r="4765" spans="1:8" x14ac:dyDescent="0.2">
      <c r="A4765" s="5" t="s">
        <v>5221</v>
      </c>
      <c r="B4765" s="5" t="s">
        <v>5222</v>
      </c>
      <c r="C4765" s="5"/>
      <c r="D4765" s="5" t="s">
        <v>18</v>
      </c>
      <c r="E4765" s="5"/>
      <c r="G4765" s="5"/>
      <c r="H4765" s="5"/>
    </row>
    <row r="4766" spans="1:8" x14ac:dyDescent="0.2">
      <c r="A4766" s="5" t="s">
        <v>5223</v>
      </c>
      <c r="B4766" s="5" t="s">
        <v>5224</v>
      </c>
      <c r="C4766" s="5"/>
      <c r="D4766" s="5" t="s">
        <v>18</v>
      </c>
      <c r="E4766" s="5"/>
      <c r="G4766" s="5"/>
      <c r="H4766" s="5"/>
    </row>
    <row r="4767" spans="1:8" x14ac:dyDescent="0.2">
      <c r="A4767" s="5" t="s">
        <v>5225</v>
      </c>
      <c r="B4767" s="5" t="s">
        <v>299</v>
      </c>
      <c r="C4767" s="5"/>
      <c r="D4767" s="5" t="s">
        <v>18</v>
      </c>
      <c r="E4767" s="5"/>
      <c r="G4767" s="5"/>
      <c r="H4767" s="5"/>
    </row>
    <row r="4768" spans="1:8" x14ac:dyDescent="0.2">
      <c r="A4768" s="5"/>
      <c r="B4768" s="5" t="s">
        <v>94</v>
      </c>
      <c r="C4768" s="5"/>
      <c r="D4768" s="5" t="s">
        <v>13</v>
      </c>
      <c r="E4768" s="5"/>
      <c r="G4768" s="5"/>
      <c r="H4768" s="5"/>
    </row>
    <row r="4769" spans="1:8" x14ac:dyDescent="0.2">
      <c r="A4769" s="5" t="s">
        <v>5226</v>
      </c>
      <c r="B4769" s="5" t="s">
        <v>212</v>
      </c>
      <c r="C4769" s="8">
        <v>1</v>
      </c>
      <c r="D4769" s="5" t="s">
        <v>97</v>
      </c>
      <c r="E4769" s="5"/>
      <c r="G4769" s="5"/>
      <c r="H4769" s="5"/>
    </row>
    <row r="4770" spans="1:8" x14ac:dyDescent="0.2">
      <c r="A4770" s="5" t="s">
        <v>5227</v>
      </c>
      <c r="B4770" s="5" t="s">
        <v>5228</v>
      </c>
      <c r="C4770" s="8">
        <v>1</v>
      </c>
      <c r="D4770" s="5" t="s">
        <v>97</v>
      </c>
      <c r="E4770" s="5"/>
      <c r="G4770" s="5"/>
      <c r="H4770" s="5"/>
    </row>
    <row r="4771" spans="1:8" x14ac:dyDescent="0.2">
      <c r="A4771" s="5" t="s">
        <v>5229</v>
      </c>
      <c r="B4771" s="5" t="s">
        <v>5230</v>
      </c>
      <c r="C4771" s="8">
        <v>1</v>
      </c>
      <c r="D4771" s="5" t="s">
        <v>97</v>
      </c>
      <c r="E4771" s="5"/>
      <c r="G4771" s="5"/>
      <c r="H4771" s="5"/>
    </row>
    <row r="4772" spans="1:8" x14ac:dyDescent="0.2">
      <c r="A4772" s="5" t="s">
        <v>5231</v>
      </c>
      <c r="B4772" s="5" t="s">
        <v>589</v>
      </c>
      <c r="C4772" s="8">
        <v>1</v>
      </c>
      <c r="D4772" s="5" t="s">
        <v>97</v>
      </c>
      <c r="E4772" s="5"/>
      <c r="G4772" s="5"/>
      <c r="H4772" s="5"/>
    </row>
    <row r="4773" spans="1:8" x14ac:dyDescent="0.2">
      <c r="A4773" s="5" t="s">
        <v>5232</v>
      </c>
      <c r="B4773" s="5" t="s">
        <v>2979</v>
      </c>
      <c r="C4773" s="8">
        <v>1</v>
      </c>
      <c r="D4773" s="5" t="s">
        <v>97</v>
      </c>
      <c r="E4773" s="5"/>
      <c r="G4773" s="5"/>
      <c r="H4773" s="5"/>
    </row>
    <row r="4774" spans="1:8" x14ac:dyDescent="0.2">
      <c r="A4774" s="5" t="s">
        <v>5233</v>
      </c>
      <c r="B4774" s="5" t="s">
        <v>113</v>
      </c>
      <c r="C4774" s="8">
        <v>1</v>
      </c>
      <c r="D4774" s="5" t="s">
        <v>97</v>
      </c>
      <c r="E4774" s="5"/>
      <c r="G4774" s="5"/>
      <c r="H4774" s="5"/>
    </row>
    <row r="4775" spans="1:8" x14ac:dyDescent="0.2">
      <c r="A4775" s="5" t="s">
        <v>5234</v>
      </c>
      <c r="B4775" s="5" t="s">
        <v>111</v>
      </c>
      <c r="C4775" s="8">
        <v>1</v>
      </c>
      <c r="D4775" s="5" t="s">
        <v>97</v>
      </c>
      <c r="E4775" s="5"/>
      <c r="G4775" s="5"/>
      <c r="H4775" s="5"/>
    </row>
    <row r="4776" spans="1:8" x14ac:dyDescent="0.2">
      <c r="A4776" s="5" t="s">
        <v>5235</v>
      </c>
      <c r="B4776" s="5" t="s">
        <v>5236</v>
      </c>
      <c r="C4776" s="8">
        <v>1</v>
      </c>
      <c r="D4776" s="5" t="s">
        <v>97</v>
      </c>
      <c r="E4776" s="5"/>
      <c r="G4776" s="5"/>
      <c r="H4776" s="5"/>
    </row>
    <row r="4777" spans="1:8" x14ac:dyDescent="0.2">
      <c r="A4777" s="5" t="s">
        <v>5237</v>
      </c>
      <c r="B4777" s="5" t="s">
        <v>2761</v>
      </c>
      <c r="C4777" s="8">
        <v>1</v>
      </c>
      <c r="D4777" s="5" t="s">
        <v>97</v>
      </c>
      <c r="E4777" s="5"/>
      <c r="G4777" s="5"/>
      <c r="H4777" s="5"/>
    </row>
    <row r="4778" spans="1:8" x14ac:dyDescent="0.2">
      <c r="A4778" s="5"/>
      <c r="B4778" s="5" t="s">
        <v>135</v>
      </c>
      <c r="C4778" s="5"/>
      <c r="D4778" s="5" t="s">
        <v>13</v>
      </c>
      <c r="E4778" s="5"/>
      <c r="G4778" s="5"/>
      <c r="H4778" s="5"/>
    </row>
    <row r="4779" spans="1:8" x14ac:dyDescent="0.2">
      <c r="A4779" s="5" t="s">
        <v>5238</v>
      </c>
      <c r="B4779" s="5" t="s">
        <v>5239</v>
      </c>
      <c r="C4779" s="5"/>
      <c r="D4779" s="5" t="s">
        <v>608</v>
      </c>
      <c r="E4779" s="5"/>
      <c r="G4779" s="5"/>
      <c r="H4779" s="5"/>
    </row>
    <row r="4780" spans="1:8" x14ac:dyDescent="0.2">
      <c r="A4780" s="5" t="s">
        <v>5240</v>
      </c>
      <c r="B4780" s="5" t="s">
        <v>5241</v>
      </c>
      <c r="C4780" s="5"/>
      <c r="D4780" s="5" t="s">
        <v>18</v>
      </c>
      <c r="E4780" s="5"/>
      <c r="G4780" s="5"/>
      <c r="H4780" s="5"/>
    </row>
    <row r="4781" spans="1:8" x14ac:dyDescent="0.2">
      <c r="A4781" s="5"/>
      <c r="B4781" s="5" t="s">
        <v>38</v>
      </c>
      <c r="C4781" s="5"/>
      <c r="D4781" s="5" t="s">
        <v>13</v>
      </c>
      <c r="E4781" s="5"/>
      <c r="G4781" s="5"/>
      <c r="H4781" s="5"/>
    </row>
    <row r="4782" spans="1:8" x14ac:dyDescent="0.2">
      <c r="A4782" s="5"/>
      <c r="B4782" s="5" t="s">
        <v>5242</v>
      </c>
      <c r="C4782" s="5"/>
      <c r="D4782" s="5" t="s">
        <v>15</v>
      </c>
      <c r="E4782" s="5"/>
      <c r="G4782" s="5"/>
      <c r="H4782" s="5"/>
    </row>
    <row r="4783" spans="1:8" x14ac:dyDescent="0.2">
      <c r="A4783" s="5"/>
      <c r="B4783" s="5" t="s">
        <v>5243</v>
      </c>
      <c r="C4783" s="5"/>
      <c r="D4783" s="5" t="s">
        <v>322</v>
      </c>
      <c r="E4783" s="5"/>
      <c r="G4783" s="5"/>
      <c r="H4783" s="5"/>
    </row>
    <row r="4784" spans="1:8" x14ac:dyDescent="0.2">
      <c r="A4784" s="5" t="s">
        <v>5244</v>
      </c>
      <c r="B4784" s="5" t="s">
        <v>2559</v>
      </c>
      <c r="C4784" s="8">
        <v>155</v>
      </c>
      <c r="D4784" s="5" t="s">
        <v>42</v>
      </c>
      <c r="E4784" s="5"/>
      <c r="G4784" s="5"/>
      <c r="H4784" s="5"/>
    </row>
    <row r="4785" spans="1:8" x14ac:dyDescent="0.2">
      <c r="A4785" s="5"/>
      <c r="B4785" s="5" t="s">
        <v>5245</v>
      </c>
      <c r="C4785" s="5"/>
      <c r="D4785" s="5" t="s">
        <v>15</v>
      </c>
      <c r="E4785" s="5"/>
      <c r="G4785" s="5"/>
      <c r="H4785" s="5"/>
    </row>
    <row r="4786" spans="1:8" x14ac:dyDescent="0.2">
      <c r="A4786" s="5"/>
      <c r="B4786" s="5" t="s">
        <v>5246</v>
      </c>
      <c r="C4786" s="5"/>
      <c r="D4786" s="5" t="s">
        <v>322</v>
      </c>
      <c r="E4786" s="5"/>
      <c r="G4786" s="5"/>
      <c r="H4786" s="5"/>
    </row>
    <row r="4787" spans="1:8" x14ac:dyDescent="0.2">
      <c r="A4787" s="5" t="s">
        <v>5247</v>
      </c>
      <c r="B4787" s="5" t="s">
        <v>3930</v>
      </c>
      <c r="C4787" s="8">
        <v>592</v>
      </c>
      <c r="D4787" s="5" t="s">
        <v>42</v>
      </c>
      <c r="E4787" s="5"/>
      <c r="G4787" s="5"/>
      <c r="H4787" s="5"/>
    </row>
    <row r="4788" spans="1:8" x14ac:dyDescent="0.2">
      <c r="A4788" s="5" t="s">
        <v>5248</v>
      </c>
      <c r="B4788" s="5" t="s">
        <v>3932</v>
      </c>
      <c r="C4788" s="8">
        <v>981</v>
      </c>
      <c r="D4788" s="5" t="s">
        <v>42</v>
      </c>
      <c r="E4788" s="5"/>
      <c r="G4788" s="5"/>
      <c r="H4788" s="5"/>
    </row>
    <row r="4789" spans="1:8" x14ac:dyDescent="0.2">
      <c r="A4789" s="5" t="s">
        <v>5249</v>
      </c>
      <c r="B4789" s="5" t="s">
        <v>2526</v>
      </c>
      <c r="C4789" s="8">
        <v>747</v>
      </c>
      <c r="D4789" s="5" t="s">
        <v>42</v>
      </c>
      <c r="E4789" s="5"/>
      <c r="G4789" s="5"/>
      <c r="H4789" s="5"/>
    </row>
    <row r="4790" spans="1:8" x14ac:dyDescent="0.2">
      <c r="A4790" s="5" t="s">
        <v>5250</v>
      </c>
      <c r="B4790" s="5" t="s">
        <v>2559</v>
      </c>
      <c r="C4790" s="8">
        <v>365</v>
      </c>
      <c r="D4790" s="5" t="s">
        <v>42</v>
      </c>
      <c r="E4790" s="5"/>
      <c r="G4790" s="5"/>
      <c r="H4790" s="5"/>
    </row>
    <row r="4791" spans="1:8" x14ac:dyDescent="0.2">
      <c r="A4791" s="5"/>
      <c r="B4791" s="5" t="s">
        <v>5251</v>
      </c>
      <c r="C4791" s="5"/>
      <c r="D4791" s="5" t="s">
        <v>322</v>
      </c>
      <c r="E4791" s="5"/>
      <c r="G4791" s="5"/>
      <c r="H4791" s="5"/>
    </row>
    <row r="4792" spans="1:8" x14ac:dyDescent="0.2">
      <c r="A4792" s="5" t="s">
        <v>5252</v>
      </c>
      <c r="B4792" s="5" t="s">
        <v>3930</v>
      </c>
      <c r="C4792" s="8">
        <v>93</v>
      </c>
      <c r="D4792" s="5" t="s">
        <v>42</v>
      </c>
      <c r="E4792" s="5"/>
      <c r="G4792" s="5"/>
      <c r="H4792" s="5"/>
    </row>
    <row r="4793" spans="1:8" x14ac:dyDescent="0.2">
      <c r="A4793" s="5" t="s">
        <v>5253</v>
      </c>
      <c r="B4793" s="5" t="s">
        <v>3932</v>
      </c>
      <c r="C4793" s="8">
        <v>60</v>
      </c>
      <c r="D4793" s="5" t="s">
        <v>42</v>
      </c>
      <c r="E4793" s="5"/>
      <c r="G4793" s="5"/>
      <c r="H4793" s="5"/>
    </row>
    <row r="4794" spans="1:8" x14ac:dyDescent="0.2">
      <c r="A4794" s="5"/>
      <c r="B4794" s="5" t="s">
        <v>5254</v>
      </c>
      <c r="C4794" s="5"/>
      <c r="D4794" s="5" t="s">
        <v>322</v>
      </c>
      <c r="E4794" s="5"/>
      <c r="G4794" s="5"/>
      <c r="H4794" s="5"/>
    </row>
    <row r="4795" spans="1:8" x14ac:dyDescent="0.2">
      <c r="A4795" s="5" t="s">
        <v>5255</v>
      </c>
      <c r="B4795" s="5" t="s">
        <v>2526</v>
      </c>
      <c r="C4795" s="8">
        <v>372</v>
      </c>
      <c r="D4795" s="5" t="s">
        <v>42</v>
      </c>
      <c r="E4795" s="5"/>
      <c r="G4795" s="5"/>
      <c r="H4795" s="5"/>
    </row>
    <row r="4796" spans="1:8" x14ac:dyDescent="0.2">
      <c r="A4796" s="5" t="s">
        <v>5256</v>
      </c>
      <c r="B4796" s="5" t="s">
        <v>2559</v>
      </c>
      <c r="C4796" s="8">
        <v>53</v>
      </c>
      <c r="D4796" s="5" t="s">
        <v>42</v>
      </c>
      <c r="E4796" s="5"/>
      <c r="G4796" s="5"/>
      <c r="H4796" s="5"/>
    </row>
    <row r="4797" spans="1:8" x14ac:dyDescent="0.2">
      <c r="A4797" s="5"/>
      <c r="B4797" s="5" t="s">
        <v>5257</v>
      </c>
      <c r="C4797" s="5"/>
      <c r="D4797" s="5" t="s">
        <v>322</v>
      </c>
      <c r="E4797" s="5"/>
      <c r="G4797" s="5"/>
      <c r="H4797" s="5"/>
    </row>
    <row r="4798" spans="1:8" x14ac:dyDescent="0.2">
      <c r="A4798" s="5" t="s">
        <v>5258</v>
      </c>
      <c r="B4798" s="5" t="s">
        <v>3932</v>
      </c>
      <c r="C4798" s="8">
        <v>32</v>
      </c>
      <c r="D4798" s="5" t="s">
        <v>42</v>
      </c>
      <c r="E4798" s="5"/>
      <c r="G4798" s="5"/>
      <c r="H4798" s="5"/>
    </row>
    <row r="4799" spans="1:8" x14ac:dyDescent="0.2">
      <c r="A4799" s="5" t="s">
        <v>5259</v>
      </c>
      <c r="B4799" s="5" t="s">
        <v>2526</v>
      </c>
      <c r="C4799" s="8">
        <v>28</v>
      </c>
      <c r="D4799" s="5" t="s">
        <v>42</v>
      </c>
      <c r="E4799" s="5"/>
      <c r="G4799" s="5"/>
      <c r="H4799" s="5"/>
    </row>
    <row r="4800" spans="1:8" x14ac:dyDescent="0.2">
      <c r="A4800" s="5"/>
      <c r="B4800" s="5" t="s">
        <v>5260</v>
      </c>
      <c r="C4800" s="5"/>
      <c r="D4800" s="5" t="s">
        <v>322</v>
      </c>
      <c r="E4800" s="5"/>
      <c r="G4800" s="5"/>
      <c r="H4800" s="5"/>
    </row>
    <row r="4801" spans="1:8" x14ac:dyDescent="0.2">
      <c r="A4801" s="5" t="s">
        <v>5261</v>
      </c>
      <c r="B4801" s="5" t="s">
        <v>3930</v>
      </c>
      <c r="C4801" s="8">
        <v>21</v>
      </c>
      <c r="D4801" s="5" t="s">
        <v>42</v>
      </c>
      <c r="E4801" s="5"/>
      <c r="G4801" s="5"/>
      <c r="H4801" s="5"/>
    </row>
    <row r="4802" spans="1:8" x14ac:dyDescent="0.2">
      <c r="A4802" s="5" t="s">
        <v>5262</v>
      </c>
      <c r="B4802" s="5" t="s">
        <v>3932</v>
      </c>
      <c r="C4802" s="8">
        <v>80</v>
      </c>
      <c r="D4802" s="5" t="s">
        <v>42</v>
      </c>
      <c r="E4802" s="5"/>
      <c r="G4802" s="5"/>
      <c r="H4802" s="5"/>
    </row>
    <row r="4803" spans="1:8" x14ac:dyDescent="0.2">
      <c r="A4803" s="5" t="s">
        <v>5263</v>
      </c>
      <c r="B4803" s="5" t="s">
        <v>2526</v>
      </c>
      <c r="C4803" s="8">
        <v>324</v>
      </c>
      <c r="D4803" s="5" t="s">
        <v>42</v>
      </c>
      <c r="E4803" s="5"/>
      <c r="G4803" s="5"/>
      <c r="H4803" s="5"/>
    </row>
    <row r="4804" spans="1:8" x14ac:dyDescent="0.2">
      <c r="A4804" s="5" t="s">
        <v>5264</v>
      </c>
      <c r="B4804" s="5" t="s">
        <v>2559</v>
      </c>
      <c r="C4804" s="8">
        <v>78</v>
      </c>
      <c r="D4804" s="5" t="s">
        <v>42</v>
      </c>
      <c r="E4804" s="5"/>
      <c r="G4804" s="5"/>
      <c r="H4804" s="5"/>
    </row>
    <row r="4805" spans="1:8" x14ac:dyDescent="0.2">
      <c r="A4805" s="5"/>
      <c r="B4805" s="5" t="s">
        <v>5265</v>
      </c>
      <c r="C4805" s="5"/>
      <c r="D4805" s="5" t="s">
        <v>322</v>
      </c>
      <c r="E4805" s="5"/>
      <c r="G4805" s="5"/>
      <c r="H4805" s="5"/>
    </row>
    <row r="4806" spans="1:8" x14ac:dyDescent="0.2">
      <c r="A4806" s="5" t="s">
        <v>5266</v>
      </c>
      <c r="B4806" s="5" t="s">
        <v>3930</v>
      </c>
      <c r="C4806" s="8">
        <v>2</v>
      </c>
      <c r="D4806" s="5" t="s">
        <v>42</v>
      </c>
      <c r="E4806" s="5"/>
      <c r="G4806" s="5"/>
      <c r="H4806" s="5"/>
    </row>
    <row r="4807" spans="1:8" x14ac:dyDescent="0.2">
      <c r="A4807" s="5" t="s">
        <v>5267</v>
      </c>
      <c r="B4807" s="5" t="s">
        <v>3932</v>
      </c>
      <c r="C4807" s="8">
        <v>4</v>
      </c>
      <c r="D4807" s="5" t="s">
        <v>42</v>
      </c>
      <c r="E4807" s="5"/>
      <c r="G4807" s="5"/>
      <c r="H4807" s="5"/>
    </row>
    <row r="4808" spans="1:8" x14ac:dyDescent="0.2">
      <c r="A4808" s="5" t="s">
        <v>5268</v>
      </c>
      <c r="B4808" s="5" t="s">
        <v>2526</v>
      </c>
      <c r="C4808" s="8">
        <v>8</v>
      </c>
      <c r="D4808" s="5" t="s">
        <v>42</v>
      </c>
      <c r="E4808" s="5"/>
      <c r="G4808" s="5"/>
      <c r="H4808" s="5"/>
    </row>
    <row r="4809" spans="1:8" x14ac:dyDescent="0.2">
      <c r="A4809" s="5"/>
      <c r="B4809" s="5" t="s">
        <v>5269</v>
      </c>
      <c r="C4809" s="5"/>
      <c r="D4809" s="5" t="s">
        <v>15</v>
      </c>
      <c r="E4809" s="5"/>
      <c r="G4809" s="5"/>
      <c r="H4809" s="5"/>
    </row>
    <row r="4810" spans="1:8" x14ac:dyDescent="0.2">
      <c r="A4810" s="5"/>
      <c r="B4810" s="5" t="s">
        <v>5270</v>
      </c>
      <c r="C4810" s="5"/>
      <c r="D4810" s="5" t="s">
        <v>322</v>
      </c>
      <c r="E4810" s="5"/>
      <c r="G4810" s="5"/>
      <c r="H4810" s="5"/>
    </row>
    <row r="4811" spans="1:8" x14ac:dyDescent="0.2">
      <c r="A4811" s="5"/>
      <c r="B4811" s="5" t="s">
        <v>5271</v>
      </c>
      <c r="C4811" s="5"/>
      <c r="D4811" s="5" t="s">
        <v>366</v>
      </c>
      <c r="E4811" s="5"/>
      <c r="G4811" s="5"/>
      <c r="H4811" s="5"/>
    </row>
    <row r="4812" spans="1:8" x14ac:dyDescent="0.2">
      <c r="A4812" s="5" t="s">
        <v>5272</v>
      </c>
      <c r="B4812" s="5" t="s">
        <v>3140</v>
      </c>
      <c r="C4812" s="8">
        <v>18</v>
      </c>
      <c r="D4812" s="5" t="s">
        <v>42</v>
      </c>
      <c r="E4812" s="5"/>
      <c r="G4812" s="5"/>
      <c r="H4812" s="5"/>
    </row>
    <row r="4813" spans="1:8" x14ac:dyDescent="0.2">
      <c r="A4813" s="5" t="s">
        <v>5273</v>
      </c>
      <c r="B4813" s="5" t="s">
        <v>3142</v>
      </c>
      <c r="C4813" s="8">
        <v>246</v>
      </c>
      <c r="D4813" s="5" t="s">
        <v>42</v>
      </c>
      <c r="E4813" s="5"/>
      <c r="G4813" s="5"/>
      <c r="H4813" s="5"/>
    </row>
    <row r="4814" spans="1:8" x14ac:dyDescent="0.2">
      <c r="A4814" s="5" t="s">
        <v>5274</v>
      </c>
      <c r="B4814" s="5" t="s">
        <v>3152</v>
      </c>
      <c r="C4814" s="8">
        <v>351</v>
      </c>
      <c r="D4814" s="5" t="s">
        <v>42</v>
      </c>
      <c r="E4814" s="5"/>
      <c r="G4814" s="5"/>
      <c r="H4814" s="5"/>
    </row>
    <row r="4815" spans="1:8" x14ac:dyDescent="0.2">
      <c r="A4815" s="5" t="s">
        <v>5275</v>
      </c>
      <c r="B4815" s="5" t="s">
        <v>3144</v>
      </c>
      <c r="C4815" s="8">
        <v>123</v>
      </c>
      <c r="D4815" s="5" t="s">
        <v>42</v>
      </c>
      <c r="E4815" s="5"/>
      <c r="G4815" s="5"/>
      <c r="H4815" s="5"/>
    </row>
    <row r="4816" spans="1:8" x14ac:dyDescent="0.2">
      <c r="A4816" s="5"/>
      <c r="B4816" s="5" t="s">
        <v>5276</v>
      </c>
      <c r="C4816" s="5"/>
      <c r="D4816" s="5" t="s">
        <v>366</v>
      </c>
      <c r="E4816" s="5"/>
      <c r="G4816" s="5"/>
      <c r="H4816" s="5"/>
    </row>
    <row r="4817" spans="1:8" x14ac:dyDescent="0.2">
      <c r="A4817" s="5" t="s">
        <v>5277</v>
      </c>
      <c r="B4817" s="5" t="s">
        <v>3144</v>
      </c>
      <c r="C4817" s="8">
        <v>161</v>
      </c>
      <c r="D4817" s="5" t="s">
        <v>42</v>
      </c>
      <c r="E4817" s="5"/>
      <c r="G4817" s="5"/>
      <c r="H4817" s="5"/>
    </row>
    <row r="4818" spans="1:8" x14ac:dyDescent="0.2">
      <c r="A4818" s="5"/>
      <c r="B4818" s="5" t="s">
        <v>5278</v>
      </c>
      <c r="C4818" s="5"/>
      <c r="D4818" s="5" t="s">
        <v>366</v>
      </c>
      <c r="E4818" s="5"/>
      <c r="G4818" s="5"/>
      <c r="H4818" s="5"/>
    </row>
    <row r="4819" spans="1:8" x14ac:dyDescent="0.2">
      <c r="A4819" s="5" t="s">
        <v>5279</v>
      </c>
      <c r="B4819" s="5" t="s">
        <v>3142</v>
      </c>
      <c r="C4819" s="8">
        <v>401</v>
      </c>
      <c r="D4819" s="5" t="s">
        <v>42</v>
      </c>
      <c r="E4819" s="5"/>
      <c r="G4819" s="5"/>
      <c r="H4819" s="5"/>
    </row>
    <row r="4820" spans="1:8" x14ac:dyDescent="0.2">
      <c r="A4820" s="5" t="s">
        <v>5280</v>
      </c>
      <c r="B4820" s="5" t="s">
        <v>3152</v>
      </c>
      <c r="C4820" s="8">
        <v>360</v>
      </c>
      <c r="D4820" s="5" t="s">
        <v>42</v>
      </c>
      <c r="E4820" s="5"/>
      <c r="G4820" s="5"/>
      <c r="H4820" s="5"/>
    </row>
    <row r="4821" spans="1:8" x14ac:dyDescent="0.2">
      <c r="A4821" s="5"/>
      <c r="B4821" s="5" t="s">
        <v>5281</v>
      </c>
      <c r="C4821" s="5"/>
      <c r="D4821" s="5" t="s">
        <v>366</v>
      </c>
      <c r="E4821" s="5"/>
      <c r="G4821" s="5"/>
      <c r="H4821" s="5"/>
    </row>
    <row r="4822" spans="1:8" x14ac:dyDescent="0.2">
      <c r="A4822" s="5" t="s">
        <v>5282</v>
      </c>
      <c r="B4822" s="5" t="s">
        <v>3140</v>
      </c>
      <c r="C4822" s="8">
        <v>94</v>
      </c>
      <c r="D4822" s="5" t="s">
        <v>42</v>
      </c>
      <c r="E4822" s="5"/>
      <c r="G4822" s="5"/>
      <c r="H4822" s="5"/>
    </row>
    <row r="4823" spans="1:8" x14ac:dyDescent="0.2">
      <c r="A4823" s="5"/>
      <c r="B4823" s="5" t="s">
        <v>5283</v>
      </c>
      <c r="C4823" s="5"/>
      <c r="D4823" s="5" t="s">
        <v>366</v>
      </c>
      <c r="E4823" s="5"/>
      <c r="G4823" s="5"/>
      <c r="H4823" s="5"/>
    </row>
    <row r="4824" spans="1:8" x14ac:dyDescent="0.2">
      <c r="A4824" s="5" t="s">
        <v>5284</v>
      </c>
      <c r="B4824" s="5" t="s">
        <v>3142</v>
      </c>
      <c r="C4824" s="8">
        <v>13</v>
      </c>
      <c r="D4824" s="5" t="s">
        <v>42</v>
      </c>
      <c r="E4824" s="5"/>
      <c r="G4824" s="5"/>
      <c r="H4824" s="5"/>
    </row>
    <row r="4825" spans="1:8" x14ac:dyDescent="0.2">
      <c r="A4825" s="5" t="s">
        <v>5285</v>
      </c>
      <c r="B4825" s="5" t="s">
        <v>3152</v>
      </c>
      <c r="C4825" s="8">
        <v>26</v>
      </c>
      <c r="D4825" s="5" t="s">
        <v>42</v>
      </c>
      <c r="E4825" s="5"/>
      <c r="G4825" s="5"/>
      <c r="H4825" s="5"/>
    </row>
    <row r="4826" spans="1:8" x14ac:dyDescent="0.2">
      <c r="A4826" s="5"/>
      <c r="B4826" s="5" t="s">
        <v>5286</v>
      </c>
      <c r="C4826" s="5"/>
      <c r="D4826" s="5" t="s">
        <v>366</v>
      </c>
      <c r="E4826" s="5"/>
      <c r="G4826" s="5"/>
      <c r="H4826" s="5"/>
    </row>
    <row r="4827" spans="1:8" x14ac:dyDescent="0.2">
      <c r="A4827" s="5" t="s">
        <v>5287</v>
      </c>
      <c r="B4827" s="5" t="s">
        <v>3142</v>
      </c>
      <c r="C4827" s="8">
        <v>58</v>
      </c>
      <c r="D4827" s="5" t="s">
        <v>42</v>
      </c>
      <c r="E4827" s="5"/>
      <c r="G4827" s="5"/>
      <c r="H4827" s="5"/>
    </row>
    <row r="4828" spans="1:8" x14ac:dyDescent="0.2">
      <c r="A4828" s="5"/>
      <c r="B4828" s="5" t="s">
        <v>5288</v>
      </c>
      <c r="C4828" s="5"/>
      <c r="D4828" s="5" t="s">
        <v>366</v>
      </c>
      <c r="E4828" s="5"/>
      <c r="G4828" s="5"/>
      <c r="H4828" s="5"/>
    </row>
    <row r="4829" spans="1:8" x14ac:dyDescent="0.2">
      <c r="A4829" s="5" t="s">
        <v>5289</v>
      </c>
      <c r="B4829" s="5" t="s">
        <v>3142</v>
      </c>
      <c r="C4829" s="8">
        <v>226</v>
      </c>
      <c r="D4829" s="5" t="s">
        <v>42</v>
      </c>
      <c r="E4829" s="5"/>
      <c r="G4829" s="5"/>
      <c r="H4829" s="5"/>
    </row>
    <row r="4830" spans="1:8" x14ac:dyDescent="0.2">
      <c r="A4830" s="5" t="s">
        <v>5290</v>
      </c>
      <c r="B4830" s="5" t="s">
        <v>3152</v>
      </c>
      <c r="C4830" s="8">
        <v>89</v>
      </c>
      <c r="D4830" s="5" t="s">
        <v>42</v>
      </c>
      <c r="E4830" s="5"/>
      <c r="G4830" s="5"/>
      <c r="H4830" s="5"/>
    </row>
    <row r="4831" spans="1:8" x14ac:dyDescent="0.2">
      <c r="A4831" s="5"/>
      <c r="B4831" s="5" t="s">
        <v>5291</v>
      </c>
      <c r="C4831" s="5"/>
      <c r="D4831" s="5" t="s">
        <v>366</v>
      </c>
      <c r="E4831" s="5"/>
      <c r="G4831" s="5"/>
      <c r="H4831" s="5"/>
    </row>
    <row r="4832" spans="1:8" x14ac:dyDescent="0.2">
      <c r="A4832" s="5" t="s">
        <v>5292</v>
      </c>
      <c r="B4832" s="5" t="s">
        <v>3140</v>
      </c>
      <c r="C4832" s="8">
        <v>370</v>
      </c>
      <c r="D4832" s="5" t="s">
        <v>42</v>
      </c>
      <c r="E4832" s="5"/>
      <c r="G4832" s="5"/>
      <c r="H4832" s="5"/>
    </row>
    <row r="4833" spans="1:8" x14ac:dyDescent="0.2">
      <c r="A4833" s="5" t="s">
        <v>5293</v>
      </c>
      <c r="B4833" s="5" t="s">
        <v>3142</v>
      </c>
      <c r="C4833" s="8">
        <v>30</v>
      </c>
      <c r="D4833" s="5" t="s">
        <v>42</v>
      </c>
      <c r="E4833" s="5"/>
      <c r="G4833" s="5"/>
      <c r="H4833" s="5"/>
    </row>
    <row r="4834" spans="1:8" x14ac:dyDescent="0.2">
      <c r="A4834" s="5" t="s">
        <v>5294</v>
      </c>
      <c r="B4834" s="5" t="s">
        <v>3152</v>
      </c>
      <c r="C4834" s="8">
        <v>87</v>
      </c>
      <c r="D4834" s="5" t="s">
        <v>42</v>
      </c>
      <c r="E4834" s="5"/>
      <c r="G4834" s="5"/>
      <c r="H4834" s="5"/>
    </row>
    <row r="4835" spans="1:8" x14ac:dyDescent="0.2">
      <c r="A4835" s="5" t="s">
        <v>5295</v>
      </c>
      <c r="B4835" s="5" t="s">
        <v>3144</v>
      </c>
      <c r="C4835" s="8">
        <v>16</v>
      </c>
      <c r="D4835" s="5" t="s">
        <v>42</v>
      </c>
      <c r="E4835" s="5"/>
      <c r="G4835" s="5"/>
      <c r="H4835" s="5"/>
    </row>
    <row r="4836" spans="1:8" x14ac:dyDescent="0.2">
      <c r="A4836" s="5"/>
      <c r="B4836" s="5" t="s">
        <v>5296</v>
      </c>
      <c r="C4836" s="5"/>
      <c r="D4836" s="5" t="s">
        <v>15</v>
      </c>
      <c r="E4836" s="5"/>
      <c r="G4836" s="5"/>
      <c r="H4836" s="5"/>
    </row>
    <row r="4837" spans="1:8" x14ac:dyDescent="0.2">
      <c r="A4837" s="5"/>
      <c r="B4837" s="5" t="s">
        <v>5297</v>
      </c>
      <c r="C4837" s="5"/>
      <c r="D4837" s="5" t="s">
        <v>322</v>
      </c>
      <c r="E4837" s="5"/>
      <c r="G4837" s="5"/>
      <c r="H4837" s="5"/>
    </row>
    <row r="4838" spans="1:8" x14ac:dyDescent="0.2">
      <c r="A4838" s="5" t="s">
        <v>5298</v>
      </c>
      <c r="B4838" s="5" t="s">
        <v>3144</v>
      </c>
      <c r="C4838" s="8">
        <v>21</v>
      </c>
      <c r="D4838" s="5" t="s">
        <v>155</v>
      </c>
      <c r="E4838" s="5"/>
      <c r="G4838" s="5"/>
      <c r="H4838" s="5"/>
    </row>
    <row r="4839" spans="1:8" x14ac:dyDescent="0.2">
      <c r="A4839" s="5"/>
      <c r="B4839" s="5" t="s">
        <v>5299</v>
      </c>
      <c r="C4839" s="5"/>
      <c r="D4839" s="5" t="s">
        <v>322</v>
      </c>
      <c r="E4839" s="5"/>
      <c r="G4839" s="5"/>
      <c r="H4839" s="5"/>
    </row>
    <row r="4840" spans="1:8" x14ac:dyDescent="0.2">
      <c r="A4840" s="5" t="s">
        <v>5300</v>
      </c>
      <c r="B4840" s="5" t="s">
        <v>3142</v>
      </c>
      <c r="C4840" s="8">
        <v>56</v>
      </c>
      <c r="D4840" s="5" t="s">
        <v>155</v>
      </c>
      <c r="E4840" s="5"/>
      <c r="G4840" s="5"/>
      <c r="H4840" s="5"/>
    </row>
    <row r="4841" spans="1:8" x14ac:dyDescent="0.2">
      <c r="A4841" s="5" t="s">
        <v>5301</v>
      </c>
      <c r="B4841" s="5" t="s">
        <v>3152</v>
      </c>
      <c r="C4841" s="8">
        <v>35</v>
      </c>
      <c r="D4841" s="5" t="s">
        <v>155</v>
      </c>
      <c r="E4841" s="5"/>
      <c r="G4841" s="5"/>
      <c r="H4841" s="5"/>
    </row>
    <row r="4842" spans="1:8" x14ac:dyDescent="0.2">
      <c r="A4842" s="5"/>
      <c r="B4842" s="5" t="s">
        <v>5302</v>
      </c>
      <c r="C4842" s="5"/>
      <c r="D4842" s="5" t="s">
        <v>322</v>
      </c>
      <c r="E4842" s="5"/>
      <c r="G4842" s="5"/>
      <c r="H4842" s="5"/>
    </row>
    <row r="4843" spans="1:8" x14ac:dyDescent="0.2">
      <c r="A4843" s="5" t="s">
        <v>5303</v>
      </c>
      <c r="B4843" s="5" t="s">
        <v>3144</v>
      </c>
      <c r="C4843" s="8">
        <v>1</v>
      </c>
      <c r="D4843" s="5" t="s">
        <v>42</v>
      </c>
      <c r="E4843" s="5"/>
      <c r="G4843" s="5"/>
      <c r="H4843" s="5"/>
    </row>
    <row r="4844" spans="1:8" x14ac:dyDescent="0.2">
      <c r="A4844" s="5"/>
      <c r="B4844" s="5" t="s">
        <v>5304</v>
      </c>
      <c r="C4844" s="5"/>
      <c r="D4844" s="5" t="s">
        <v>322</v>
      </c>
      <c r="E4844" s="5"/>
      <c r="G4844" s="5"/>
      <c r="H4844" s="5"/>
    </row>
    <row r="4845" spans="1:8" x14ac:dyDescent="0.2">
      <c r="A4845" s="5" t="s">
        <v>5305</v>
      </c>
      <c r="B4845" s="5" t="s">
        <v>3142</v>
      </c>
      <c r="C4845" s="8">
        <v>25</v>
      </c>
      <c r="D4845" s="5" t="s">
        <v>42</v>
      </c>
      <c r="E4845" s="5"/>
      <c r="G4845" s="5"/>
      <c r="H4845" s="5"/>
    </row>
    <row r="4846" spans="1:8" x14ac:dyDescent="0.2">
      <c r="A4846" s="5" t="s">
        <v>5306</v>
      </c>
      <c r="B4846" s="5" t="s">
        <v>3152</v>
      </c>
      <c r="C4846" s="8">
        <v>4</v>
      </c>
      <c r="D4846" s="5" t="s">
        <v>42</v>
      </c>
      <c r="E4846" s="5"/>
      <c r="G4846" s="5"/>
      <c r="H4846" s="5"/>
    </row>
    <row r="4847" spans="1:8" x14ac:dyDescent="0.2">
      <c r="A4847" s="5"/>
      <c r="B4847" s="5" t="s">
        <v>5307</v>
      </c>
      <c r="C4847" s="5"/>
      <c r="D4847" s="5" t="s">
        <v>322</v>
      </c>
      <c r="E4847" s="5"/>
      <c r="G4847" s="5"/>
      <c r="H4847" s="5"/>
    </row>
    <row r="4848" spans="1:8" x14ac:dyDescent="0.2">
      <c r="A4848" s="5" t="s">
        <v>5308</v>
      </c>
      <c r="B4848" s="5" t="s">
        <v>3140</v>
      </c>
      <c r="C4848" s="8">
        <v>2</v>
      </c>
      <c r="D4848" s="5" t="s">
        <v>42</v>
      </c>
      <c r="E4848" s="5"/>
      <c r="G4848" s="5"/>
      <c r="H4848" s="5"/>
    </row>
    <row r="4849" spans="1:8" x14ac:dyDescent="0.2">
      <c r="A4849" s="5"/>
      <c r="B4849" s="5" t="s">
        <v>5309</v>
      </c>
      <c r="C4849" s="5"/>
      <c r="D4849" s="5" t="s">
        <v>322</v>
      </c>
      <c r="E4849" s="5"/>
      <c r="G4849" s="5"/>
      <c r="H4849" s="5"/>
    </row>
    <row r="4850" spans="1:8" x14ac:dyDescent="0.2">
      <c r="A4850" s="5" t="s">
        <v>5310</v>
      </c>
      <c r="B4850" s="5" t="s">
        <v>3142</v>
      </c>
      <c r="C4850" s="8">
        <v>4</v>
      </c>
      <c r="D4850" s="5" t="s">
        <v>42</v>
      </c>
      <c r="E4850" s="5"/>
      <c r="G4850" s="5"/>
      <c r="H4850" s="5"/>
    </row>
    <row r="4851" spans="1:8" x14ac:dyDescent="0.2">
      <c r="A4851" s="5"/>
      <c r="B4851" s="5" t="s">
        <v>5311</v>
      </c>
      <c r="C4851" s="5"/>
      <c r="D4851" s="5" t="s">
        <v>322</v>
      </c>
      <c r="E4851" s="5"/>
      <c r="G4851" s="5"/>
      <c r="H4851" s="5"/>
    </row>
    <row r="4852" spans="1:8" x14ac:dyDescent="0.2">
      <c r="A4852" s="5" t="s">
        <v>5312</v>
      </c>
      <c r="B4852" s="5" t="s">
        <v>3142</v>
      </c>
      <c r="C4852" s="8">
        <v>51</v>
      </c>
      <c r="D4852" s="5" t="s">
        <v>42</v>
      </c>
      <c r="E4852" s="5"/>
      <c r="G4852" s="5"/>
      <c r="H4852" s="5"/>
    </row>
    <row r="4853" spans="1:8" x14ac:dyDescent="0.2">
      <c r="A4853" s="5" t="s">
        <v>5313</v>
      </c>
      <c r="B4853" s="5" t="s">
        <v>3152</v>
      </c>
      <c r="C4853" s="8">
        <v>20</v>
      </c>
      <c r="D4853" s="5" t="s">
        <v>42</v>
      </c>
      <c r="E4853" s="5"/>
      <c r="G4853" s="5"/>
      <c r="H4853" s="5"/>
    </row>
    <row r="4854" spans="1:8" x14ac:dyDescent="0.2">
      <c r="A4854" s="5"/>
      <c r="B4854" s="5" t="s">
        <v>5314</v>
      </c>
      <c r="C4854" s="5"/>
      <c r="D4854" s="5" t="s">
        <v>322</v>
      </c>
      <c r="E4854" s="5"/>
      <c r="G4854" s="5"/>
      <c r="H4854" s="5"/>
    </row>
    <row r="4855" spans="1:8" x14ac:dyDescent="0.2">
      <c r="A4855" s="5" t="s">
        <v>5315</v>
      </c>
      <c r="B4855" s="5" t="s">
        <v>3140</v>
      </c>
      <c r="C4855" s="8">
        <v>32</v>
      </c>
      <c r="D4855" s="5" t="s">
        <v>42</v>
      </c>
      <c r="E4855" s="5"/>
      <c r="G4855" s="5"/>
      <c r="H4855" s="5"/>
    </row>
    <row r="4856" spans="1:8" x14ac:dyDescent="0.2">
      <c r="A4856" s="5"/>
      <c r="B4856" s="5" t="s">
        <v>5316</v>
      </c>
      <c r="C4856" s="5"/>
      <c r="D4856" s="5" t="s">
        <v>322</v>
      </c>
      <c r="E4856" s="5"/>
      <c r="G4856" s="5"/>
      <c r="H4856" s="5"/>
    </row>
    <row r="4857" spans="1:8" x14ac:dyDescent="0.2">
      <c r="A4857" s="5" t="s">
        <v>5317</v>
      </c>
      <c r="B4857" s="5" t="s">
        <v>3142</v>
      </c>
      <c r="C4857" s="8">
        <v>33</v>
      </c>
      <c r="D4857" s="5" t="s">
        <v>42</v>
      </c>
      <c r="E4857" s="5"/>
      <c r="G4857" s="5"/>
      <c r="H4857" s="5"/>
    </row>
    <row r="4858" spans="1:8" x14ac:dyDescent="0.2">
      <c r="A4858" s="5"/>
      <c r="B4858" s="5" t="s">
        <v>5318</v>
      </c>
      <c r="C4858" s="5"/>
      <c r="D4858" s="5" t="s">
        <v>15</v>
      </c>
      <c r="E4858" s="5"/>
      <c r="G4858" s="5"/>
      <c r="H4858" s="5"/>
    </row>
    <row r="4859" spans="1:8" x14ac:dyDescent="0.2">
      <c r="A4859" s="5"/>
      <c r="B4859" s="5" t="s">
        <v>5319</v>
      </c>
      <c r="C4859" s="5"/>
      <c r="D4859" s="5" t="s">
        <v>322</v>
      </c>
      <c r="E4859" s="5"/>
      <c r="G4859" s="5"/>
      <c r="H4859" s="5"/>
    </row>
    <row r="4860" spans="1:8" x14ac:dyDescent="0.2">
      <c r="A4860" s="5" t="s">
        <v>5320</v>
      </c>
      <c r="B4860" s="5" t="s">
        <v>3142</v>
      </c>
      <c r="C4860" s="8">
        <v>44</v>
      </c>
      <c r="D4860" s="5" t="s">
        <v>155</v>
      </c>
      <c r="E4860" s="5"/>
      <c r="G4860" s="5"/>
      <c r="H4860" s="5"/>
    </row>
    <row r="4861" spans="1:8" x14ac:dyDescent="0.2">
      <c r="A4861" s="5" t="s">
        <v>5321</v>
      </c>
      <c r="B4861" s="5" t="s">
        <v>3152</v>
      </c>
      <c r="C4861" s="8">
        <v>46</v>
      </c>
      <c r="D4861" s="5" t="s">
        <v>155</v>
      </c>
      <c r="E4861" s="5"/>
      <c r="G4861" s="5"/>
      <c r="H4861" s="5"/>
    </row>
    <row r="4862" spans="1:8" x14ac:dyDescent="0.2">
      <c r="A4862" s="5" t="s">
        <v>5322</v>
      </c>
      <c r="B4862" s="5" t="s">
        <v>3144</v>
      </c>
      <c r="C4862" s="8">
        <v>41</v>
      </c>
      <c r="D4862" s="5" t="s">
        <v>155</v>
      </c>
      <c r="E4862" s="5"/>
      <c r="G4862" s="5"/>
      <c r="H4862" s="5"/>
    </row>
    <row r="4863" spans="1:8" x14ac:dyDescent="0.2">
      <c r="A4863" s="5"/>
      <c r="B4863" s="5" t="s">
        <v>5323</v>
      </c>
      <c r="C4863" s="5"/>
      <c r="D4863" s="5" t="s">
        <v>15</v>
      </c>
      <c r="E4863" s="5"/>
      <c r="G4863" s="5"/>
      <c r="H4863" s="5"/>
    </row>
    <row r="4864" spans="1:8" x14ac:dyDescent="0.2">
      <c r="A4864" s="5"/>
      <c r="B4864" s="5" t="s">
        <v>41</v>
      </c>
      <c r="C4864" s="5"/>
      <c r="D4864" s="5" t="s">
        <v>322</v>
      </c>
      <c r="E4864" s="5"/>
      <c r="G4864" s="5"/>
      <c r="H4864" s="5"/>
    </row>
    <row r="4865" spans="1:8" x14ac:dyDescent="0.2">
      <c r="A4865" s="5"/>
      <c r="B4865" s="5" t="s">
        <v>5324</v>
      </c>
      <c r="C4865" s="5"/>
      <c r="D4865" s="5" t="s">
        <v>366</v>
      </c>
      <c r="E4865" s="5"/>
      <c r="G4865" s="5"/>
      <c r="H4865" s="5"/>
    </row>
    <row r="4866" spans="1:8" x14ac:dyDescent="0.2">
      <c r="A4866" s="5" t="s">
        <v>5325</v>
      </c>
      <c r="B4866" s="5" t="s">
        <v>5326</v>
      </c>
      <c r="C4866" s="8">
        <v>1</v>
      </c>
      <c r="D4866" s="5" t="s">
        <v>162</v>
      </c>
      <c r="E4866" s="5"/>
      <c r="G4866" s="5"/>
      <c r="H4866" s="5"/>
    </row>
    <row r="4867" spans="1:8" x14ac:dyDescent="0.2">
      <c r="A4867" s="5" t="s">
        <v>5327</v>
      </c>
      <c r="B4867" s="5" t="s">
        <v>5328</v>
      </c>
      <c r="C4867" s="8">
        <v>1</v>
      </c>
      <c r="D4867" s="5" t="s">
        <v>162</v>
      </c>
      <c r="E4867" s="5"/>
      <c r="G4867" s="5"/>
      <c r="H4867" s="5"/>
    </row>
    <row r="4868" spans="1:8" x14ac:dyDescent="0.2">
      <c r="A4868" s="5" t="s">
        <v>5329</v>
      </c>
      <c r="B4868" s="5" t="s">
        <v>5330</v>
      </c>
      <c r="C4868" s="8">
        <v>1</v>
      </c>
      <c r="D4868" s="5" t="s">
        <v>162</v>
      </c>
      <c r="E4868" s="5"/>
      <c r="G4868" s="5"/>
      <c r="H4868" s="5"/>
    </row>
    <row r="4869" spans="1:8" x14ac:dyDescent="0.2">
      <c r="A4869" s="5"/>
      <c r="B4869" s="5" t="s">
        <v>48</v>
      </c>
      <c r="C4869" s="5"/>
      <c r="D4869" s="5" t="s">
        <v>322</v>
      </c>
      <c r="E4869" s="5"/>
      <c r="G4869" s="5"/>
      <c r="H4869" s="5"/>
    </row>
    <row r="4870" spans="1:8" x14ac:dyDescent="0.2">
      <c r="A4870" s="5"/>
      <c r="B4870" s="5" t="s">
        <v>5324</v>
      </c>
      <c r="C4870" s="5"/>
      <c r="D4870" s="5" t="s">
        <v>366</v>
      </c>
      <c r="E4870" s="5"/>
      <c r="G4870" s="5"/>
      <c r="H4870" s="5"/>
    </row>
    <row r="4871" spans="1:8" x14ac:dyDescent="0.2">
      <c r="A4871" s="5" t="s">
        <v>5331</v>
      </c>
      <c r="B4871" s="5" t="s">
        <v>5326</v>
      </c>
      <c r="C4871" s="8">
        <v>1</v>
      </c>
      <c r="D4871" s="5" t="s">
        <v>162</v>
      </c>
      <c r="E4871" s="5"/>
      <c r="G4871" s="5"/>
      <c r="H4871" s="5"/>
    </row>
    <row r="4872" spans="1:8" x14ac:dyDescent="0.2">
      <c r="A4872" s="5" t="s">
        <v>5332</v>
      </c>
      <c r="B4872" s="5" t="s">
        <v>5330</v>
      </c>
      <c r="C4872" s="8">
        <v>1</v>
      </c>
      <c r="D4872" s="5" t="s">
        <v>162</v>
      </c>
      <c r="E4872" s="5"/>
      <c r="G4872" s="5"/>
      <c r="H4872" s="5"/>
    </row>
    <row r="4873" spans="1:8" x14ac:dyDescent="0.2">
      <c r="A4873" s="5"/>
      <c r="B4873" s="5" t="s">
        <v>5333</v>
      </c>
      <c r="C4873" s="5"/>
      <c r="D4873" s="5" t="s">
        <v>15</v>
      </c>
      <c r="E4873" s="5"/>
      <c r="G4873" s="5"/>
      <c r="H4873" s="5"/>
    </row>
    <row r="4874" spans="1:8" x14ac:dyDescent="0.2">
      <c r="A4874" s="5"/>
      <c r="B4874" s="5" t="s">
        <v>41</v>
      </c>
      <c r="C4874" s="5"/>
      <c r="D4874" s="5" t="s">
        <v>322</v>
      </c>
      <c r="E4874" s="5"/>
      <c r="G4874" s="5"/>
      <c r="H4874" s="5"/>
    </row>
    <row r="4875" spans="1:8" x14ac:dyDescent="0.2">
      <c r="A4875" s="5"/>
      <c r="B4875" s="5" t="s">
        <v>5324</v>
      </c>
      <c r="C4875" s="5"/>
      <c r="D4875" s="5" t="s">
        <v>366</v>
      </c>
      <c r="E4875" s="5"/>
      <c r="G4875" s="5"/>
      <c r="H4875" s="5"/>
    </row>
    <row r="4876" spans="1:8" x14ac:dyDescent="0.2">
      <c r="A4876" s="5" t="s">
        <v>5334</v>
      </c>
      <c r="B4876" s="5" t="s">
        <v>5326</v>
      </c>
      <c r="C4876" s="8">
        <v>1</v>
      </c>
      <c r="D4876" s="5" t="s">
        <v>162</v>
      </c>
      <c r="E4876" s="5"/>
      <c r="G4876" s="5"/>
      <c r="H4876" s="5"/>
    </row>
    <row r="4877" spans="1:8" x14ac:dyDescent="0.2">
      <c r="A4877" s="5" t="s">
        <v>5335</v>
      </c>
      <c r="B4877" s="5" t="s">
        <v>5336</v>
      </c>
      <c r="C4877" s="8">
        <v>1</v>
      </c>
      <c r="D4877" s="5" t="s">
        <v>162</v>
      </c>
      <c r="E4877" s="5"/>
      <c r="G4877" s="5"/>
      <c r="H4877" s="5"/>
    </row>
    <row r="4878" spans="1:8" x14ac:dyDescent="0.2">
      <c r="A4878" s="5" t="s">
        <v>5337</v>
      </c>
      <c r="B4878" s="5" t="s">
        <v>5328</v>
      </c>
      <c r="C4878" s="8">
        <v>7</v>
      </c>
      <c r="D4878" s="5" t="s">
        <v>162</v>
      </c>
      <c r="E4878" s="5"/>
      <c r="G4878" s="5"/>
      <c r="H4878" s="5"/>
    </row>
    <row r="4879" spans="1:8" x14ac:dyDescent="0.2">
      <c r="A4879" s="5" t="s">
        <v>5338</v>
      </c>
      <c r="B4879" s="5" t="s">
        <v>5330</v>
      </c>
      <c r="C4879" s="8">
        <v>2</v>
      </c>
      <c r="D4879" s="5" t="s">
        <v>162</v>
      </c>
      <c r="E4879" s="5"/>
      <c r="G4879" s="5"/>
      <c r="H4879" s="5"/>
    </row>
    <row r="4880" spans="1:8" x14ac:dyDescent="0.2">
      <c r="A4880" s="5"/>
      <c r="B4880" s="5" t="s">
        <v>44</v>
      </c>
      <c r="C4880" s="5"/>
      <c r="D4880" s="5" t="s">
        <v>322</v>
      </c>
      <c r="E4880" s="5"/>
      <c r="G4880" s="5"/>
      <c r="H4880" s="5"/>
    </row>
    <row r="4881" spans="1:8" x14ac:dyDescent="0.2">
      <c r="A4881" s="5"/>
      <c r="B4881" s="5" t="s">
        <v>5324</v>
      </c>
      <c r="C4881" s="5"/>
      <c r="D4881" s="5" t="s">
        <v>366</v>
      </c>
      <c r="E4881" s="5"/>
      <c r="G4881" s="5"/>
      <c r="H4881" s="5"/>
    </row>
    <row r="4882" spans="1:8" x14ac:dyDescent="0.2">
      <c r="A4882" s="5" t="s">
        <v>5339</v>
      </c>
      <c r="B4882" s="5" t="s">
        <v>5326</v>
      </c>
      <c r="C4882" s="8">
        <v>1</v>
      </c>
      <c r="D4882" s="5" t="s">
        <v>162</v>
      </c>
      <c r="E4882" s="5"/>
      <c r="G4882" s="5"/>
      <c r="H4882" s="5"/>
    </row>
    <row r="4883" spans="1:8" x14ac:dyDescent="0.2">
      <c r="A4883" s="5" t="s">
        <v>5340</v>
      </c>
      <c r="B4883" s="5" t="s">
        <v>5328</v>
      </c>
      <c r="C4883" s="8">
        <v>5</v>
      </c>
      <c r="D4883" s="5" t="s">
        <v>162</v>
      </c>
      <c r="E4883" s="5"/>
      <c r="G4883" s="5"/>
      <c r="H4883" s="5"/>
    </row>
    <row r="4884" spans="1:8" x14ac:dyDescent="0.2">
      <c r="A4884" s="5" t="s">
        <v>5341</v>
      </c>
      <c r="B4884" s="5" t="s">
        <v>5330</v>
      </c>
      <c r="C4884" s="8">
        <v>1</v>
      </c>
      <c r="D4884" s="5" t="s">
        <v>162</v>
      </c>
      <c r="E4884" s="5"/>
      <c r="G4884" s="5"/>
      <c r="H4884" s="5"/>
    </row>
    <row r="4885" spans="1:8" x14ac:dyDescent="0.2">
      <c r="A4885" s="5"/>
      <c r="B4885" s="5" t="s">
        <v>46</v>
      </c>
      <c r="C4885" s="5"/>
      <c r="D4885" s="5" t="s">
        <v>322</v>
      </c>
      <c r="E4885" s="5"/>
      <c r="G4885" s="5"/>
      <c r="H4885" s="5"/>
    </row>
    <row r="4886" spans="1:8" x14ac:dyDescent="0.2">
      <c r="A4886" s="5"/>
      <c r="B4886" s="5" t="s">
        <v>5324</v>
      </c>
      <c r="C4886" s="5"/>
      <c r="D4886" s="5" t="s">
        <v>366</v>
      </c>
      <c r="E4886" s="5"/>
      <c r="G4886" s="5"/>
      <c r="H4886" s="5"/>
    </row>
    <row r="4887" spans="1:8" x14ac:dyDescent="0.2">
      <c r="A4887" s="5" t="s">
        <v>5342</v>
      </c>
      <c r="B4887" s="5" t="s">
        <v>5326</v>
      </c>
      <c r="C4887" s="8">
        <v>1</v>
      </c>
      <c r="D4887" s="5" t="s">
        <v>162</v>
      </c>
      <c r="E4887" s="5"/>
      <c r="G4887" s="5"/>
      <c r="H4887" s="5"/>
    </row>
    <row r="4888" spans="1:8" x14ac:dyDescent="0.2">
      <c r="A4888" s="5" t="s">
        <v>5343</v>
      </c>
      <c r="B4888" s="5" t="s">
        <v>5328</v>
      </c>
      <c r="C4888" s="8">
        <v>17</v>
      </c>
      <c r="D4888" s="5" t="s">
        <v>162</v>
      </c>
      <c r="E4888" s="5"/>
      <c r="G4888" s="5"/>
      <c r="H4888" s="5"/>
    </row>
    <row r="4889" spans="1:8" x14ac:dyDescent="0.2">
      <c r="A4889" s="5" t="s">
        <v>5344</v>
      </c>
      <c r="B4889" s="5" t="s">
        <v>5330</v>
      </c>
      <c r="C4889" s="8">
        <v>1</v>
      </c>
      <c r="D4889" s="5" t="s">
        <v>162</v>
      </c>
      <c r="E4889" s="5"/>
      <c r="G4889" s="5"/>
      <c r="H4889" s="5"/>
    </row>
    <row r="4890" spans="1:8" x14ac:dyDescent="0.2">
      <c r="A4890" s="5"/>
      <c r="B4890" s="5" t="s">
        <v>48</v>
      </c>
      <c r="C4890" s="5"/>
      <c r="D4890" s="5" t="s">
        <v>322</v>
      </c>
      <c r="E4890" s="5"/>
      <c r="G4890" s="5"/>
      <c r="H4890" s="5"/>
    </row>
    <row r="4891" spans="1:8" x14ac:dyDescent="0.2">
      <c r="A4891" s="5"/>
      <c r="B4891" s="5" t="s">
        <v>5324</v>
      </c>
      <c r="C4891" s="5"/>
      <c r="D4891" s="5" t="s">
        <v>366</v>
      </c>
      <c r="E4891" s="5"/>
      <c r="G4891" s="5"/>
      <c r="H4891" s="5"/>
    </row>
    <row r="4892" spans="1:8" x14ac:dyDescent="0.2">
      <c r="A4892" s="5" t="s">
        <v>5345</v>
      </c>
      <c r="B4892" s="5" t="s">
        <v>5328</v>
      </c>
      <c r="C4892" s="8">
        <v>7</v>
      </c>
      <c r="D4892" s="5" t="s">
        <v>162</v>
      </c>
      <c r="E4892" s="5"/>
      <c r="G4892" s="5"/>
      <c r="H4892" s="5"/>
    </row>
    <row r="4893" spans="1:8" x14ac:dyDescent="0.2">
      <c r="A4893" s="5" t="s">
        <v>5346</v>
      </c>
      <c r="B4893" s="5" t="s">
        <v>5330</v>
      </c>
      <c r="C4893" s="8">
        <v>1</v>
      </c>
      <c r="D4893" s="5" t="s">
        <v>162</v>
      </c>
      <c r="E4893" s="5"/>
      <c r="G4893" s="5"/>
      <c r="H4893" s="5"/>
    </row>
    <row r="4894" spans="1:8" x14ac:dyDescent="0.2">
      <c r="A4894" s="5"/>
      <c r="B4894" s="5" t="s">
        <v>5347</v>
      </c>
      <c r="C4894" s="5"/>
      <c r="D4894" s="5" t="s">
        <v>15</v>
      </c>
      <c r="E4894" s="5"/>
      <c r="G4894" s="5"/>
      <c r="H4894" s="5"/>
    </row>
    <row r="4895" spans="1:8" x14ac:dyDescent="0.2">
      <c r="A4895" s="5"/>
      <c r="B4895" s="5" t="s">
        <v>5348</v>
      </c>
      <c r="C4895" s="5"/>
      <c r="D4895" s="5" t="s">
        <v>322</v>
      </c>
      <c r="E4895" s="5"/>
      <c r="G4895" s="5"/>
      <c r="H4895" s="5"/>
    </row>
    <row r="4896" spans="1:8" x14ac:dyDescent="0.2">
      <c r="A4896" s="5" t="s">
        <v>5349</v>
      </c>
      <c r="B4896" s="5" t="s">
        <v>2321</v>
      </c>
      <c r="C4896" s="8">
        <v>61</v>
      </c>
      <c r="D4896" s="5" t="s">
        <v>42</v>
      </c>
      <c r="E4896" s="5"/>
      <c r="G4896" s="5"/>
      <c r="H4896" s="5"/>
    </row>
    <row r="4897" spans="1:8" x14ac:dyDescent="0.2">
      <c r="A4897" s="5" t="s">
        <v>5350</v>
      </c>
      <c r="B4897" s="5" t="s">
        <v>2327</v>
      </c>
      <c r="C4897" s="8">
        <v>61</v>
      </c>
      <c r="D4897" s="5" t="s">
        <v>42</v>
      </c>
      <c r="E4897" s="5"/>
      <c r="G4897" s="5"/>
      <c r="H4897" s="5"/>
    </row>
    <row r="4898" spans="1:8" x14ac:dyDescent="0.2">
      <c r="A4898" s="5" t="s">
        <v>5351</v>
      </c>
      <c r="B4898" s="5" t="s">
        <v>2330</v>
      </c>
      <c r="C4898" s="8">
        <v>61</v>
      </c>
      <c r="D4898" s="5" t="s">
        <v>42</v>
      </c>
      <c r="E4898" s="5"/>
      <c r="G4898" s="5"/>
      <c r="H4898" s="5"/>
    </row>
    <row r="4899" spans="1:8" x14ac:dyDescent="0.2">
      <c r="A4899" s="5" t="s">
        <v>5352</v>
      </c>
      <c r="B4899" s="5" t="s">
        <v>2333</v>
      </c>
      <c r="C4899" s="8">
        <v>998</v>
      </c>
      <c r="D4899" s="5" t="s">
        <v>42</v>
      </c>
      <c r="E4899" s="5"/>
      <c r="G4899" s="5"/>
      <c r="H4899" s="5"/>
    </row>
    <row r="4900" spans="1:8" x14ac:dyDescent="0.2">
      <c r="A4900" s="5"/>
      <c r="B4900" s="5" t="s">
        <v>53</v>
      </c>
      <c r="C4900" s="5"/>
      <c r="D4900" s="5" t="s">
        <v>13</v>
      </c>
      <c r="E4900" s="5"/>
      <c r="G4900" s="5"/>
      <c r="H4900" s="5"/>
    </row>
    <row r="4901" spans="1:8" x14ac:dyDescent="0.2">
      <c r="A4901" s="5"/>
      <c r="B4901" s="5" t="s">
        <v>5242</v>
      </c>
      <c r="C4901" s="5"/>
      <c r="D4901" s="5" t="s">
        <v>15</v>
      </c>
      <c r="E4901" s="5"/>
      <c r="G4901" s="5"/>
      <c r="H4901" s="5"/>
    </row>
    <row r="4902" spans="1:8" x14ac:dyDescent="0.2">
      <c r="A4902" s="5"/>
      <c r="B4902" s="5" t="s">
        <v>5243</v>
      </c>
      <c r="C4902" s="5"/>
      <c r="D4902" s="5" t="s">
        <v>322</v>
      </c>
      <c r="E4902" s="5"/>
      <c r="G4902" s="5"/>
      <c r="H4902" s="5"/>
    </row>
    <row r="4903" spans="1:8" x14ac:dyDescent="0.2">
      <c r="A4903" s="5" t="s">
        <v>5353</v>
      </c>
      <c r="B4903" s="5" t="s">
        <v>2559</v>
      </c>
      <c r="C4903" s="8">
        <v>70</v>
      </c>
      <c r="D4903" s="5" t="s">
        <v>42</v>
      </c>
      <c r="E4903" s="5"/>
      <c r="G4903" s="5"/>
      <c r="H4903" s="5"/>
    </row>
    <row r="4904" spans="1:8" x14ac:dyDescent="0.2">
      <c r="A4904" s="5"/>
      <c r="B4904" s="5" t="s">
        <v>5245</v>
      </c>
      <c r="C4904" s="5"/>
      <c r="D4904" s="5" t="s">
        <v>15</v>
      </c>
      <c r="E4904" s="5"/>
      <c r="G4904" s="5"/>
      <c r="H4904" s="5"/>
    </row>
    <row r="4905" spans="1:8" x14ac:dyDescent="0.2">
      <c r="A4905" s="5"/>
      <c r="B4905" s="5" t="s">
        <v>5246</v>
      </c>
      <c r="C4905" s="5"/>
      <c r="D4905" s="5" t="s">
        <v>322</v>
      </c>
      <c r="E4905" s="5"/>
      <c r="G4905" s="5"/>
      <c r="H4905" s="5"/>
    </row>
    <row r="4906" spans="1:8" x14ac:dyDescent="0.2">
      <c r="A4906" s="5" t="s">
        <v>5354</v>
      </c>
      <c r="B4906" s="5" t="s">
        <v>3939</v>
      </c>
      <c r="C4906" s="8">
        <v>800</v>
      </c>
      <c r="D4906" s="5" t="s">
        <v>42</v>
      </c>
      <c r="E4906" s="5"/>
      <c r="G4906" s="5"/>
      <c r="H4906" s="5"/>
    </row>
    <row r="4907" spans="1:8" x14ac:dyDescent="0.2">
      <c r="A4907" s="5" t="s">
        <v>5355</v>
      </c>
      <c r="B4907" s="5" t="s">
        <v>3941</v>
      </c>
      <c r="C4907" s="8">
        <v>909</v>
      </c>
      <c r="D4907" s="5" t="s">
        <v>42</v>
      </c>
      <c r="E4907" s="5"/>
      <c r="G4907" s="5"/>
      <c r="H4907" s="5"/>
    </row>
    <row r="4908" spans="1:8" x14ac:dyDescent="0.2">
      <c r="A4908" s="5" t="s">
        <v>5356</v>
      </c>
      <c r="B4908" s="5" t="s">
        <v>2572</v>
      </c>
      <c r="C4908" s="8">
        <v>895</v>
      </c>
      <c r="D4908" s="5" t="s">
        <v>42</v>
      </c>
      <c r="E4908" s="5"/>
      <c r="G4908" s="5"/>
      <c r="H4908" s="5"/>
    </row>
    <row r="4909" spans="1:8" x14ac:dyDescent="0.2">
      <c r="A4909" s="5" t="s">
        <v>5357</v>
      </c>
      <c r="B4909" s="5" t="s">
        <v>3944</v>
      </c>
      <c r="C4909" s="8">
        <v>391</v>
      </c>
      <c r="D4909" s="5" t="s">
        <v>42</v>
      </c>
      <c r="E4909" s="5"/>
      <c r="G4909" s="5"/>
      <c r="H4909" s="5"/>
    </row>
    <row r="4910" spans="1:8" x14ac:dyDescent="0.2">
      <c r="A4910" s="5"/>
      <c r="B4910" s="5" t="s">
        <v>5358</v>
      </c>
      <c r="C4910" s="5"/>
      <c r="D4910" s="5" t="s">
        <v>322</v>
      </c>
      <c r="E4910" s="5"/>
      <c r="G4910" s="5"/>
      <c r="H4910" s="5"/>
    </row>
    <row r="4911" spans="1:8" x14ac:dyDescent="0.2">
      <c r="A4911" s="5" t="s">
        <v>5359</v>
      </c>
      <c r="B4911" s="5" t="s">
        <v>3939</v>
      </c>
      <c r="C4911" s="8">
        <v>70</v>
      </c>
      <c r="D4911" s="5" t="s">
        <v>42</v>
      </c>
      <c r="E4911" s="5"/>
      <c r="G4911" s="5"/>
      <c r="H4911" s="5"/>
    </row>
    <row r="4912" spans="1:8" x14ac:dyDescent="0.2">
      <c r="A4912" s="5"/>
      <c r="B4912" s="5" t="s">
        <v>5360</v>
      </c>
      <c r="C4912" s="5"/>
      <c r="D4912" s="5" t="s">
        <v>322</v>
      </c>
      <c r="E4912" s="5"/>
      <c r="G4912" s="5"/>
      <c r="H4912" s="5"/>
    </row>
    <row r="4913" spans="1:8" x14ac:dyDescent="0.2">
      <c r="A4913" s="5" t="s">
        <v>5361</v>
      </c>
      <c r="B4913" s="5" t="s">
        <v>3939</v>
      </c>
      <c r="C4913" s="8">
        <v>132</v>
      </c>
      <c r="D4913" s="5" t="s">
        <v>42</v>
      </c>
      <c r="E4913" s="5"/>
      <c r="G4913" s="5"/>
      <c r="H4913" s="5"/>
    </row>
    <row r="4914" spans="1:8" x14ac:dyDescent="0.2">
      <c r="A4914" s="5"/>
      <c r="B4914" s="5" t="s">
        <v>5254</v>
      </c>
      <c r="C4914" s="5"/>
      <c r="D4914" s="5" t="s">
        <v>322</v>
      </c>
      <c r="E4914" s="5"/>
      <c r="G4914" s="5"/>
      <c r="H4914" s="5"/>
    </row>
    <row r="4915" spans="1:8" x14ac:dyDescent="0.2">
      <c r="A4915" s="5" t="s">
        <v>5362</v>
      </c>
      <c r="B4915" s="5" t="s">
        <v>2572</v>
      </c>
      <c r="C4915" s="8">
        <v>40</v>
      </c>
      <c r="D4915" s="5" t="s">
        <v>42</v>
      </c>
      <c r="E4915" s="5"/>
      <c r="G4915" s="5"/>
      <c r="H4915" s="5"/>
    </row>
    <row r="4916" spans="1:8" x14ac:dyDescent="0.2">
      <c r="A4916" s="5"/>
      <c r="B4916" s="5" t="s">
        <v>5260</v>
      </c>
      <c r="C4916" s="5"/>
      <c r="D4916" s="5" t="s">
        <v>322</v>
      </c>
      <c r="E4916" s="5"/>
      <c r="G4916" s="5"/>
      <c r="H4916" s="5"/>
    </row>
    <row r="4917" spans="1:8" x14ac:dyDescent="0.2">
      <c r="A4917" s="5" t="s">
        <v>5363</v>
      </c>
      <c r="B4917" s="5" t="s">
        <v>3939</v>
      </c>
      <c r="C4917" s="8">
        <v>167</v>
      </c>
      <c r="D4917" s="5" t="s">
        <v>42</v>
      </c>
      <c r="E4917" s="5"/>
      <c r="G4917" s="5"/>
      <c r="H4917" s="5"/>
    </row>
    <row r="4918" spans="1:8" x14ac:dyDescent="0.2">
      <c r="A4918" s="5" t="s">
        <v>5364</v>
      </c>
      <c r="B4918" s="5" t="s">
        <v>3941</v>
      </c>
      <c r="C4918" s="8">
        <v>20</v>
      </c>
      <c r="D4918" s="5" t="s">
        <v>42</v>
      </c>
      <c r="E4918" s="5"/>
      <c r="G4918" s="5"/>
      <c r="H4918" s="5"/>
    </row>
    <row r="4919" spans="1:8" x14ac:dyDescent="0.2">
      <c r="A4919" s="5" t="s">
        <v>5365</v>
      </c>
      <c r="B4919" s="5" t="s">
        <v>2572</v>
      </c>
      <c r="C4919" s="8">
        <v>24</v>
      </c>
      <c r="D4919" s="5" t="s">
        <v>42</v>
      </c>
      <c r="E4919" s="5"/>
      <c r="G4919" s="5"/>
      <c r="H4919" s="5"/>
    </row>
    <row r="4920" spans="1:8" x14ac:dyDescent="0.2">
      <c r="A4920" s="5" t="s">
        <v>5366</v>
      </c>
      <c r="B4920" s="5" t="s">
        <v>3944</v>
      </c>
      <c r="C4920" s="8">
        <v>87</v>
      </c>
      <c r="D4920" s="5" t="s">
        <v>42</v>
      </c>
      <c r="E4920" s="5"/>
      <c r="G4920" s="5"/>
      <c r="H4920" s="5"/>
    </row>
    <row r="4921" spans="1:8" x14ac:dyDescent="0.2">
      <c r="A4921" s="5"/>
      <c r="B4921" s="5" t="s">
        <v>5367</v>
      </c>
      <c r="C4921" s="5"/>
      <c r="D4921" s="5" t="s">
        <v>322</v>
      </c>
      <c r="E4921" s="5"/>
      <c r="G4921" s="5"/>
      <c r="H4921" s="5"/>
    </row>
    <row r="4922" spans="1:8" x14ac:dyDescent="0.2">
      <c r="A4922" s="5" t="s">
        <v>5368</v>
      </c>
      <c r="B4922" s="5" t="s">
        <v>3941</v>
      </c>
      <c r="C4922" s="8">
        <v>8</v>
      </c>
      <c r="D4922" s="5" t="s">
        <v>42</v>
      </c>
      <c r="E4922" s="5"/>
      <c r="G4922" s="5"/>
      <c r="H4922" s="5"/>
    </row>
    <row r="4923" spans="1:8" x14ac:dyDescent="0.2">
      <c r="A4923" s="5" t="s">
        <v>5369</v>
      </c>
      <c r="B4923" s="5" t="s">
        <v>2572</v>
      </c>
      <c r="C4923" s="8">
        <v>8</v>
      </c>
      <c r="D4923" s="5" t="s">
        <v>42</v>
      </c>
      <c r="E4923" s="5"/>
      <c r="G4923" s="5"/>
      <c r="H4923" s="5"/>
    </row>
    <row r="4924" spans="1:8" x14ac:dyDescent="0.2">
      <c r="A4924" s="5"/>
      <c r="B4924" s="5" t="s">
        <v>5269</v>
      </c>
      <c r="C4924" s="5"/>
      <c r="D4924" s="5" t="s">
        <v>15</v>
      </c>
      <c r="E4924" s="5"/>
      <c r="G4924" s="5"/>
      <c r="H4924" s="5"/>
    </row>
    <row r="4925" spans="1:8" x14ac:dyDescent="0.2">
      <c r="A4925" s="5"/>
      <c r="B4925" s="5" t="s">
        <v>5270</v>
      </c>
      <c r="C4925" s="5"/>
      <c r="D4925" s="5" t="s">
        <v>322</v>
      </c>
      <c r="E4925" s="5"/>
      <c r="G4925" s="5"/>
      <c r="H4925" s="5"/>
    </row>
    <row r="4926" spans="1:8" x14ac:dyDescent="0.2">
      <c r="A4926" s="5"/>
      <c r="B4926" s="5" t="s">
        <v>5271</v>
      </c>
      <c r="C4926" s="5"/>
      <c r="D4926" s="5" t="s">
        <v>366</v>
      </c>
      <c r="E4926" s="5"/>
      <c r="G4926" s="5"/>
      <c r="H4926" s="5"/>
    </row>
    <row r="4927" spans="1:8" x14ac:dyDescent="0.2">
      <c r="A4927" s="5" t="s">
        <v>5370</v>
      </c>
      <c r="B4927" s="5" t="s">
        <v>3235</v>
      </c>
      <c r="C4927" s="8">
        <v>144</v>
      </c>
      <c r="D4927" s="5" t="s">
        <v>42</v>
      </c>
      <c r="E4927" s="5"/>
      <c r="G4927" s="5"/>
      <c r="H4927" s="5"/>
    </row>
    <row r="4928" spans="1:8" x14ac:dyDescent="0.2">
      <c r="A4928" s="5" t="s">
        <v>5371</v>
      </c>
      <c r="B4928" s="5" t="s">
        <v>3237</v>
      </c>
      <c r="C4928" s="8">
        <v>144</v>
      </c>
      <c r="D4928" s="5" t="s">
        <v>42</v>
      </c>
      <c r="E4928" s="5"/>
      <c r="G4928" s="5"/>
      <c r="H4928" s="5"/>
    </row>
    <row r="4929" spans="1:8" x14ac:dyDescent="0.2">
      <c r="A4929" s="5" t="s">
        <v>5372</v>
      </c>
      <c r="B4929" s="5" t="s">
        <v>3244</v>
      </c>
      <c r="C4929" s="8">
        <v>182</v>
      </c>
      <c r="D4929" s="5" t="s">
        <v>42</v>
      </c>
      <c r="E4929" s="5"/>
      <c r="G4929" s="5"/>
      <c r="H4929" s="5"/>
    </row>
    <row r="4930" spans="1:8" x14ac:dyDescent="0.2">
      <c r="A4930" s="5" t="s">
        <v>5373</v>
      </c>
      <c r="B4930" s="5" t="s">
        <v>3239</v>
      </c>
      <c r="C4930" s="8">
        <v>100</v>
      </c>
      <c r="D4930" s="5" t="s">
        <v>42</v>
      </c>
      <c r="E4930" s="5"/>
      <c r="G4930" s="5"/>
      <c r="H4930" s="5"/>
    </row>
    <row r="4931" spans="1:8" x14ac:dyDescent="0.2">
      <c r="A4931" s="5"/>
      <c r="B4931" s="5" t="s">
        <v>5278</v>
      </c>
      <c r="C4931" s="5"/>
      <c r="D4931" s="5" t="s">
        <v>366</v>
      </c>
      <c r="E4931" s="5"/>
      <c r="G4931" s="5"/>
      <c r="H4931" s="5"/>
    </row>
    <row r="4932" spans="1:8" x14ac:dyDescent="0.2">
      <c r="A4932" s="5" t="s">
        <v>5374</v>
      </c>
      <c r="B4932" s="5" t="s">
        <v>3237</v>
      </c>
      <c r="C4932" s="8">
        <v>151</v>
      </c>
      <c r="D4932" s="5" t="s">
        <v>42</v>
      </c>
      <c r="E4932" s="5"/>
      <c r="G4932" s="5"/>
      <c r="H4932" s="5"/>
    </row>
    <row r="4933" spans="1:8" x14ac:dyDescent="0.2">
      <c r="A4933" s="5" t="s">
        <v>5375</v>
      </c>
      <c r="B4933" s="5" t="s">
        <v>3244</v>
      </c>
      <c r="C4933" s="8">
        <v>110</v>
      </c>
      <c r="D4933" s="5" t="s">
        <v>42</v>
      </c>
      <c r="E4933" s="5"/>
      <c r="G4933" s="5"/>
      <c r="H4933" s="5"/>
    </row>
    <row r="4934" spans="1:8" x14ac:dyDescent="0.2">
      <c r="A4934" s="5"/>
      <c r="B4934" s="5" t="s">
        <v>5281</v>
      </c>
      <c r="C4934" s="5"/>
      <c r="D4934" s="5" t="s">
        <v>366</v>
      </c>
      <c r="E4934" s="5"/>
      <c r="G4934" s="5"/>
      <c r="H4934" s="5"/>
    </row>
    <row r="4935" spans="1:8" x14ac:dyDescent="0.2">
      <c r="A4935" s="5" t="s">
        <v>5376</v>
      </c>
      <c r="B4935" s="5" t="s">
        <v>3235</v>
      </c>
      <c r="C4935" s="8">
        <v>358</v>
      </c>
      <c r="D4935" s="5" t="s">
        <v>42</v>
      </c>
      <c r="E4935" s="5"/>
      <c r="G4935" s="5"/>
      <c r="H4935" s="5"/>
    </row>
    <row r="4936" spans="1:8" x14ac:dyDescent="0.2">
      <c r="A4936" s="5"/>
      <c r="B4936" s="5" t="s">
        <v>5377</v>
      </c>
      <c r="C4936" s="5"/>
      <c r="D4936" s="5" t="s">
        <v>366</v>
      </c>
      <c r="E4936" s="5"/>
      <c r="G4936" s="5"/>
      <c r="H4936" s="5"/>
    </row>
    <row r="4937" spans="1:8" x14ac:dyDescent="0.2">
      <c r="A4937" s="5" t="s">
        <v>5378</v>
      </c>
      <c r="B4937" s="5" t="s">
        <v>3235</v>
      </c>
      <c r="C4937" s="8">
        <v>54</v>
      </c>
      <c r="D4937" s="5" t="s">
        <v>42</v>
      </c>
      <c r="E4937" s="5"/>
      <c r="G4937" s="5"/>
      <c r="H4937" s="5"/>
    </row>
    <row r="4938" spans="1:8" x14ac:dyDescent="0.2">
      <c r="A4938" s="5" t="s">
        <v>5379</v>
      </c>
      <c r="B4938" s="5" t="s">
        <v>3237</v>
      </c>
      <c r="C4938" s="8">
        <v>92</v>
      </c>
      <c r="D4938" s="5" t="s">
        <v>42</v>
      </c>
      <c r="E4938" s="5"/>
      <c r="G4938" s="5"/>
      <c r="H4938" s="5"/>
    </row>
    <row r="4939" spans="1:8" x14ac:dyDescent="0.2">
      <c r="A4939" s="5" t="s">
        <v>5380</v>
      </c>
      <c r="B4939" s="5" t="s">
        <v>3244</v>
      </c>
      <c r="C4939" s="8">
        <v>111</v>
      </c>
      <c r="D4939" s="5" t="s">
        <v>42</v>
      </c>
      <c r="E4939" s="5"/>
      <c r="G4939" s="5"/>
      <c r="H4939" s="5"/>
    </row>
    <row r="4940" spans="1:8" x14ac:dyDescent="0.2">
      <c r="A4940" s="5"/>
      <c r="B4940" s="5" t="s">
        <v>5283</v>
      </c>
      <c r="C4940" s="5"/>
      <c r="D4940" s="5" t="s">
        <v>366</v>
      </c>
      <c r="E4940" s="5"/>
      <c r="G4940" s="5"/>
      <c r="H4940" s="5"/>
    </row>
    <row r="4941" spans="1:8" x14ac:dyDescent="0.2">
      <c r="A4941" s="5" t="s">
        <v>5381</v>
      </c>
      <c r="B4941" s="5" t="s">
        <v>3237</v>
      </c>
      <c r="C4941" s="8">
        <v>12</v>
      </c>
      <c r="D4941" s="5" t="s">
        <v>42</v>
      </c>
      <c r="E4941" s="5"/>
      <c r="G4941" s="5"/>
      <c r="H4941" s="5"/>
    </row>
    <row r="4942" spans="1:8" x14ac:dyDescent="0.2">
      <c r="A4942" s="5" t="s">
        <v>5382</v>
      </c>
      <c r="B4942" s="5" t="s">
        <v>3244</v>
      </c>
      <c r="C4942" s="8">
        <v>18</v>
      </c>
      <c r="D4942" s="5" t="s">
        <v>42</v>
      </c>
      <c r="E4942" s="5"/>
      <c r="G4942" s="5"/>
      <c r="H4942" s="5"/>
    </row>
    <row r="4943" spans="1:8" x14ac:dyDescent="0.2">
      <c r="A4943" s="5"/>
      <c r="B4943" s="5" t="s">
        <v>5291</v>
      </c>
      <c r="C4943" s="5"/>
      <c r="D4943" s="5" t="s">
        <v>366</v>
      </c>
      <c r="E4943" s="5"/>
      <c r="G4943" s="5"/>
      <c r="H4943" s="5"/>
    </row>
    <row r="4944" spans="1:8" x14ac:dyDescent="0.2">
      <c r="A4944" s="5" t="s">
        <v>5383</v>
      </c>
      <c r="B4944" s="5" t="s">
        <v>3235</v>
      </c>
      <c r="C4944" s="8">
        <v>36</v>
      </c>
      <c r="D4944" s="5" t="s">
        <v>42</v>
      </c>
      <c r="E4944" s="5"/>
      <c r="G4944" s="5"/>
      <c r="H4944" s="5"/>
    </row>
    <row r="4945" spans="1:8" x14ac:dyDescent="0.2">
      <c r="A4945" s="5" t="s">
        <v>5384</v>
      </c>
      <c r="B4945" s="5" t="s">
        <v>3237</v>
      </c>
      <c r="C4945" s="8">
        <v>16</v>
      </c>
      <c r="D4945" s="5" t="s">
        <v>42</v>
      </c>
      <c r="E4945" s="5"/>
      <c r="G4945" s="5"/>
      <c r="H4945" s="5"/>
    </row>
    <row r="4946" spans="1:8" x14ac:dyDescent="0.2">
      <c r="A4946" s="5" t="s">
        <v>5385</v>
      </c>
      <c r="B4946" s="5" t="s">
        <v>3244</v>
      </c>
      <c r="C4946" s="8">
        <v>16</v>
      </c>
      <c r="D4946" s="5" t="s">
        <v>42</v>
      </c>
      <c r="E4946" s="5"/>
      <c r="G4946" s="5"/>
      <c r="H4946" s="5"/>
    </row>
    <row r="4947" spans="1:8" x14ac:dyDescent="0.2">
      <c r="A4947" s="5" t="s">
        <v>5386</v>
      </c>
      <c r="B4947" s="5" t="s">
        <v>3239</v>
      </c>
      <c r="C4947" s="8">
        <v>17</v>
      </c>
      <c r="D4947" s="5" t="s">
        <v>42</v>
      </c>
      <c r="E4947" s="5"/>
      <c r="G4947" s="5"/>
      <c r="H4947" s="5"/>
    </row>
    <row r="4948" spans="1:8" x14ac:dyDescent="0.2">
      <c r="A4948" s="5"/>
      <c r="B4948" s="5" t="s">
        <v>5296</v>
      </c>
      <c r="C4948" s="5"/>
      <c r="D4948" s="5" t="s">
        <v>15</v>
      </c>
      <c r="E4948" s="5"/>
      <c r="G4948" s="5"/>
      <c r="H4948" s="5"/>
    </row>
    <row r="4949" spans="1:8" x14ac:dyDescent="0.2">
      <c r="A4949" s="5"/>
      <c r="B4949" s="5" t="s">
        <v>5387</v>
      </c>
      <c r="C4949" s="5"/>
      <c r="D4949" s="5" t="s">
        <v>322</v>
      </c>
      <c r="E4949" s="5"/>
      <c r="G4949" s="5"/>
      <c r="H4949" s="5"/>
    </row>
    <row r="4950" spans="1:8" x14ac:dyDescent="0.2">
      <c r="A4950" s="5" t="s">
        <v>5388</v>
      </c>
      <c r="B4950" s="5" t="s">
        <v>3239</v>
      </c>
      <c r="C4950" s="8">
        <v>7</v>
      </c>
      <c r="D4950" s="5" t="s">
        <v>155</v>
      </c>
      <c r="E4950" s="5"/>
      <c r="G4950" s="5"/>
      <c r="H4950" s="5"/>
    </row>
    <row r="4951" spans="1:8" x14ac:dyDescent="0.2">
      <c r="A4951" s="5"/>
      <c r="B4951" s="5" t="s">
        <v>5302</v>
      </c>
      <c r="C4951" s="5"/>
      <c r="D4951" s="5" t="s">
        <v>322</v>
      </c>
      <c r="E4951" s="5"/>
      <c r="G4951" s="5"/>
      <c r="H4951" s="5"/>
    </row>
    <row r="4952" spans="1:8" x14ac:dyDescent="0.2">
      <c r="A4952" s="5" t="s">
        <v>5389</v>
      </c>
      <c r="B4952" s="5" t="s">
        <v>3235</v>
      </c>
      <c r="C4952" s="8">
        <v>17</v>
      </c>
      <c r="D4952" s="5" t="s">
        <v>42</v>
      </c>
      <c r="E4952" s="5"/>
      <c r="G4952" s="5"/>
      <c r="H4952" s="5"/>
    </row>
    <row r="4953" spans="1:8" x14ac:dyDescent="0.2">
      <c r="A4953" s="5"/>
      <c r="B4953" s="5" t="s">
        <v>5304</v>
      </c>
      <c r="C4953" s="5"/>
      <c r="D4953" s="5" t="s">
        <v>322</v>
      </c>
      <c r="E4953" s="5"/>
      <c r="G4953" s="5"/>
      <c r="H4953" s="5"/>
    </row>
    <row r="4954" spans="1:8" x14ac:dyDescent="0.2">
      <c r="A4954" s="5" t="s">
        <v>5390</v>
      </c>
      <c r="B4954" s="5" t="s">
        <v>3237</v>
      </c>
      <c r="C4954" s="8">
        <v>9</v>
      </c>
      <c r="D4954" s="5" t="s">
        <v>42</v>
      </c>
      <c r="E4954" s="5"/>
      <c r="G4954" s="5"/>
      <c r="H4954" s="5"/>
    </row>
    <row r="4955" spans="1:8" x14ac:dyDescent="0.2">
      <c r="A4955" s="5" t="s">
        <v>5391</v>
      </c>
      <c r="B4955" s="5" t="s">
        <v>3244</v>
      </c>
      <c r="C4955" s="8">
        <v>16</v>
      </c>
      <c r="D4955" s="5" t="s">
        <v>42</v>
      </c>
      <c r="E4955" s="5"/>
      <c r="G4955" s="5"/>
      <c r="H4955" s="5"/>
    </row>
    <row r="4956" spans="1:8" x14ac:dyDescent="0.2">
      <c r="A4956" s="5"/>
      <c r="B4956" s="5" t="s">
        <v>5307</v>
      </c>
      <c r="C4956" s="5"/>
      <c r="D4956" s="5" t="s">
        <v>322</v>
      </c>
      <c r="E4956" s="5"/>
      <c r="G4956" s="5"/>
      <c r="H4956" s="5"/>
    </row>
    <row r="4957" spans="1:8" x14ac:dyDescent="0.2">
      <c r="A4957" s="5" t="s">
        <v>5392</v>
      </c>
      <c r="B4957" s="5" t="s">
        <v>3235</v>
      </c>
      <c r="C4957" s="8">
        <v>4</v>
      </c>
      <c r="D4957" s="5" t="s">
        <v>42</v>
      </c>
      <c r="E4957" s="5"/>
      <c r="G4957" s="5"/>
      <c r="H4957" s="5"/>
    </row>
    <row r="4958" spans="1:8" x14ac:dyDescent="0.2">
      <c r="A4958" s="5" t="s">
        <v>5393</v>
      </c>
      <c r="B4958" s="5" t="s">
        <v>3237</v>
      </c>
      <c r="C4958" s="8">
        <v>14</v>
      </c>
      <c r="D4958" s="5" t="s">
        <v>42</v>
      </c>
      <c r="E4958" s="5"/>
      <c r="G4958" s="5"/>
      <c r="H4958" s="5"/>
    </row>
    <row r="4959" spans="1:8" x14ac:dyDescent="0.2">
      <c r="A4959" s="5" t="s">
        <v>5394</v>
      </c>
      <c r="B4959" s="5" t="s">
        <v>3244</v>
      </c>
      <c r="C4959" s="8">
        <v>25</v>
      </c>
      <c r="D4959" s="5" t="s">
        <v>42</v>
      </c>
      <c r="E4959" s="5"/>
      <c r="G4959" s="5"/>
      <c r="H4959" s="5"/>
    </row>
    <row r="4960" spans="1:8" x14ac:dyDescent="0.2">
      <c r="A4960" s="5"/>
      <c r="B4960" s="5" t="s">
        <v>5318</v>
      </c>
      <c r="C4960" s="5"/>
      <c r="D4960" s="5" t="s">
        <v>15</v>
      </c>
      <c r="E4960" s="5"/>
      <c r="G4960" s="5"/>
      <c r="H4960" s="5"/>
    </row>
    <row r="4961" spans="1:8" x14ac:dyDescent="0.2">
      <c r="A4961" s="5"/>
      <c r="B4961" s="5" t="s">
        <v>5319</v>
      </c>
      <c r="C4961" s="5"/>
      <c r="D4961" s="5" t="s">
        <v>322</v>
      </c>
      <c r="E4961" s="5"/>
      <c r="G4961" s="5"/>
      <c r="H4961" s="5"/>
    </row>
    <row r="4962" spans="1:8" x14ac:dyDescent="0.2">
      <c r="A4962" s="5" t="s">
        <v>5395</v>
      </c>
      <c r="B4962" s="5" t="s">
        <v>3235</v>
      </c>
      <c r="C4962" s="8">
        <v>14</v>
      </c>
      <c r="D4962" s="5" t="s">
        <v>155</v>
      </c>
      <c r="E4962" s="5"/>
      <c r="G4962" s="5"/>
      <c r="H4962" s="5"/>
    </row>
    <row r="4963" spans="1:8" x14ac:dyDescent="0.2">
      <c r="A4963" s="5" t="s">
        <v>5396</v>
      </c>
      <c r="B4963" s="5" t="s">
        <v>3237</v>
      </c>
      <c r="C4963" s="8">
        <v>45</v>
      </c>
      <c r="D4963" s="5" t="s">
        <v>155</v>
      </c>
      <c r="E4963" s="5"/>
      <c r="G4963" s="5"/>
      <c r="H4963" s="5"/>
    </row>
    <row r="4964" spans="1:8" x14ac:dyDescent="0.2">
      <c r="A4964" s="5" t="s">
        <v>5397</v>
      </c>
      <c r="B4964" s="5" t="s">
        <v>3244</v>
      </c>
      <c r="C4964" s="8">
        <v>45</v>
      </c>
      <c r="D4964" s="5" t="s">
        <v>155</v>
      </c>
      <c r="E4964" s="5"/>
      <c r="G4964" s="5"/>
      <c r="H4964" s="5"/>
    </row>
    <row r="4965" spans="1:8" x14ac:dyDescent="0.2">
      <c r="A4965" s="5"/>
      <c r="B4965" s="5" t="s">
        <v>5323</v>
      </c>
      <c r="C4965" s="5"/>
      <c r="D4965" s="5" t="s">
        <v>15</v>
      </c>
      <c r="E4965" s="5"/>
      <c r="G4965" s="5"/>
      <c r="H4965" s="5"/>
    </row>
    <row r="4966" spans="1:8" x14ac:dyDescent="0.2">
      <c r="A4966" s="5"/>
      <c r="B4966" s="5" t="s">
        <v>41</v>
      </c>
      <c r="C4966" s="5"/>
      <c r="D4966" s="5" t="s">
        <v>322</v>
      </c>
      <c r="E4966" s="5"/>
      <c r="G4966" s="5"/>
      <c r="H4966" s="5"/>
    </row>
    <row r="4967" spans="1:8" x14ac:dyDescent="0.2">
      <c r="A4967" s="5"/>
      <c r="B4967" s="5" t="s">
        <v>5324</v>
      </c>
      <c r="C4967" s="5"/>
      <c r="D4967" s="5" t="s">
        <v>366</v>
      </c>
      <c r="E4967" s="5"/>
      <c r="G4967" s="5"/>
      <c r="H4967" s="5"/>
    </row>
    <row r="4968" spans="1:8" x14ac:dyDescent="0.2">
      <c r="A4968" s="5" t="s">
        <v>5398</v>
      </c>
      <c r="B4968" s="5" t="s">
        <v>5326</v>
      </c>
      <c r="C4968" s="8">
        <v>1</v>
      </c>
      <c r="D4968" s="5" t="s">
        <v>162</v>
      </c>
      <c r="E4968" s="5"/>
      <c r="G4968" s="5"/>
      <c r="H4968" s="5"/>
    </row>
    <row r="4969" spans="1:8" x14ac:dyDescent="0.2">
      <c r="A4969" s="5" t="s">
        <v>5399</v>
      </c>
      <c r="B4969" s="5" t="s">
        <v>5330</v>
      </c>
      <c r="C4969" s="8">
        <v>1</v>
      </c>
      <c r="D4969" s="5" t="s">
        <v>162</v>
      </c>
      <c r="E4969" s="5"/>
      <c r="G4969" s="5"/>
      <c r="H4969" s="5"/>
    </row>
    <row r="4970" spans="1:8" x14ac:dyDescent="0.2">
      <c r="A4970" s="5"/>
      <c r="B4970" s="5" t="s">
        <v>48</v>
      </c>
      <c r="C4970" s="5"/>
      <c r="D4970" s="5" t="s">
        <v>322</v>
      </c>
      <c r="E4970" s="5"/>
      <c r="G4970" s="5"/>
      <c r="H4970" s="5"/>
    </row>
    <row r="4971" spans="1:8" x14ac:dyDescent="0.2">
      <c r="A4971" s="5"/>
      <c r="B4971" s="5" t="s">
        <v>5324</v>
      </c>
      <c r="C4971" s="5"/>
      <c r="D4971" s="5" t="s">
        <v>366</v>
      </c>
      <c r="E4971" s="5"/>
      <c r="G4971" s="5"/>
      <c r="H4971" s="5"/>
    </row>
    <row r="4972" spans="1:8" x14ac:dyDescent="0.2">
      <c r="A4972" s="5" t="s">
        <v>5400</v>
      </c>
      <c r="B4972" s="5" t="s">
        <v>5330</v>
      </c>
      <c r="C4972" s="8">
        <v>2</v>
      </c>
      <c r="D4972" s="5" t="s">
        <v>162</v>
      </c>
      <c r="E4972" s="5"/>
      <c r="G4972" s="5"/>
      <c r="H4972" s="5"/>
    </row>
    <row r="4973" spans="1:8" x14ac:dyDescent="0.2">
      <c r="A4973" s="5"/>
      <c r="B4973" s="5" t="s">
        <v>5333</v>
      </c>
      <c r="C4973" s="5"/>
      <c r="D4973" s="5" t="s">
        <v>15</v>
      </c>
      <c r="E4973" s="5"/>
      <c r="G4973" s="5"/>
      <c r="H4973" s="5"/>
    </row>
    <row r="4974" spans="1:8" x14ac:dyDescent="0.2">
      <c r="A4974" s="5"/>
      <c r="B4974" s="5" t="s">
        <v>41</v>
      </c>
      <c r="C4974" s="5"/>
      <c r="D4974" s="5" t="s">
        <v>322</v>
      </c>
      <c r="E4974" s="5"/>
      <c r="G4974" s="5"/>
      <c r="H4974" s="5"/>
    </row>
    <row r="4975" spans="1:8" x14ac:dyDescent="0.2">
      <c r="A4975" s="5"/>
      <c r="B4975" s="5" t="s">
        <v>5324</v>
      </c>
      <c r="C4975" s="5"/>
      <c r="D4975" s="5" t="s">
        <v>366</v>
      </c>
      <c r="E4975" s="5"/>
      <c r="G4975" s="5"/>
      <c r="H4975" s="5"/>
    </row>
    <row r="4976" spans="1:8" x14ac:dyDescent="0.2">
      <c r="A4976" s="5" t="s">
        <v>5401</v>
      </c>
      <c r="B4976" s="5" t="s">
        <v>5328</v>
      </c>
      <c r="C4976" s="8">
        <v>14</v>
      </c>
      <c r="D4976" s="5" t="s">
        <v>162</v>
      </c>
      <c r="E4976" s="5"/>
      <c r="G4976" s="5"/>
      <c r="H4976" s="5"/>
    </row>
    <row r="4977" spans="1:8" x14ac:dyDescent="0.2">
      <c r="A4977" s="5" t="s">
        <v>5402</v>
      </c>
      <c r="B4977" s="5" t="s">
        <v>5330</v>
      </c>
      <c r="C4977" s="8">
        <v>2</v>
      </c>
      <c r="D4977" s="5" t="s">
        <v>162</v>
      </c>
      <c r="E4977" s="5"/>
      <c r="G4977" s="5"/>
      <c r="H4977" s="5"/>
    </row>
    <row r="4978" spans="1:8" x14ac:dyDescent="0.2">
      <c r="A4978" s="5"/>
      <c r="B4978" s="5" t="s">
        <v>44</v>
      </c>
      <c r="C4978" s="5"/>
      <c r="D4978" s="5" t="s">
        <v>322</v>
      </c>
      <c r="E4978" s="5"/>
      <c r="G4978" s="5"/>
      <c r="H4978" s="5"/>
    </row>
    <row r="4979" spans="1:8" x14ac:dyDescent="0.2">
      <c r="A4979" s="5"/>
      <c r="B4979" s="5" t="s">
        <v>5324</v>
      </c>
      <c r="C4979" s="5"/>
      <c r="D4979" s="5" t="s">
        <v>366</v>
      </c>
      <c r="E4979" s="5"/>
      <c r="G4979" s="5"/>
      <c r="H4979" s="5"/>
    </row>
    <row r="4980" spans="1:8" x14ac:dyDescent="0.2">
      <c r="A4980" s="5" t="s">
        <v>5403</v>
      </c>
      <c r="B4980" s="5" t="s">
        <v>5326</v>
      </c>
      <c r="C4980" s="8">
        <v>1</v>
      </c>
      <c r="D4980" s="5" t="s">
        <v>162</v>
      </c>
      <c r="E4980" s="5"/>
      <c r="G4980" s="5"/>
      <c r="H4980" s="5"/>
    </row>
    <row r="4981" spans="1:8" x14ac:dyDescent="0.2">
      <c r="A4981" s="5" t="s">
        <v>5404</v>
      </c>
      <c r="B4981" s="5" t="s">
        <v>5328</v>
      </c>
      <c r="C4981" s="8">
        <v>1</v>
      </c>
      <c r="D4981" s="5" t="s">
        <v>162</v>
      </c>
      <c r="E4981" s="5"/>
      <c r="G4981" s="5"/>
      <c r="H4981" s="5"/>
    </row>
    <row r="4982" spans="1:8" x14ac:dyDescent="0.2">
      <c r="A4982" s="5" t="s">
        <v>5405</v>
      </c>
      <c r="B4982" s="5" t="s">
        <v>5330</v>
      </c>
      <c r="C4982" s="8">
        <v>1</v>
      </c>
      <c r="D4982" s="5" t="s">
        <v>162</v>
      </c>
      <c r="E4982" s="5"/>
      <c r="G4982" s="5"/>
      <c r="H4982" s="5"/>
    </row>
    <row r="4983" spans="1:8" x14ac:dyDescent="0.2">
      <c r="A4983" s="5"/>
      <c r="B4983" s="5" t="s">
        <v>46</v>
      </c>
      <c r="C4983" s="5"/>
      <c r="D4983" s="5" t="s">
        <v>322</v>
      </c>
      <c r="E4983" s="5"/>
      <c r="G4983" s="5"/>
      <c r="H4983" s="5"/>
    </row>
    <row r="4984" spans="1:8" x14ac:dyDescent="0.2">
      <c r="A4984" s="5"/>
      <c r="B4984" s="5" t="s">
        <v>5324</v>
      </c>
      <c r="C4984" s="5"/>
      <c r="D4984" s="5" t="s">
        <v>366</v>
      </c>
      <c r="E4984" s="5"/>
      <c r="G4984" s="5"/>
      <c r="H4984" s="5"/>
    </row>
    <row r="4985" spans="1:8" x14ac:dyDescent="0.2">
      <c r="A4985" s="5" t="s">
        <v>5406</v>
      </c>
      <c r="B4985" s="5" t="s">
        <v>5326</v>
      </c>
      <c r="C4985" s="8">
        <v>1</v>
      </c>
      <c r="D4985" s="5" t="s">
        <v>162</v>
      </c>
      <c r="E4985" s="5"/>
      <c r="G4985" s="5"/>
      <c r="H4985" s="5"/>
    </row>
    <row r="4986" spans="1:8" x14ac:dyDescent="0.2">
      <c r="A4986" s="5" t="s">
        <v>5407</v>
      </c>
      <c r="B4986" s="5" t="s">
        <v>5328</v>
      </c>
      <c r="C4986" s="8">
        <v>2</v>
      </c>
      <c r="D4986" s="5" t="s">
        <v>162</v>
      </c>
      <c r="E4986" s="5"/>
      <c r="G4986" s="5"/>
      <c r="H4986" s="5"/>
    </row>
    <row r="4987" spans="1:8" x14ac:dyDescent="0.2">
      <c r="A4987" s="5" t="s">
        <v>5408</v>
      </c>
      <c r="B4987" s="5" t="s">
        <v>5330</v>
      </c>
      <c r="C4987" s="8">
        <v>1</v>
      </c>
      <c r="D4987" s="5" t="s">
        <v>162</v>
      </c>
      <c r="E4987" s="5"/>
      <c r="G4987" s="5"/>
      <c r="H4987" s="5"/>
    </row>
    <row r="4988" spans="1:8" x14ac:dyDescent="0.2">
      <c r="A4988" s="5"/>
      <c r="B4988" s="5" t="s">
        <v>48</v>
      </c>
      <c r="C4988" s="5"/>
      <c r="D4988" s="5" t="s">
        <v>322</v>
      </c>
      <c r="E4988" s="5"/>
      <c r="G4988" s="5"/>
      <c r="H4988" s="5"/>
    </row>
    <row r="4989" spans="1:8" x14ac:dyDescent="0.2">
      <c r="A4989" s="5"/>
      <c r="B4989" s="5" t="s">
        <v>5324</v>
      </c>
      <c r="C4989" s="5"/>
      <c r="D4989" s="5" t="s">
        <v>366</v>
      </c>
      <c r="E4989" s="5"/>
      <c r="G4989" s="5"/>
      <c r="H4989" s="5"/>
    </row>
    <row r="4990" spans="1:8" x14ac:dyDescent="0.2">
      <c r="A4990" s="5" t="s">
        <v>5409</v>
      </c>
      <c r="B4990" s="5" t="s">
        <v>5326</v>
      </c>
      <c r="C4990" s="8">
        <v>1</v>
      </c>
      <c r="D4990" s="5" t="s">
        <v>162</v>
      </c>
      <c r="E4990" s="5"/>
      <c r="G4990" s="5"/>
      <c r="H4990" s="5"/>
    </row>
    <row r="4991" spans="1:8" x14ac:dyDescent="0.2">
      <c r="A4991" s="5" t="s">
        <v>5410</v>
      </c>
      <c r="B4991" s="5" t="s">
        <v>5328</v>
      </c>
      <c r="C4991" s="8">
        <v>6</v>
      </c>
      <c r="D4991" s="5" t="s">
        <v>162</v>
      </c>
      <c r="E4991" s="5"/>
      <c r="G4991" s="5"/>
      <c r="H4991" s="5"/>
    </row>
    <row r="4992" spans="1:8" x14ac:dyDescent="0.2">
      <c r="A4992" s="5" t="s">
        <v>5411</v>
      </c>
      <c r="B4992" s="5" t="s">
        <v>5330</v>
      </c>
      <c r="C4992" s="8">
        <v>2</v>
      </c>
      <c r="D4992" s="5" t="s">
        <v>162</v>
      </c>
      <c r="E4992" s="5"/>
      <c r="G4992" s="5"/>
      <c r="H4992" s="5"/>
    </row>
    <row r="4993" spans="1:9" x14ac:dyDescent="0.2">
      <c r="A4993" s="5"/>
      <c r="B4993" s="5" t="s">
        <v>5347</v>
      </c>
      <c r="C4993" s="5"/>
      <c r="D4993" s="5" t="s">
        <v>15</v>
      </c>
      <c r="E4993" s="5"/>
      <c r="G4993" s="5"/>
      <c r="H4993" s="5"/>
    </row>
    <row r="4994" spans="1:9" x14ac:dyDescent="0.2">
      <c r="A4994" s="5"/>
      <c r="B4994" s="5" t="s">
        <v>5348</v>
      </c>
      <c r="C4994" s="5"/>
      <c r="D4994" s="5" t="s">
        <v>322</v>
      </c>
      <c r="E4994" s="5"/>
      <c r="G4994" s="5"/>
      <c r="H4994" s="5"/>
    </row>
    <row r="4995" spans="1:9" x14ac:dyDescent="0.2">
      <c r="A4995" s="5" t="s">
        <v>5412</v>
      </c>
      <c r="B4995" s="5" t="s">
        <v>2411</v>
      </c>
      <c r="C4995" s="8">
        <v>45</v>
      </c>
      <c r="D4995" s="5" t="s">
        <v>42</v>
      </c>
      <c r="E4995" s="5"/>
      <c r="G4995" s="5"/>
      <c r="H4995" s="5"/>
    </row>
    <row r="4996" spans="1:9" x14ac:dyDescent="0.2">
      <c r="A4996" s="5" t="s">
        <v>5413</v>
      </c>
      <c r="B4996" s="5" t="s">
        <v>2414</v>
      </c>
      <c r="C4996" s="8">
        <v>136</v>
      </c>
      <c r="D4996" s="5" t="s">
        <v>42</v>
      </c>
      <c r="E4996" s="5"/>
      <c r="G4996" s="5"/>
      <c r="H4996" s="5"/>
    </row>
    <row r="4997" spans="1:9" x14ac:dyDescent="0.2">
      <c r="A4997" s="5" t="s">
        <v>5414</v>
      </c>
      <c r="B4997" s="5" t="s">
        <v>2445</v>
      </c>
      <c r="C4997" s="8">
        <v>45</v>
      </c>
      <c r="D4997" s="5" t="s">
        <v>42</v>
      </c>
      <c r="E4997" s="5"/>
      <c r="G4997" s="5"/>
      <c r="H4997" s="5"/>
    </row>
    <row r="4998" spans="1:9" x14ac:dyDescent="0.2">
      <c r="A4998" s="5" t="s">
        <v>5415</v>
      </c>
      <c r="B4998" s="5" t="s">
        <v>2448</v>
      </c>
      <c r="C4998" s="8">
        <v>159</v>
      </c>
      <c r="D4998" s="5" t="s">
        <v>42</v>
      </c>
      <c r="E4998" s="5"/>
      <c r="G4998" s="5"/>
      <c r="H4998" s="5"/>
    </row>
    <row r="4999" spans="1:9" x14ac:dyDescent="0.2">
      <c r="B4999" s="6" t="s">
        <v>5416</v>
      </c>
      <c r="C4999" s="6"/>
      <c r="D4999" s="6"/>
      <c r="E4999" s="6"/>
      <c r="F4999" s="9">
        <f>SUM(H4750:H4999)</f>
        <v>0</v>
      </c>
      <c r="G4999" s="6"/>
      <c r="I4999" s="9">
        <f>PRODUCT(F4999,G4999)</f>
        <v>0</v>
      </c>
    </row>
    <row r="5001" spans="1:9" x14ac:dyDescent="0.2">
      <c r="A5001" s="6" t="s">
        <v>5417</v>
      </c>
      <c r="B5001" s="6" t="s">
        <v>5418</v>
      </c>
    </row>
    <row r="5002" spans="1:9" x14ac:dyDescent="0.2">
      <c r="A5002" s="5"/>
      <c r="B5002" s="5" t="s">
        <v>64</v>
      </c>
      <c r="C5002" s="5"/>
      <c r="D5002" s="5" t="s">
        <v>13</v>
      </c>
      <c r="E5002" s="5"/>
      <c r="G5002" s="5"/>
      <c r="H5002" s="5"/>
    </row>
    <row r="5003" spans="1:9" x14ac:dyDescent="0.2">
      <c r="A5003" s="5" t="s">
        <v>5419</v>
      </c>
      <c r="B5003" s="5" t="s">
        <v>66</v>
      </c>
      <c r="C5003" s="5"/>
      <c r="D5003" s="5" t="s">
        <v>18</v>
      </c>
      <c r="E5003" s="5"/>
      <c r="G5003" s="5"/>
      <c r="H5003" s="5"/>
    </row>
    <row r="5004" spans="1:9" x14ac:dyDescent="0.2">
      <c r="A5004" s="5" t="s">
        <v>5420</v>
      </c>
      <c r="B5004" s="5" t="s">
        <v>68</v>
      </c>
      <c r="C5004" s="5"/>
      <c r="D5004" s="5" t="s">
        <v>18</v>
      </c>
      <c r="E5004" s="5"/>
      <c r="G5004" s="5"/>
      <c r="H5004" s="5"/>
    </row>
    <row r="5005" spans="1:9" x14ac:dyDescent="0.2">
      <c r="A5005" s="5"/>
      <c r="B5005" s="5" t="s">
        <v>71</v>
      </c>
      <c r="C5005" s="5"/>
      <c r="D5005" s="5" t="s">
        <v>13</v>
      </c>
      <c r="E5005" s="5"/>
      <c r="G5005" s="5"/>
      <c r="H5005" s="5"/>
    </row>
    <row r="5006" spans="1:9" x14ac:dyDescent="0.2">
      <c r="A5006" s="5" t="s">
        <v>5421</v>
      </c>
      <c r="B5006" s="5" t="s">
        <v>269</v>
      </c>
      <c r="C5006" s="5"/>
      <c r="D5006" s="5" t="s">
        <v>18</v>
      </c>
      <c r="E5006" s="5"/>
      <c r="G5006" s="5"/>
      <c r="H5006" s="5"/>
    </row>
    <row r="5007" spans="1:9" x14ac:dyDescent="0.2">
      <c r="A5007" s="5" t="s">
        <v>5422</v>
      </c>
      <c r="B5007" s="5" t="s">
        <v>5423</v>
      </c>
      <c r="C5007" s="5"/>
      <c r="D5007" s="5" t="s">
        <v>18</v>
      </c>
      <c r="E5007" s="5"/>
      <c r="G5007" s="5"/>
      <c r="H5007" s="5"/>
    </row>
    <row r="5008" spans="1:9" x14ac:dyDescent="0.2">
      <c r="A5008" s="5"/>
      <c r="B5008" s="5" t="s">
        <v>76</v>
      </c>
      <c r="C5008" s="5"/>
      <c r="D5008" s="5" t="s">
        <v>13</v>
      </c>
      <c r="E5008" s="5"/>
      <c r="G5008" s="5"/>
      <c r="H5008" s="5"/>
    </row>
    <row r="5009" spans="1:8" x14ac:dyDescent="0.2">
      <c r="A5009" s="5"/>
      <c r="B5009" s="5" t="s">
        <v>77</v>
      </c>
      <c r="C5009" s="5"/>
      <c r="D5009" s="5" t="s">
        <v>15</v>
      </c>
      <c r="E5009" s="5"/>
      <c r="G5009" s="5"/>
      <c r="H5009" s="5"/>
    </row>
    <row r="5010" spans="1:8" x14ac:dyDescent="0.2">
      <c r="A5010" s="5" t="s">
        <v>5424</v>
      </c>
      <c r="B5010" s="5" t="s">
        <v>2970</v>
      </c>
      <c r="C5010" s="5"/>
      <c r="D5010" s="5" t="s">
        <v>18</v>
      </c>
      <c r="E5010" s="5"/>
      <c r="G5010" s="5"/>
      <c r="H5010" s="5"/>
    </row>
    <row r="5011" spans="1:8" x14ac:dyDescent="0.2">
      <c r="A5011" s="5" t="s">
        <v>5425</v>
      </c>
      <c r="B5011" s="5" t="s">
        <v>299</v>
      </c>
      <c r="C5011" s="5"/>
      <c r="D5011" s="5" t="s">
        <v>18</v>
      </c>
      <c r="E5011" s="5"/>
      <c r="G5011" s="5"/>
      <c r="H5011" s="5"/>
    </row>
    <row r="5012" spans="1:8" x14ac:dyDescent="0.2">
      <c r="A5012" s="5"/>
      <c r="B5012" s="5" t="s">
        <v>94</v>
      </c>
      <c r="C5012" s="5"/>
      <c r="D5012" s="5" t="s">
        <v>13</v>
      </c>
      <c r="E5012" s="5"/>
      <c r="G5012" s="5"/>
      <c r="H5012" s="5"/>
    </row>
    <row r="5013" spans="1:8" x14ac:dyDescent="0.2">
      <c r="A5013" s="5" t="s">
        <v>5426</v>
      </c>
      <c r="B5013" s="5" t="s">
        <v>589</v>
      </c>
      <c r="C5013" s="8">
        <v>1</v>
      </c>
      <c r="D5013" s="5" t="s">
        <v>97</v>
      </c>
      <c r="E5013" s="5"/>
      <c r="G5013" s="5"/>
      <c r="H5013" s="5"/>
    </row>
    <row r="5014" spans="1:8" x14ac:dyDescent="0.2">
      <c r="A5014" s="5" t="s">
        <v>5427</v>
      </c>
      <c r="B5014" s="5" t="s">
        <v>111</v>
      </c>
      <c r="C5014" s="8">
        <v>1</v>
      </c>
      <c r="D5014" s="5" t="s">
        <v>97</v>
      </c>
      <c r="E5014" s="5"/>
      <c r="G5014" s="5"/>
      <c r="H5014" s="5"/>
    </row>
    <row r="5015" spans="1:8" x14ac:dyDescent="0.2">
      <c r="A5015" s="5" t="s">
        <v>5428</v>
      </c>
      <c r="B5015" s="5" t="s">
        <v>3969</v>
      </c>
      <c r="C5015" s="8">
        <v>1</v>
      </c>
      <c r="D5015" s="5" t="s">
        <v>97</v>
      </c>
      <c r="E5015" s="5"/>
      <c r="G5015" s="5"/>
      <c r="H5015" s="5"/>
    </row>
    <row r="5016" spans="1:8" x14ac:dyDescent="0.2">
      <c r="A5016" s="5" t="s">
        <v>5429</v>
      </c>
      <c r="B5016" s="5" t="s">
        <v>2761</v>
      </c>
      <c r="C5016" s="8">
        <v>1</v>
      </c>
      <c r="D5016" s="5" t="s">
        <v>97</v>
      </c>
      <c r="E5016" s="5"/>
      <c r="G5016" s="5"/>
      <c r="H5016" s="5"/>
    </row>
    <row r="5017" spans="1:8" x14ac:dyDescent="0.2">
      <c r="A5017" s="5"/>
      <c r="B5017" s="5" t="s">
        <v>135</v>
      </c>
      <c r="C5017" s="5"/>
      <c r="D5017" s="5" t="s">
        <v>13</v>
      </c>
      <c r="E5017" s="5"/>
      <c r="G5017" s="5"/>
      <c r="H5017" s="5"/>
    </row>
    <row r="5018" spans="1:8" x14ac:dyDescent="0.2">
      <c r="A5018" s="5" t="s">
        <v>5430</v>
      </c>
      <c r="B5018" s="5" t="s">
        <v>5431</v>
      </c>
      <c r="C5018" s="5"/>
      <c r="D5018" s="5" t="s">
        <v>18</v>
      </c>
      <c r="E5018" s="5"/>
      <c r="G5018" s="5"/>
      <c r="H5018" s="5"/>
    </row>
    <row r="5019" spans="1:8" x14ac:dyDescent="0.2">
      <c r="A5019" s="5" t="s">
        <v>5432</v>
      </c>
      <c r="B5019" s="5" t="s">
        <v>5433</v>
      </c>
      <c r="C5019" s="5"/>
      <c r="D5019" s="5" t="s">
        <v>18</v>
      </c>
      <c r="E5019" s="5"/>
      <c r="G5019" s="5"/>
      <c r="H5019" s="5"/>
    </row>
    <row r="5020" spans="1:8" x14ac:dyDescent="0.2">
      <c r="A5020" s="5" t="s">
        <v>5434</v>
      </c>
      <c r="B5020" s="5" t="s">
        <v>5435</v>
      </c>
      <c r="C5020" s="5"/>
      <c r="D5020" s="5" t="s">
        <v>18</v>
      </c>
      <c r="E5020" s="5"/>
      <c r="G5020" s="5"/>
      <c r="H5020" s="5"/>
    </row>
    <row r="5021" spans="1:8" x14ac:dyDescent="0.2">
      <c r="A5021" s="5" t="s">
        <v>5436</v>
      </c>
      <c r="B5021" s="5" t="s">
        <v>5437</v>
      </c>
      <c r="C5021" s="5"/>
      <c r="D5021" s="5" t="s">
        <v>18</v>
      </c>
      <c r="E5021" s="5"/>
      <c r="G5021" s="5"/>
      <c r="H5021" s="5"/>
    </row>
    <row r="5022" spans="1:8" x14ac:dyDescent="0.2">
      <c r="A5022" s="5" t="s">
        <v>5438</v>
      </c>
      <c r="B5022" s="5" t="s">
        <v>5439</v>
      </c>
      <c r="C5022" s="5"/>
      <c r="D5022" s="5" t="s">
        <v>18</v>
      </c>
      <c r="E5022" s="5"/>
      <c r="G5022" s="5"/>
      <c r="H5022" s="5"/>
    </row>
    <row r="5023" spans="1:8" x14ac:dyDescent="0.2">
      <c r="A5023" s="5" t="s">
        <v>5440</v>
      </c>
      <c r="B5023" s="5" t="s">
        <v>5441</v>
      </c>
      <c r="C5023" s="5"/>
      <c r="D5023" s="5" t="s">
        <v>18</v>
      </c>
      <c r="E5023" s="5"/>
      <c r="G5023" s="5"/>
      <c r="H5023" s="5"/>
    </row>
    <row r="5024" spans="1:8" x14ac:dyDescent="0.2">
      <c r="A5024" s="5" t="s">
        <v>5442</v>
      </c>
      <c r="B5024" s="5" t="s">
        <v>5443</v>
      </c>
      <c r="C5024" s="5"/>
      <c r="D5024" s="5" t="s">
        <v>18</v>
      </c>
      <c r="E5024" s="5"/>
      <c r="G5024" s="5"/>
      <c r="H5024" s="5"/>
    </row>
    <row r="5025" spans="1:8" x14ac:dyDescent="0.2">
      <c r="A5025" s="5" t="s">
        <v>5444</v>
      </c>
      <c r="B5025" s="5" t="s">
        <v>5445</v>
      </c>
      <c r="C5025" s="5"/>
      <c r="D5025" s="5" t="s">
        <v>18</v>
      </c>
      <c r="E5025" s="5"/>
      <c r="G5025" s="5"/>
      <c r="H5025" s="5"/>
    </row>
    <row r="5026" spans="1:8" x14ac:dyDescent="0.2">
      <c r="A5026" s="5" t="s">
        <v>5446</v>
      </c>
      <c r="B5026" s="5" t="s">
        <v>5447</v>
      </c>
      <c r="C5026" s="5"/>
      <c r="D5026" s="5" t="s">
        <v>18</v>
      </c>
      <c r="E5026" s="5"/>
      <c r="G5026" s="5"/>
      <c r="H5026" s="5"/>
    </row>
    <row r="5027" spans="1:8" x14ac:dyDescent="0.2">
      <c r="A5027" s="5" t="s">
        <v>5448</v>
      </c>
      <c r="B5027" s="5" t="s">
        <v>5449</v>
      </c>
      <c r="C5027" s="5"/>
      <c r="D5027" s="5" t="s">
        <v>18</v>
      </c>
      <c r="E5027" s="5"/>
      <c r="G5027" s="5"/>
      <c r="H5027" s="5"/>
    </row>
    <row r="5028" spans="1:8" x14ac:dyDescent="0.2">
      <c r="A5028" s="5" t="s">
        <v>5450</v>
      </c>
      <c r="B5028" s="5" t="s">
        <v>5451</v>
      </c>
      <c r="C5028" s="5"/>
      <c r="D5028" s="5" t="s">
        <v>18</v>
      </c>
      <c r="E5028" s="5"/>
      <c r="G5028" s="5"/>
      <c r="H5028" s="5"/>
    </row>
    <row r="5029" spans="1:8" x14ac:dyDescent="0.2">
      <c r="A5029" s="5" t="s">
        <v>5452</v>
      </c>
      <c r="B5029" s="5" t="s">
        <v>5453</v>
      </c>
      <c r="C5029" s="5"/>
      <c r="D5029" s="5" t="s">
        <v>18</v>
      </c>
      <c r="E5029" s="5"/>
      <c r="G5029" s="5"/>
      <c r="H5029" s="5"/>
    </row>
    <row r="5030" spans="1:8" x14ac:dyDescent="0.2">
      <c r="A5030" s="5"/>
      <c r="B5030" s="5" t="s">
        <v>38</v>
      </c>
      <c r="C5030" s="5"/>
      <c r="D5030" s="5" t="s">
        <v>13</v>
      </c>
      <c r="E5030" s="5"/>
      <c r="G5030" s="5"/>
      <c r="H5030" s="5"/>
    </row>
    <row r="5031" spans="1:8" x14ac:dyDescent="0.2">
      <c r="A5031" s="5"/>
      <c r="B5031" s="5" t="s">
        <v>5454</v>
      </c>
      <c r="C5031" s="5"/>
      <c r="D5031" s="5" t="s">
        <v>15</v>
      </c>
      <c r="E5031" s="5"/>
      <c r="G5031" s="5"/>
      <c r="H5031" s="5"/>
    </row>
    <row r="5032" spans="1:8" x14ac:dyDescent="0.2">
      <c r="A5032" s="5" t="s">
        <v>5455</v>
      </c>
      <c r="B5032" s="5" t="s">
        <v>5456</v>
      </c>
      <c r="C5032" s="8">
        <v>16</v>
      </c>
      <c r="D5032" s="5" t="s">
        <v>162</v>
      </c>
      <c r="E5032" s="5"/>
      <c r="G5032" s="5"/>
      <c r="H5032" s="5"/>
    </row>
    <row r="5033" spans="1:8" x14ac:dyDescent="0.2">
      <c r="A5033" s="5"/>
      <c r="B5033" s="5" t="s">
        <v>5457</v>
      </c>
      <c r="C5033" s="5"/>
      <c r="D5033" s="5" t="s">
        <v>322</v>
      </c>
      <c r="E5033" s="5"/>
      <c r="G5033" s="5"/>
      <c r="H5033" s="5"/>
    </row>
    <row r="5034" spans="1:8" x14ac:dyDescent="0.2">
      <c r="A5034" s="5" t="s">
        <v>5458</v>
      </c>
      <c r="B5034" s="5" t="s">
        <v>5459</v>
      </c>
      <c r="C5034" s="8">
        <v>12</v>
      </c>
      <c r="D5034" s="5" t="s">
        <v>162</v>
      </c>
      <c r="E5034" s="5"/>
      <c r="G5034" s="5"/>
      <c r="H5034" s="5"/>
    </row>
    <row r="5035" spans="1:8" x14ac:dyDescent="0.2">
      <c r="A5035" s="5" t="s">
        <v>5460</v>
      </c>
      <c r="B5035" s="5" t="s">
        <v>5461</v>
      </c>
      <c r="C5035" s="8">
        <v>318</v>
      </c>
      <c r="D5035" s="5" t="s">
        <v>162</v>
      </c>
      <c r="E5035" s="5"/>
      <c r="G5035" s="5"/>
      <c r="H5035" s="5"/>
    </row>
    <row r="5036" spans="1:8" x14ac:dyDescent="0.2">
      <c r="A5036" s="5" t="s">
        <v>5462</v>
      </c>
      <c r="B5036" s="5" t="s">
        <v>5463</v>
      </c>
      <c r="C5036" s="8">
        <v>188</v>
      </c>
      <c r="D5036" s="5" t="s">
        <v>162</v>
      </c>
      <c r="E5036" s="5"/>
      <c r="G5036" s="5"/>
      <c r="H5036" s="5"/>
    </row>
    <row r="5037" spans="1:8" x14ac:dyDescent="0.2">
      <c r="A5037" s="5" t="s">
        <v>5464</v>
      </c>
      <c r="B5037" s="5" t="s">
        <v>5465</v>
      </c>
      <c r="C5037" s="8">
        <v>12</v>
      </c>
      <c r="D5037" s="5" t="s">
        <v>162</v>
      </c>
      <c r="E5037" s="5"/>
      <c r="G5037" s="5"/>
      <c r="H5037" s="5"/>
    </row>
    <row r="5038" spans="1:8" x14ac:dyDescent="0.2">
      <c r="A5038" s="5" t="s">
        <v>5466</v>
      </c>
      <c r="B5038" s="5" t="s">
        <v>5467</v>
      </c>
      <c r="C5038" s="8">
        <v>64</v>
      </c>
      <c r="D5038" s="5" t="s">
        <v>162</v>
      </c>
      <c r="E5038" s="5"/>
      <c r="G5038" s="5"/>
      <c r="H5038" s="5"/>
    </row>
    <row r="5039" spans="1:8" x14ac:dyDescent="0.2">
      <c r="A5039" s="5" t="s">
        <v>5468</v>
      </c>
      <c r="B5039" s="5" t="s">
        <v>5469</v>
      </c>
      <c r="C5039" s="8">
        <v>65</v>
      </c>
      <c r="D5039" s="5" t="s">
        <v>162</v>
      </c>
      <c r="E5039" s="5"/>
      <c r="G5039" s="5"/>
      <c r="H5039" s="5"/>
    </row>
    <row r="5040" spans="1:8" x14ac:dyDescent="0.2">
      <c r="A5040" s="5" t="s">
        <v>5470</v>
      </c>
      <c r="B5040" s="5" t="s">
        <v>5471</v>
      </c>
      <c r="C5040" s="8">
        <v>36</v>
      </c>
      <c r="D5040" s="5" t="s">
        <v>162</v>
      </c>
      <c r="E5040" s="5"/>
      <c r="G5040" s="5"/>
      <c r="H5040" s="5"/>
    </row>
    <row r="5041" spans="1:8" x14ac:dyDescent="0.2">
      <c r="A5041" s="5" t="s">
        <v>5472</v>
      </c>
      <c r="B5041" s="5" t="s">
        <v>5473</v>
      </c>
      <c r="C5041" s="8">
        <v>29</v>
      </c>
      <c r="D5041" s="5" t="s">
        <v>162</v>
      </c>
      <c r="E5041" s="5"/>
      <c r="G5041" s="5"/>
      <c r="H5041" s="5"/>
    </row>
    <row r="5042" spans="1:8" x14ac:dyDescent="0.2">
      <c r="A5042" s="5" t="s">
        <v>5474</v>
      </c>
      <c r="B5042" s="5" t="s">
        <v>5475</v>
      </c>
      <c r="C5042" s="8">
        <v>9</v>
      </c>
      <c r="D5042" s="5" t="s">
        <v>162</v>
      </c>
      <c r="E5042" s="5"/>
      <c r="G5042" s="5"/>
      <c r="H5042" s="5"/>
    </row>
    <row r="5043" spans="1:8" x14ac:dyDescent="0.2">
      <c r="A5043" s="5" t="s">
        <v>5476</v>
      </c>
      <c r="B5043" s="5" t="s">
        <v>5477</v>
      </c>
      <c r="C5043" s="8">
        <v>35</v>
      </c>
      <c r="D5043" s="5" t="s">
        <v>162</v>
      </c>
      <c r="E5043" s="5"/>
      <c r="G5043" s="5"/>
      <c r="H5043" s="5"/>
    </row>
    <row r="5044" spans="1:8" x14ac:dyDescent="0.2">
      <c r="A5044" s="5" t="s">
        <v>5478</v>
      </c>
      <c r="B5044" s="5" t="s">
        <v>5479</v>
      </c>
      <c r="C5044" s="8">
        <v>4</v>
      </c>
      <c r="D5044" s="5" t="s">
        <v>162</v>
      </c>
      <c r="E5044" s="5"/>
      <c r="G5044" s="5"/>
      <c r="H5044" s="5"/>
    </row>
    <row r="5045" spans="1:8" x14ac:dyDescent="0.2">
      <c r="A5045" s="5" t="s">
        <v>5480</v>
      </c>
      <c r="B5045" s="5" t="s">
        <v>5481</v>
      </c>
      <c r="C5045" s="8">
        <v>9</v>
      </c>
      <c r="D5045" s="5" t="s">
        <v>162</v>
      </c>
      <c r="E5045" s="5"/>
      <c r="G5045" s="5"/>
      <c r="H5045" s="5"/>
    </row>
    <row r="5046" spans="1:8" x14ac:dyDescent="0.2">
      <c r="A5046" s="5" t="s">
        <v>5482</v>
      </c>
      <c r="B5046" s="5" t="s">
        <v>5483</v>
      </c>
      <c r="C5046" s="8">
        <v>35</v>
      </c>
      <c r="D5046" s="5" t="s">
        <v>162</v>
      </c>
      <c r="E5046" s="5"/>
      <c r="G5046" s="5"/>
      <c r="H5046" s="5"/>
    </row>
    <row r="5047" spans="1:8" x14ac:dyDescent="0.2">
      <c r="A5047" s="5" t="s">
        <v>5484</v>
      </c>
      <c r="B5047" s="5" t="s">
        <v>5485</v>
      </c>
      <c r="C5047" s="8">
        <v>14</v>
      </c>
      <c r="D5047" s="5" t="s">
        <v>162</v>
      </c>
      <c r="E5047" s="5"/>
      <c r="G5047" s="5"/>
      <c r="H5047" s="5"/>
    </row>
    <row r="5048" spans="1:8" x14ac:dyDescent="0.2">
      <c r="A5048" s="5" t="s">
        <v>5486</v>
      </c>
      <c r="B5048" s="5" t="s">
        <v>5487</v>
      </c>
      <c r="C5048" s="8">
        <v>8</v>
      </c>
      <c r="D5048" s="5" t="s">
        <v>162</v>
      </c>
      <c r="E5048" s="5"/>
      <c r="G5048" s="5"/>
      <c r="H5048" s="5"/>
    </row>
    <row r="5049" spans="1:8" x14ac:dyDescent="0.2">
      <c r="A5049" s="5"/>
      <c r="B5049" s="5" t="s">
        <v>5488</v>
      </c>
      <c r="C5049" s="5"/>
      <c r="D5049" s="5" t="s">
        <v>322</v>
      </c>
      <c r="E5049" s="5"/>
      <c r="G5049" s="5"/>
      <c r="H5049" s="5"/>
    </row>
    <row r="5050" spans="1:8" x14ac:dyDescent="0.2">
      <c r="A5050" s="5" t="s">
        <v>5489</v>
      </c>
      <c r="B5050" s="5" t="s">
        <v>5490</v>
      </c>
      <c r="C5050" s="8">
        <v>21</v>
      </c>
      <c r="D5050" s="5" t="s">
        <v>162</v>
      </c>
      <c r="E5050" s="5"/>
      <c r="G5050" s="5"/>
      <c r="H5050" s="5"/>
    </row>
    <row r="5051" spans="1:8" x14ac:dyDescent="0.2">
      <c r="A5051" s="5" t="s">
        <v>5491</v>
      </c>
      <c r="B5051" s="5" t="s">
        <v>5492</v>
      </c>
      <c r="C5051" s="8">
        <v>4</v>
      </c>
      <c r="D5051" s="5" t="s">
        <v>162</v>
      </c>
      <c r="E5051" s="5"/>
      <c r="G5051" s="5"/>
      <c r="H5051" s="5"/>
    </row>
    <row r="5052" spans="1:8" x14ac:dyDescent="0.2">
      <c r="A5052" s="5"/>
      <c r="B5052" s="5" t="s">
        <v>5493</v>
      </c>
      <c r="C5052" s="5"/>
      <c r="D5052" s="5" t="s">
        <v>322</v>
      </c>
      <c r="E5052" s="5"/>
      <c r="G5052" s="5"/>
      <c r="H5052" s="5"/>
    </row>
    <row r="5053" spans="1:8" x14ac:dyDescent="0.2">
      <c r="A5053" s="5" t="s">
        <v>5494</v>
      </c>
      <c r="B5053" s="5" t="s">
        <v>5495</v>
      </c>
      <c r="C5053" s="8">
        <v>14</v>
      </c>
      <c r="D5053" s="5" t="s">
        <v>162</v>
      </c>
      <c r="E5053" s="5"/>
      <c r="G5053" s="5"/>
      <c r="H5053" s="5"/>
    </row>
    <row r="5054" spans="1:8" x14ac:dyDescent="0.2">
      <c r="A5054" s="5" t="s">
        <v>5496</v>
      </c>
      <c r="B5054" s="5" t="s">
        <v>5497</v>
      </c>
      <c r="C5054" s="8">
        <v>6</v>
      </c>
      <c r="D5054" s="5" t="s">
        <v>162</v>
      </c>
      <c r="E5054" s="5"/>
      <c r="G5054" s="5"/>
      <c r="H5054" s="5"/>
    </row>
    <row r="5055" spans="1:8" x14ac:dyDescent="0.2">
      <c r="A5055" s="5" t="s">
        <v>5498</v>
      </c>
      <c r="B5055" s="5" t="s">
        <v>5499</v>
      </c>
      <c r="C5055" s="8">
        <v>12</v>
      </c>
      <c r="D5055" s="5" t="s">
        <v>162</v>
      </c>
      <c r="E5055" s="5"/>
      <c r="G5055" s="5"/>
      <c r="H5055" s="5"/>
    </row>
    <row r="5056" spans="1:8" x14ac:dyDescent="0.2">
      <c r="A5056" s="5" t="s">
        <v>5500</v>
      </c>
      <c r="B5056" s="5" t="s">
        <v>5501</v>
      </c>
      <c r="C5056" s="8">
        <v>4</v>
      </c>
      <c r="D5056" s="5" t="s">
        <v>162</v>
      </c>
      <c r="E5056" s="5"/>
      <c r="G5056" s="5"/>
      <c r="H5056" s="5"/>
    </row>
    <row r="5057" spans="1:8" x14ac:dyDescent="0.2">
      <c r="A5057" s="5" t="s">
        <v>5502</v>
      </c>
      <c r="B5057" s="5" t="s">
        <v>5503</v>
      </c>
      <c r="C5057" s="8">
        <v>26</v>
      </c>
      <c r="D5057" s="5" t="s">
        <v>162</v>
      </c>
      <c r="E5057" s="5"/>
      <c r="G5057" s="5"/>
      <c r="H5057" s="5"/>
    </row>
    <row r="5058" spans="1:8" x14ac:dyDescent="0.2">
      <c r="A5058" s="5" t="s">
        <v>5504</v>
      </c>
      <c r="B5058" s="5" t="s">
        <v>5505</v>
      </c>
      <c r="C5058" s="8">
        <v>16</v>
      </c>
      <c r="D5058" s="5" t="s">
        <v>162</v>
      </c>
      <c r="E5058" s="5"/>
      <c r="G5058" s="5"/>
      <c r="H5058" s="5"/>
    </row>
    <row r="5059" spans="1:8" x14ac:dyDescent="0.2">
      <c r="A5059" s="5" t="s">
        <v>5506</v>
      </c>
      <c r="B5059" s="5" t="s">
        <v>5507</v>
      </c>
      <c r="C5059" s="8">
        <v>7</v>
      </c>
      <c r="D5059" s="5" t="s">
        <v>162</v>
      </c>
      <c r="E5059" s="5"/>
      <c r="G5059" s="5"/>
      <c r="H5059" s="5"/>
    </row>
    <row r="5060" spans="1:8" x14ac:dyDescent="0.2">
      <c r="A5060" s="5"/>
      <c r="B5060" s="5" t="s">
        <v>5508</v>
      </c>
      <c r="C5060" s="5"/>
      <c r="D5060" s="5" t="s">
        <v>322</v>
      </c>
      <c r="E5060" s="5"/>
      <c r="G5060" s="5"/>
      <c r="H5060" s="5"/>
    </row>
    <row r="5061" spans="1:8" x14ac:dyDescent="0.2">
      <c r="A5061" s="5" t="s">
        <v>5509</v>
      </c>
      <c r="B5061" s="5" t="s">
        <v>5510</v>
      </c>
      <c r="C5061" s="8">
        <v>159</v>
      </c>
      <c r="D5061" s="5" t="s">
        <v>162</v>
      </c>
      <c r="E5061" s="5"/>
      <c r="G5061" s="5"/>
      <c r="H5061" s="5"/>
    </row>
    <row r="5062" spans="1:8" x14ac:dyDescent="0.2">
      <c r="A5062" s="5" t="s">
        <v>5511</v>
      </c>
      <c r="B5062" s="5" t="s">
        <v>5512</v>
      </c>
      <c r="C5062" s="8">
        <v>22</v>
      </c>
      <c r="D5062" s="5" t="s">
        <v>162</v>
      </c>
      <c r="E5062" s="5"/>
      <c r="G5062" s="5"/>
      <c r="H5062" s="5"/>
    </row>
    <row r="5063" spans="1:8" x14ac:dyDescent="0.2">
      <c r="A5063" s="5" t="s">
        <v>5513</v>
      </c>
      <c r="B5063" s="5" t="s">
        <v>5514</v>
      </c>
      <c r="C5063" s="8">
        <v>8</v>
      </c>
      <c r="D5063" s="5" t="s">
        <v>162</v>
      </c>
      <c r="E5063" s="5"/>
      <c r="G5063" s="5"/>
      <c r="H5063" s="5"/>
    </row>
    <row r="5064" spans="1:8" x14ac:dyDescent="0.2">
      <c r="A5064" s="5" t="s">
        <v>5515</v>
      </c>
      <c r="B5064" s="5" t="s">
        <v>5516</v>
      </c>
      <c r="C5064" s="8">
        <v>16</v>
      </c>
      <c r="D5064" s="5" t="s">
        <v>162</v>
      </c>
      <c r="E5064" s="5"/>
      <c r="G5064" s="5"/>
      <c r="H5064" s="5"/>
    </row>
    <row r="5065" spans="1:8" x14ac:dyDescent="0.2">
      <c r="A5065" s="5" t="s">
        <v>5517</v>
      </c>
      <c r="B5065" s="5" t="s">
        <v>5518</v>
      </c>
      <c r="C5065" s="8">
        <v>62</v>
      </c>
      <c r="D5065" s="5" t="s">
        <v>162</v>
      </c>
      <c r="E5065" s="5"/>
      <c r="G5065" s="5"/>
      <c r="H5065" s="5"/>
    </row>
    <row r="5066" spans="1:8" x14ac:dyDescent="0.2">
      <c r="A5066" s="5" t="s">
        <v>5519</v>
      </c>
      <c r="B5066" s="5" t="s">
        <v>5520</v>
      </c>
      <c r="C5066" s="8">
        <v>11</v>
      </c>
      <c r="D5066" s="5" t="s">
        <v>162</v>
      </c>
      <c r="E5066" s="5"/>
      <c r="G5066" s="5"/>
      <c r="H5066" s="5"/>
    </row>
    <row r="5067" spans="1:8" x14ac:dyDescent="0.2">
      <c r="A5067" s="5" t="s">
        <v>5521</v>
      </c>
      <c r="B5067" s="5" t="s">
        <v>5522</v>
      </c>
      <c r="C5067" s="8">
        <v>2</v>
      </c>
      <c r="D5067" s="5" t="s">
        <v>162</v>
      </c>
      <c r="E5067" s="5"/>
      <c r="G5067" s="5"/>
      <c r="H5067" s="5"/>
    </row>
    <row r="5068" spans="1:8" x14ac:dyDescent="0.2">
      <c r="A5068" s="5" t="s">
        <v>5523</v>
      </c>
      <c r="B5068" s="5" t="s">
        <v>5524</v>
      </c>
      <c r="C5068" s="8">
        <v>6</v>
      </c>
      <c r="D5068" s="5" t="s">
        <v>162</v>
      </c>
      <c r="E5068" s="5"/>
      <c r="G5068" s="5"/>
      <c r="H5068" s="5"/>
    </row>
    <row r="5069" spans="1:8" x14ac:dyDescent="0.2">
      <c r="A5069" s="5" t="s">
        <v>5525</v>
      </c>
      <c r="B5069" s="5" t="s">
        <v>5526</v>
      </c>
      <c r="C5069" s="8">
        <v>2</v>
      </c>
      <c r="D5069" s="5" t="s">
        <v>162</v>
      </c>
      <c r="E5069" s="5"/>
      <c r="G5069" s="5"/>
      <c r="H5069" s="5"/>
    </row>
    <row r="5070" spans="1:8" x14ac:dyDescent="0.2">
      <c r="A5070" s="5" t="s">
        <v>5527</v>
      </c>
      <c r="B5070" s="5" t="s">
        <v>5528</v>
      </c>
      <c r="C5070" s="8">
        <v>34</v>
      </c>
      <c r="D5070" s="5" t="s">
        <v>162</v>
      </c>
      <c r="E5070" s="5"/>
      <c r="G5070" s="5"/>
      <c r="H5070" s="5"/>
    </row>
    <row r="5071" spans="1:8" x14ac:dyDescent="0.2">
      <c r="A5071" s="5" t="s">
        <v>5529</v>
      </c>
      <c r="B5071" s="5" t="s">
        <v>5530</v>
      </c>
      <c r="C5071" s="8">
        <v>10</v>
      </c>
      <c r="D5071" s="5" t="s">
        <v>162</v>
      </c>
      <c r="E5071" s="5"/>
      <c r="G5071" s="5"/>
      <c r="H5071" s="5"/>
    </row>
    <row r="5072" spans="1:8" x14ac:dyDescent="0.2">
      <c r="A5072" s="5" t="s">
        <v>5531</v>
      </c>
      <c r="B5072" s="5" t="s">
        <v>5532</v>
      </c>
      <c r="C5072" s="8">
        <v>5</v>
      </c>
      <c r="D5072" s="5" t="s">
        <v>162</v>
      </c>
      <c r="E5072" s="5"/>
      <c r="G5072" s="5"/>
      <c r="H5072" s="5"/>
    </row>
    <row r="5073" spans="1:8" x14ac:dyDescent="0.2">
      <c r="A5073" s="5" t="s">
        <v>5533</v>
      </c>
      <c r="B5073" s="5" t="s">
        <v>5534</v>
      </c>
      <c r="C5073" s="8">
        <v>10</v>
      </c>
      <c r="D5073" s="5" t="s">
        <v>162</v>
      </c>
      <c r="E5073" s="5"/>
      <c r="G5073" s="5"/>
      <c r="H5073" s="5"/>
    </row>
    <row r="5074" spans="1:8" x14ac:dyDescent="0.2">
      <c r="A5074" s="5" t="s">
        <v>5535</v>
      </c>
      <c r="B5074" s="5" t="s">
        <v>5536</v>
      </c>
      <c r="C5074" s="8">
        <v>9</v>
      </c>
      <c r="D5074" s="5" t="s">
        <v>162</v>
      </c>
      <c r="E5074" s="5"/>
      <c r="G5074" s="5"/>
      <c r="H5074" s="5"/>
    </row>
    <row r="5075" spans="1:8" x14ac:dyDescent="0.2">
      <c r="A5075" s="5"/>
      <c r="B5075" s="5" t="s">
        <v>5537</v>
      </c>
      <c r="C5075" s="5"/>
      <c r="D5075" s="5" t="s">
        <v>322</v>
      </c>
      <c r="E5075" s="5"/>
      <c r="G5075" s="5"/>
      <c r="H5075" s="5"/>
    </row>
    <row r="5076" spans="1:8" x14ac:dyDescent="0.2">
      <c r="A5076" s="5" t="s">
        <v>5538</v>
      </c>
      <c r="B5076" s="5" t="s">
        <v>5539</v>
      </c>
      <c r="C5076" s="8">
        <v>2</v>
      </c>
      <c r="D5076" s="5" t="s">
        <v>162</v>
      </c>
      <c r="E5076" s="5"/>
      <c r="G5076" s="5"/>
      <c r="H5076" s="5"/>
    </row>
    <row r="5077" spans="1:8" x14ac:dyDescent="0.2">
      <c r="A5077" s="5" t="s">
        <v>5540</v>
      </c>
      <c r="B5077" s="5" t="s">
        <v>5541</v>
      </c>
      <c r="C5077" s="8">
        <v>5</v>
      </c>
      <c r="D5077" s="5" t="s">
        <v>162</v>
      </c>
      <c r="E5077" s="5"/>
      <c r="G5077" s="5"/>
      <c r="H5077" s="5"/>
    </row>
    <row r="5078" spans="1:8" x14ac:dyDescent="0.2">
      <c r="A5078" s="5" t="s">
        <v>5542</v>
      </c>
      <c r="B5078" s="5" t="s">
        <v>5543</v>
      </c>
      <c r="C5078" s="8">
        <v>1</v>
      </c>
      <c r="D5078" s="5" t="s">
        <v>162</v>
      </c>
      <c r="E5078" s="5"/>
      <c r="G5078" s="5"/>
      <c r="H5078" s="5"/>
    </row>
    <row r="5079" spans="1:8" x14ac:dyDescent="0.2">
      <c r="A5079" s="5" t="s">
        <v>5544</v>
      </c>
      <c r="B5079" s="5" t="s">
        <v>5545</v>
      </c>
      <c r="C5079" s="8">
        <v>1</v>
      </c>
      <c r="D5079" s="5" t="s">
        <v>162</v>
      </c>
      <c r="E5079" s="5"/>
      <c r="G5079" s="5"/>
      <c r="H5079" s="5"/>
    </row>
    <row r="5080" spans="1:8" x14ac:dyDescent="0.2">
      <c r="A5080" s="5"/>
      <c r="B5080" s="5" t="s">
        <v>5546</v>
      </c>
      <c r="C5080" s="5"/>
      <c r="D5080" s="5" t="s">
        <v>15</v>
      </c>
      <c r="E5080" s="5"/>
      <c r="G5080" s="5"/>
      <c r="H5080" s="5"/>
    </row>
    <row r="5081" spans="1:8" x14ac:dyDescent="0.2">
      <c r="A5081" s="5" t="s">
        <v>5547</v>
      </c>
      <c r="B5081" s="5" t="s">
        <v>5548</v>
      </c>
      <c r="C5081" s="8">
        <v>8</v>
      </c>
      <c r="D5081" s="5" t="s">
        <v>162</v>
      </c>
      <c r="E5081" s="5"/>
      <c r="G5081" s="5"/>
      <c r="H5081" s="5"/>
    </row>
    <row r="5082" spans="1:8" x14ac:dyDescent="0.2">
      <c r="A5082" s="5" t="s">
        <v>5549</v>
      </c>
      <c r="B5082" s="5" t="s">
        <v>5550</v>
      </c>
      <c r="C5082" s="8">
        <v>14</v>
      </c>
      <c r="D5082" s="5" t="s">
        <v>162</v>
      </c>
      <c r="E5082" s="5"/>
      <c r="G5082" s="5"/>
      <c r="H5082" s="5"/>
    </row>
    <row r="5083" spans="1:8" x14ac:dyDescent="0.2">
      <c r="A5083" s="5" t="s">
        <v>5551</v>
      </c>
      <c r="B5083" s="5" t="s">
        <v>5552</v>
      </c>
      <c r="C5083" s="8">
        <v>1</v>
      </c>
      <c r="D5083" s="5" t="s">
        <v>162</v>
      </c>
      <c r="E5083" s="5"/>
      <c r="G5083" s="5"/>
      <c r="H5083" s="5"/>
    </row>
    <row r="5084" spans="1:8" x14ac:dyDescent="0.2">
      <c r="A5084" s="5" t="s">
        <v>5553</v>
      </c>
      <c r="B5084" s="5" t="s">
        <v>5554</v>
      </c>
      <c r="C5084" s="8">
        <v>4</v>
      </c>
      <c r="D5084" s="5" t="s">
        <v>162</v>
      </c>
      <c r="E5084" s="5"/>
      <c r="G5084" s="5"/>
      <c r="H5084" s="5"/>
    </row>
    <row r="5085" spans="1:8" x14ac:dyDescent="0.2">
      <c r="A5085" s="5" t="s">
        <v>5555</v>
      </c>
      <c r="B5085" s="5" t="s">
        <v>5556</v>
      </c>
      <c r="C5085" s="8">
        <v>24</v>
      </c>
      <c r="D5085" s="5" t="s">
        <v>162</v>
      </c>
      <c r="E5085" s="5"/>
      <c r="G5085" s="5"/>
      <c r="H5085" s="5"/>
    </row>
    <row r="5086" spans="1:8" x14ac:dyDescent="0.2">
      <c r="A5086" s="5" t="s">
        <v>5557</v>
      </c>
      <c r="B5086" s="5" t="s">
        <v>5558</v>
      </c>
      <c r="C5086" s="8">
        <v>4</v>
      </c>
      <c r="D5086" s="5" t="s">
        <v>162</v>
      </c>
      <c r="E5086" s="5"/>
      <c r="G5086" s="5"/>
      <c r="H5086" s="5"/>
    </row>
    <row r="5087" spans="1:8" x14ac:dyDescent="0.2">
      <c r="A5087" s="5" t="s">
        <v>5559</v>
      </c>
      <c r="B5087" s="5" t="s">
        <v>5560</v>
      </c>
      <c r="C5087" s="8">
        <v>4</v>
      </c>
      <c r="D5087" s="5" t="s">
        <v>162</v>
      </c>
      <c r="E5087" s="5"/>
      <c r="G5087" s="5"/>
      <c r="H5087" s="5"/>
    </row>
    <row r="5088" spans="1:8" x14ac:dyDescent="0.2">
      <c r="A5088" s="5" t="s">
        <v>5561</v>
      </c>
      <c r="B5088" s="5" t="s">
        <v>5562</v>
      </c>
      <c r="C5088" s="8">
        <v>1</v>
      </c>
      <c r="D5088" s="5" t="s">
        <v>162</v>
      </c>
      <c r="E5088" s="5"/>
      <c r="G5088" s="5"/>
      <c r="H5088" s="5"/>
    </row>
    <row r="5089" spans="1:8" x14ac:dyDescent="0.2">
      <c r="A5089" s="5" t="s">
        <v>5563</v>
      </c>
      <c r="B5089" s="5" t="s">
        <v>5564</v>
      </c>
      <c r="C5089" s="8">
        <v>2</v>
      </c>
      <c r="D5089" s="5" t="s">
        <v>162</v>
      </c>
      <c r="E5089" s="5"/>
      <c r="G5089" s="5"/>
      <c r="H5089" s="5"/>
    </row>
    <row r="5090" spans="1:8" x14ac:dyDescent="0.2">
      <c r="A5090" s="5" t="s">
        <v>5565</v>
      </c>
      <c r="B5090" s="5" t="s">
        <v>5566</v>
      </c>
      <c r="C5090" s="8">
        <v>2</v>
      </c>
      <c r="D5090" s="5" t="s">
        <v>162</v>
      </c>
      <c r="E5090" s="5"/>
      <c r="G5090" s="5"/>
      <c r="H5090" s="5"/>
    </row>
    <row r="5091" spans="1:8" x14ac:dyDescent="0.2">
      <c r="A5091" s="5" t="s">
        <v>5567</v>
      </c>
      <c r="B5091" s="5" t="s">
        <v>5568</v>
      </c>
      <c r="C5091" s="8">
        <v>20</v>
      </c>
      <c r="D5091" s="5" t="s">
        <v>162</v>
      </c>
      <c r="E5091" s="5"/>
      <c r="G5091" s="5"/>
      <c r="H5091" s="5"/>
    </row>
    <row r="5092" spans="1:8" x14ac:dyDescent="0.2">
      <c r="A5092" s="5" t="s">
        <v>5569</v>
      </c>
      <c r="B5092" s="5" t="s">
        <v>5570</v>
      </c>
      <c r="C5092" s="8">
        <v>5</v>
      </c>
      <c r="D5092" s="5" t="s">
        <v>162</v>
      </c>
      <c r="E5092" s="5"/>
      <c r="G5092" s="5"/>
      <c r="H5092" s="5"/>
    </row>
    <row r="5093" spans="1:8" x14ac:dyDescent="0.2">
      <c r="A5093" s="5" t="s">
        <v>5571</v>
      </c>
      <c r="B5093" s="5" t="s">
        <v>5572</v>
      </c>
      <c r="C5093" s="8">
        <v>3</v>
      </c>
      <c r="D5093" s="5" t="s">
        <v>162</v>
      </c>
      <c r="E5093" s="5"/>
      <c r="G5093" s="5"/>
      <c r="H5093" s="5"/>
    </row>
    <row r="5094" spans="1:8" x14ac:dyDescent="0.2">
      <c r="A5094" s="5" t="s">
        <v>5573</v>
      </c>
      <c r="B5094" s="5" t="s">
        <v>5574</v>
      </c>
      <c r="C5094" s="8">
        <v>2</v>
      </c>
      <c r="D5094" s="5" t="s">
        <v>162</v>
      </c>
      <c r="E5094" s="5"/>
      <c r="G5094" s="5"/>
      <c r="H5094" s="5"/>
    </row>
    <row r="5095" spans="1:8" x14ac:dyDescent="0.2">
      <c r="A5095" s="5" t="s">
        <v>5575</v>
      </c>
      <c r="B5095" s="5" t="s">
        <v>5576</v>
      </c>
      <c r="C5095" s="8">
        <v>3</v>
      </c>
      <c r="D5095" s="5" t="s">
        <v>162</v>
      </c>
      <c r="E5095" s="5"/>
      <c r="G5095" s="5"/>
      <c r="H5095" s="5"/>
    </row>
    <row r="5096" spans="1:8" x14ac:dyDescent="0.2">
      <c r="A5096" s="5" t="s">
        <v>5577</v>
      </c>
      <c r="B5096" s="5" t="s">
        <v>5578</v>
      </c>
      <c r="C5096" s="8">
        <v>3</v>
      </c>
      <c r="D5096" s="5" t="s">
        <v>162</v>
      </c>
      <c r="E5096" s="5"/>
      <c r="G5096" s="5"/>
      <c r="H5096" s="5"/>
    </row>
    <row r="5097" spans="1:8" x14ac:dyDescent="0.2">
      <c r="A5097" s="5" t="s">
        <v>5579</v>
      </c>
      <c r="B5097" s="5" t="s">
        <v>5580</v>
      </c>
      <c r="C5097" s="8">
        <v>15</v>
      </c>
      <c r="D5097" s="5" t="s">
        <v>162</v>
      </c>
      <c r="E5097" s="5"/>
      <c r="G5097" s="5"/>
      <c r="H5097" s="5"/>
    </row>
    <row r="5098" spans="1:8" x14ac:dyDescent="0.2">
      <c r="A5098" s="5" t="s">
        <v>5581</v>
      </c>
      <c r="B5098" s="5" t="s">
        <v>5582</v>
      </c>
      <c r="C5098" s="8">
        <v>6</v>
      </c>
      <c r="D5098" s="5" t="s">
        <v>162</v>
      </c>
      <c r="E5098" s="5"/>
      <c r="G5098" s="5"/>
      <c r="H5098" s="5"/>
    </row>
    <row r="5099" spans="1:8" x14ac:dyDescent="0.2">
      <c r="A5099" s="5" t="s">
        <v>5583</v>
      </c>
      <c r="B5099" s="5" t="s">
        <v>5584</v>
      </c>
      <c r="C5099" s="8">
        <v>5</v>
      </c>
      <c r="D5099" s="5" t="s">
        <v>162</v>
      </c>
      <c r="E5099" s="5"/>
      <c r="G5099" s="5"/>
      <c r="H5099" s="5"/>
    </row>
    <row r="5100" spans="1:8" x14ac:dyDescent="0.2">
      <c r="A5100" s="5"/>
      <c r="B5100" s="5" t="s">
        <v>5585</v>
      </c>
      <c r="C5100" s="5"/>
      <c r="D5100" s="5" t="s">
        <v>15</v>
      </c>
      <c r="E5100" s="5"/>
      <c r="G5100" s="5"/>
      <c r="H5100" s="5"/>
    </row>
    <row r="5101" spans="1:8" x14ac:dyDescent="0.2">
      <c r="A5101" s="5" t="s">
        <v>5586</v>
      </c>
      <c r="B5101" s="5" t="s">
        <v>5587</v>
      </c>
      <c r="C5101" s="8">
        <v>21</v>
      </c>
      <c r="D5101" s="5" t="s">
        <v>162</v>
      </c>
      <c r="E5101" s="5"/>
      <c r="G5101" s="5"/>
      <c r="H5101" s="5"/>
    </row>
    <row r="5102" spans="1:8" x14ac:dyDescent="0.2">
      <c r="A5102" s="5" t="s">
        <v>5588</v>
      </c>
      <c r="B5102" s="5" t="s">
        <v>5589</v>
      </c>
      <c r="C5102" s="8">
        <v>12</v>
      </c>
      <c r="D5102" s="5" t="s">
        <v>162</v>
      </c>
      <c r="E5102" s="5"/>
      <c r="G5102" s="5"/>
      <c r="H5102" s="5"/>
    </row>
    <row r="5103" spans="1:8" x14ac:dyDescent="0.2">
      <c r="A5103" s="5" t="s">
        <v>5590</v>
      </c>
      <c r="B5103" s="5" t="s">
        <v>5591</v>
      </c>
      <c r="C5103" s="8">
        <v>2</v>
      </c>
      <c r="D5103" s="5" t="s">
        <v>162</v>
      </c>
      <c r="E5103" s="5"/>
      <c r="G5103" s="5"/>
      <c r="H5103" s="5"/>
    </row>
    <row r="5104" spans="1:8" x14ac:dyDescent="0.2">
      <c r="A5104" s="5" t="s">
        <v>5592</v>
      </c>
      <c r="B5104" s="5" t="s">
        <v>5593</v>
      </c>
      <c r="C5104" s="8">
        <v>3</v>
      </c>
      <c r="D5104" s="5" t="s">
        <v>162</v>
      </c>
      <c r="E5104" s="5"/>
      <c r="G5104" s="5"/>
      <c r="H5104" s="5"/>
    </row>
    <row r="5105" spans="1:8" x14ac:dyDescent="0.2">
      <c r="A5105" s="5" t="s">
        <v>5594</v>
      </c>
      <c r="B5105" s="5" t="s">
        <v>5595</v>
      </c>
      <c r="C5105" s="8">
        <v>22</v>
      </c>
      <c r="D5105" s="5" t="s">
        <v>162</v>
      </c>
      <c r="E5105" s="5"/>
      <c r="G5105" s="5"/>
      <c r="H5105" s="5"/>
    </row>
    <row r="5106" spans="1:8" x14ac:dyDescent="0.2">
      <c r="A5106" s="5" t="s">
        <v>5596</v>
      </c>
      <c r="B5106" s="5" t="s">
        <v>5597</v>
      </c>
      <c r="C5106" s="8">
        <v>3</v>
      </c>
      <c r="D5106" s="5" t="s">
        <v>162</v>
      </c>
      <c r="E5106" s="5"/>
      <c r="G5106" s="5"/>
      <c r="H5106" s="5"/>
    </row>
    <row r="5107" spans="1:8" x14ac:dyDescent="0.2">
      <c r="A5107" s="5" t="s">
        <v>5598</v>
      </c>
      <c r="B5107" s="5" t="s">
        <v>5599</v>
      </c>
      <c r="C5107" s="8">
        <v>24</v>
      </c>
      <c r="D5107" s="5" t="s">
        <v>162</v>
      </c>
      <c r="E5107" s="5"/>
      <c r="G5107" s="5"/>
      <c r="H5107" s="5"/>
    </row>
    <row r="5108" spans="1:8" x14ac:dyDescent="0.2">
      <c r="A5108" s="5" t="s">
        <v>5600</v>
      </c>
      <c r="B5108" s="5" t="s">
        <v>5601</v>
      </c>
      <c r="C5108" s="8">
        <v>26</v>
      </c>
      <c r="D5108" s="5" t="s">
        <v>162</v>
      </c>
      <c r="E5108" s="5"/>
      <c r="G5108" s="5"/>
      <c r="H5108" s="5"/>
    </row>
    <row r="5109" spans="1:8" x14ac:dyDescent="0.2">
      <c r="A5109" s="5"/>
      <c r="B5109" s="5" t="s">
        <v>53</v>
      </c>
      <c r="C5109" s="5"/>
      <c r="D5109" s="5" t="s">
        <v>13</v>
      </c>
      <c r="E5109" s="5"/>
      <c r="G5109" s="5"/>
      <c r="H5109" s="5"/>
    </row>
    <row r="5110" spans="1:8" x14ac:dyDescent="0.2">
      <c r="A5110" s="5"/>
      <c r="B5110" s="5" t="s">
        <v>5454</v>
      </c>
      <c r="C5110" s="5"/>
      <c r="D5110" s="5" t="s">
        <v>15</v>
      </c>
      <c r="E5110" s="5"/>
      <c r="G5110" s="5"/>
      <c r="H5110" s="5"/>
    </row>
    <row r="5111" spans="1:8" x14ac:dyDescent="0.2">
      <c r="A5111" s="5" t="s">
        <v>5602</v>
      </c>
      <c r="B5111" s="5" t="s">
        <v>5456</v>
      </c>
      <c r="C5111" s="8">
        <v>10</v>
      </c>
      <c r="D5111" s="5" t="s">
        <v>162</v>
      </c>
      <c r="E5111" s="5"/>
      <c r="G5111" s="5"/>
      <c r="H5111" s="5"/>
    </row>
    <row r="5112" spans="1:8" x14ac:dyDescent="0.2">
      <c r="A5112" s="5"/>
      <c r="B5112" s="5" t="s">
        <v>5457</v>
      </c>
      <c r="C5112" s="5"/>
      <c r="D5112" s="5" t="s">
        <v>322</v>
      </c>
      <c r="E5112" s="5"/>
      <c r="G5112" s="5"/>
      <c r="H5112" s="5"/>
    </row>
    <row r="5113" spans="1:8" x14ac:dyDescent="0.2">
      <c r="A5113" s="5" t="s">
        <v>5603</v>
      </c>
      <c r="B5113" s="5" t="s">
        <v>5461</v>
      </c>
      <c r="C5113" s="8">
        <v>128</v>
      </c>
      <c r="D5113" s="5" t="s">
        <v>162</v>
      </c>
      <c r="E5113" s="5"/>
      <c r="G5113" s="5"/>
      <c r="H5113" s="5"/>
    </row>
    <row r="5114" spans="1:8" x14ac:dyDescent="0.2">
      <c r="A5114" s="5" t="s">
        <v>5604</v>
      </c>
      <c r="B5114" s="5" t="s">
        <v>5605</v>
      </c>
      <c r="C5114" s="8">
        <v>376</v>
      </c>
      <c r="D5114" s="5" t="s">
        <v>162</v>
      </c>
      <c r="E5114" s="5"/>
      <c r="G5114" s="5"/>
      <c r="H5114" s="5"/>
    </row>
    <row r="5115" spans="1:8" x14ac:dyDescent="0.2">
      <c r="A5115" s="5" t="s">
        <v>5606</v>
      </c>
      <c r="B5115" s="5" t="s">
        <v>5463</v>
      </c>
      <c r="C5115" s="8">
        <v>16</v>
      </c>
      <c r="D5115" s="5" t="s">
        <v>162</v>
      </c>
      <c r="E5115" s="5"/>
      <c r="G5115" s="5"/>
      <c r="H5115" s="5"/>
    </row>
    <row r="5116" spans="1:8" x14ac:dyDescent="0.2">
      <c r="A5116" s="5" t="s">
        <v>5607</v>
      </c>
      <c r="B5116" s="5" t="s">
        <v>5467</v>
      </c>
      <c r="C5116" s="8">
        <v>4</v>
      </c>
      <c r="D5116" s="5" t="s">
        <v>162</v>
      </c>
      <c r="E5116" s="5"/>
      <c r="G5116" s="5"/>
      <c r="H5116" s="5"/>
    </row>
    <row r="5117" spans="1:8" x14ac:dyDescent="0.2">
      <c r="A5117" s="5" t="s">
        <v>5608</v>
      </c>
      <c r="B5117" s="5" t="s">
        <v>5469</v>
      </c>
      <c r="C5117" s="8">
        <v>13</v>
      </c>
      <c r="D5117" s="5" t="s">
        <v>162</v>
      </c>
      <c r="E5117" s="5"/>
      <c r="G5117" s="5"/>
      <c r="H5117" s="5"/>
    </row>
    <row r="5118" spans="1:8" x14ac:dyDescent="0.2">
      <c r="A5118" s="5" t="s">
        <v>5609</v>
      </c>
      <c r="B5118" s="5" t="s">
        <v>5475</v>
      </c>
      <c r="C5118" s="8">
        <v>8</v>
      </c>
      <c r="D5118" s="5" t="s">
        <v>162</v>
      </c>
      <c r="E5118" s="5"/>
      <c r="G5118" s="5"/>
      <c r="H5118" s="5"/>
    </row>
    <row r="5119" spans="1:8" x14ac:dyDescent="0.2">
      <c r="A5119" s="5" t="s">
        <v>5610</v>
      </c>
      <c r="B5119" s="5" t="s">
        <v>5611</v>
      </c>
      <c r="C5119" s="8">
        <v>14</v>
      </c>
      <c r="D5119" s="5" t="s">
        <v>162</v>
      </c>
      <c r="E5119" s="5"/>
      <c r="G5119" s="5"/>
      <c r="H5119" s="5"/>
    </row>
    <row r="5120" spans="1:8" x14ac:dyDescent="0.2">
      <c r="A5120" s="5" t="s">
        <v>5612</v>
      </c>
      <c r="B5120" s="5" t="s">
        <v>5477</v>
      </c>
      <c r="C5120" s="8">
        <v>2</v>
      </c>
      <c r="D5120" s="5" t="s">
        <v>162</v>
      </c>
      <c r="E5120" s="5"/>
      <c r="G5120" s="5"/>
      <c r="H5120" s="5"/>
    </row>
    <row r="5121" spans="1:8" x14ac:dyDescent="0.2">
      <c r="A5121" s="5" t="s">
        <v>5613</v>
      </c>
      <c r="B5121" s="5" t="s">
        <v>5485</v>
      </c>
      <c r="C5121" s="8">
        <v>12</v>
      </c>
      <c r="D5121" s="5" t="s">
        <v>162</v>
      </c>
      <c r="E5121" s="5"/>
      <c r="G5121" s="5"/>
      <c r="H5121" s="5"/>
    </row>
    <row r="5122" spans="1:8" x14ac:dyDescent="0.2">
      <c r="A5122" s="5" t="s">
        <v>5614</v>
      </c>
      <c r="B5122" s="5" t="s">
        <v>5615</v>
      </c>
      <c r="C5122" s="8">
        <v>4</v>
      </c>
      <c r="D5122" s="5" t="s">
        <v>162</v>
      </c>
      <c r="E5122" s="5"/>
      <c r="G5122" s="5"/>
      <c r="H5122" s="5"/>
    </row>
    <row r="5123" spans="1:8" x14ac:dyDescent="0.2">
      <c r="A5123" s="5" t="s">
        <v>5616</v>
      </c>
      <c r="B5123" s="5" t="s">
        <v>5617</v>
      </c>
      <c r="C5123" s="8">
        <v>2</v>
      </c>
      <c r="D5123" s="5" t="s">
        <v>162</v>
      </c>
      <c r="E5123" s="5"/>
      <c r="G5123" s="5"/>
      <c r="H5123" s="5"/>
    </row>
    <row r="5124" spans="1:8" x14ac:dyDescent="0.2">
      <c r="A5124" s="5" t="s">
        <v>5618</v>
      </c>
      <c r="B5124" s="5" t="s">
        <v>5619</v>
      </c>
      <c r="C5124" s="8">
        <v>4</v>
      </c>
      <c r="D5124" s="5" t="s">
        <v>162</v>
      </c>
      <c r="E5124" s="5"/>
      <c r="G5124" s="5"/>
      <c r="H5124" s="5"/>
    </row>
    <row r="5125" spans="1:8" x14ac:dyDescent="0.2">
      <c r="A5125" s="5"/>
      <c r="B5125" s="5" t="s">
        <v>5488</v>
      </c>
      <c r="C5125" s="5"/>
      <c r="D5125" s="5" t="s">
        <v>322</v>
      </c>
      <c r="E5125" s="5"/>
      <c r="G5125" s="5"/>
      <c r="H5125" s="5"/>
    </row>
    <row r="5126" spans="1:8" x14ac:dyDescent="0.2">
      <c r="A5126" s="5" t="s">
        <v>5620</v>
      </c>
      <c r="B5126" s="5" t="s">
        <v>5490</v>
      </c>
      <c r="C5126" s="8">
        <v>20</v>
      </c>
      <c r="D5126" s="5" t="s">
        <v>162</v>
      </c>
      <c r="E5126" s="5"/>
      <c r="G5126" s="5"/>
      <c r="H5126" s="5"/>
    </row>
    <row r="5127" spans="1:8" x14ac:dyDescent="0.2">
      <c r="A5127" s="5" t="s">
        <v>5621</v>
      </c>
      <c r="B5127" s="5" t="s">
        <v>5492</v>
      </c>
      <c r="C5127" s="8">
        <v>2</v>
      </c>
      <c r="D5127" s="5" t="s">
        <v>162</v>
      </c>
      <c r="E5127" s="5"/>
      <c r="G5127" s="5"/>
      <c r="H5127" s="5"/>
    </row>
    <row r="5128" spans="1:8" x14ac:dyDescent="0.2">
      <c r="A5128" s="5"/>
      <c r="B5128" s="5" t="s">
        <v>5493</v>
      </c>
      <c r="C5128" s="5"/>
      <c r="D5128" s="5" t="s">
        <v>322</v>
      </c>
      <c r="E5128" s="5"/>
      <c r="G5128" s="5"/>
      <c r="H5128" s="5"/>
    </row>
    <row r="5129" spans="1:8" x14ac:dyDescent="0.2">
      <c r="A5129" s="5" t="s">
        <v>5622</v>
      </c>
      <c r="B5129" s="5" t="s">
        <v>5495</v>
      </c>
      <c r="C5129" s="8">
        <v>32</v>
      </c>
      <c r="D5129" s="5" t="s">
        <v>162</v>
      </c>
      <c r="E5129" s="5"/>
      <c r="G5129" s="5"/>
      <c r="H5129" s="5"/>
    </row>
    <row r="5130" spans="1:8" x14ac:dyDescent="0.2">
      <c r="A5130" s="5" t="s">
        <v>5623</v>
      </c>
      <c r="B5130" s="5" t="s">
        <v>5501</v>
      </c>
      <c r="C5130" s="8">
        <v>3</v>
      </c>
      <c r="D5130" s="5" t="s">
        <v>162</v>
      </c>
      <c r="E5130" s="5"/>
      <c r="G5130" s="5"/>
      <c r="H5130" s="5"/>
    </row>
    <row r="5131" spans="1:8" x14ac:dyDescent="0.2">
      <c r="A5131" s="5" t="s">
        <v>5624</v>
      </c>
      <c r="B5131" s="5" t="s">
        <v>5503</v>
      </c>
      <c r="C5131" s="8">
        <v>48</v>
      </c>
      <c r="D5131" s="5" t="s">
        <v>162</v>
      </c>
      <c r="E5131" s="5"/>
      <c r="G5131" s="5"/>
      <c r="H5131" s="5"/>
    </row>
    <row r="5132" spans="1:8" x14ac:dyDescent="0.2">
      <c r="A5132" s="5"/>
      <c r="B5132" s="5" t="s">
        <v>5508</v>
      </c>
      <c r="C5132" s="5"/>
      <c r="D5132" s="5" t="s">
        <v>322</v>
      </c>
      <c r="E5132" s="5"/>
      <c r="G5132" s="5"/>
      <c r="H5132" s="5"/>
    </row>
    <row r="5133" spans="1:8" x14ac:dyDescent="0.2">
      <c r="A5133" s="5" t="s">
        <v>5625</v>
      </c>
      <c r="B5133" s="5" t="s">
        <v>5510</v>
      </c>
      <c r="C5133" s="8">
        <v>64</v>
      </c>
      <c r="D5133" s="5" t="s">
        <v>162</v>
      </c>
      <c r="E5133" s="5"/>
      <c r="G5133" s="5"/>
      <c r="H5133" s="5"/>
    </row>
    <row r="5134" spans="1:8" x14ac:dyDescent="0.2">
      <c r="A5134" s="5" t="s">
        <v>5626</v>
      </c>
      <c r="B5134" s="5" t="s">
        <v>5627</v>
      </c>
      <c r="C5134" s="8">
        <v>188</v>
      </c>
      <c r="D5134" s="5" t="s">
        <v>162</v>
      </c>
      <c r="E5134" s="5"/>
      <c r="G5134" s="5"/>
      <c r="H5134" s="5"/>
    </row>
    <row r="5135" spans="1:8" x14ac:dyDescent="0.2">
      <c r="A5135" s="5" t="s">
        <v>5628</v>
      </c>
      <c r="B5135" s="5" t="s">
        <v>5514</v>
      </c>
      <c r="C5135" s="8">
        <v>4</v>
      </c>
      <c r="D5135" s="5" t="s">
        <v>162</v>
      </c>
      <c r="E5135" s="5"/>
      <c r="G5135" s="5"/>
      <c r="H5135" s="5"/>
    </row>
    <row r="5136" spans="1:8" x14ac:dyDescent="0.2">
      <c r="A5136" s="5" t="s">
        <v>5629</v>
      </c>
      <c r="B5136" s="5" t="s">
        <v>5516</v>
      </c>
      <c r="C5136" s="8">
        <v>1</v>
      </c>
      <c r="D5136" s="5" t="s">
        <v>162</v>
      </c>
      <c r="E5136" s="5"/>
      <c r="G5136" s="5"/>
      <c r="H5136" s="5"/>
    </row>
    <row r="5137" spans="1:8" x14ac:dyDescent="0.2">
      <c r="A5137" s="5" t="s">
        <v>5630</v>
      </c>
      <c r="B5137" s="5" t="s">
        <v>5518</v>
      </c>
      <c r="C5137" s="8">
        <v>12</v>
      </c>
      <c r="D5137" s="5" t="s">
        <v>162</v>
      </c>
      <c r="E5137" s="5"/>
      <c r="G5137" s="5"/>
      <c r="H5137" s="5"/>
    </row>
    <row r="5138" spans="1:8" x14ac:dyDescent="0.2">
      <c r="A5138" s="5" t="s">
        <v>5631</v>
      </c>
      <c r="B5138" s="5" t="s">
        <v>5524</v>
      </c>
      <c r="C5138" s="8">
        <v>4</v>
      </c>
      <c r="D5138" s="5" t="s">
        <v>162</v>
      </c>
      <c r="E5138" s="5"/>
      <c r="G5138" s="5"/>
      <c r="H5138" s="5"/>
    </row>
    <row r="5139" spans="1:8" x14ac:dyDescent="0.2">
      <c r="A5139" s="5" t="s">
        <v>5632</v>
      </c>
      <c r="B5139" s="5" t="s">
        <v>5633</v>
      </c>
      <c r="C5139" s="8">
        <v>1</v>
      </c>
      <c r="D5139" s="5" t="s">
        <v>162</v>
      </c>
      <c r="E5139" s="5"/>
      <c r="G5139" s="5"/>
      <c r="H5139" s="5"/>
    </row>
    <row r="5140" spans="1:8" x14ac:dyDescent="0.2">
      <c r="A5140" s="5" t="s">
        <v>5634</v>
      </c>
      <c r="B5140" s="5" t="s">
        <v>5528</v>
      </c>
      <c r="C5140" s="8">
        <v>4</v>
      </c>
      <c r="D5140" s="5" t="s">
        <v>162</v>
      </c>
      <c r="E5140" s="5"/>
      <c r="G5140" s="5"/>
      <c r="H5140" s="5"/>
    </row>
    <row r="5141" spans="1:8" x14ac:dyDescent="0.2">
      <c r="A5141" s="5" t="s">
        <v>5635</v>
      </c>
      <c r="B5141" s="5" t="s">
        <v>5530</v>
      </c>
      <c r="C5141" s="8">
        <v>10</v>
      </c>
      <c r="D5141" s="5" t="s">
        <v>162</v>
      </c>
      <c r="E5141" s="5"/>
      <c r="G5141" s="5"/>
      <c r="H5141" s="5"/>
    </row>
    <row r="5142" spans="1:8" x14ac:dyDescent="0.2">
      <c r="A5142" s="5"/>
      <c r="B5142" s="5" t="s">
        <v>5537</v>
      </c>
      <c r="C5142" s="5"/>
      <c r="D5142" s="5" t="s">
        <v>322</v>
      </c>
      <c r="E5142" s="5"/>
      <c r="G5142" s="5"/>
      <c r="H5142" s="5"/>
    </row>
    <row r="5143" spans="1:8" x14ac:dyDescent="0.2">
      <c r="A5143" s="5" t="s">
        <v>5636</v>
      </c>
      <c r="B5143" s="5" t="s">
        <v>5539</v>
      </c>
      <c r="C5143" s="8">
        <v>1</v>
      </c>
      <c r="D5143" s="5" t="s">
        <v>162</v>
      </c>
      <c r="E5143" s="5"/>
      <c r="G5143" s="5"/>
      <c r="H5143" s="5"/>
    </row>
    <row r="5144" spans="1:8" x14ac:dyDescent="0.2">
      <c r="A5144" s="5" t="s">
        <v>5637</v>
      </c>
      <c r="B5144" s="5" t="s">
        <v>5541</v>
      </c>
      <c r="C5144" s="8">
        <v>7</v>
      </c>
      <c r="D5144" s="5" t="s">
        <v>162</v>
      </c>
      <c r="E5144" s="5"/>
      <c r="G5144" s="5"/>
      <c r="H5144" s="5"/>
    </row>
    <row r="5145" spans="1:8" x14ac:dyDescent="0.2">
      <c r="A5145" s="5" t="s">
        <v>5638</v>
      </c>
      <c r="B5145" s="5" t="s">
        <v>5639</v>
      </c>
      <c r="C5145" s="8">
        <v>1</v>
      </c>
      <c r="D5145" s="5" t="s">
        <v>162</v>
      </c>
      <c r="E5145" s="5"/>
      <c r="G5145" s="5"/>
      <c r="H5145" s="5"/>
    </row>
    <row r="5146" spans="1:8" x14ac:dyDescent="0.2">
      <c r="A5146" s="5" t="s">
        <v>5640</v>
      </c>
      <c r="B5146" s="5" t="s">
        <v>5641</v>
      </c>
      <c r="C5146" s="8">
        <v>1</v>
      </c>
      <c r="D5146" s="5" t="s">
        <v>162</v>
      </c>
      <c r="E5146" s="5"/>
      <c r="G5146" s="5"/>
      <c r="H5146" s="5"/>
    </row>
    <row r="5147" spans="1:8" x14ac:dyDescent="0.2">
      <c r="A5147" s="5"/>
      <c r="B5147" s="5" t="s">
        <v>5546</v>
      </c>
      <c r="C5147" s="5"/>
      <c r="D5147" s="5" t="s">
        <v>15</v>
      </c>
      <c r="E5147" s="5"/>
      <c r="G5147" s="5"/>
      <c r="H5147" s="5"/>
    </row>
    <row r="5148" spans="1:8" x14ac:dyDescent="0.2">
      <c r="A5148" s="5" t="s">
        <v>5642</v>
      </c>
      <c r="B5148" s="5" t="s">
        <v>5548</v>
      </c>
      <c r="C5148" s="8">
        <v>8</v>
      </c>
      <c r="D5148" s="5" t="s">
        <v>162</v>
      </c>
      <c r="E5148" s="5"/>
      <c r="G5148" s="5"/>
      <c r="H5148" s="5"/>
    </row>
    <row r="5149" spans="1:8" x14ac:dyDescent="0.2">
      <c r="A5149" s="5" t="s">
        <v>5643</v>
      </c>
      <c r="B5149" s="5" t="s">
        <v>5550</v>
      </c>
      <c r="C5149" s="8">
        <v>12</v>
      </c>
      <c r="D5149" s="5" t="s">
        <v>162</v>
      </c>
      <c r="E5149" s="5"/>
      <c r="G5149" s="5"/>
      <c r="H5149" s="5"/>
    </row>
    <row r="5150" spans="1:8" x14ac:dyDescent="0.2">
      <c r="A5150" s="5" t="s">
        <v>5644</v>
      </c>
      <c r="B5150" s="5" t="s">
        <v>5552</v>
      </c>
      <c r="C5150" s="8">
        <v>2</v>
      </c>
      <c r="D5150" s="5" t="s">
        <v>162</v>
      </c>
      <c r="E5150" s="5"/>
      <c r="G5150" s="5"/>
      <c r="H5150" s="5"/>
    </row>
    <row r="5151" spans="1:8" x14ac:dyDescent="0.2">
      <c r="A5151" s="5" t="s">
        <v>5645</v>
      </c>
      <c r="B5151" s="5" t="s">
        <v>5556</v>
      </c>
      <c r="C5151" s="8">
        <v>15</v>
      </c>
      <c r="D5151" s="5" t="s">
        <v>162</v>
      </c>
      <c r="E5151" s="5"/>
      <c r="G5151" s="5"/>
      <c r="H5151" s="5"/>
    </row>
    <row r="5152" spans="1:8" x14ac:dyDescent="0.2">
      <c r="A5152" s="5" t="s">
        <v>5646</v>
      </c>
      <c r="B5152" s="5" t="s">
        <v>5562</v>
      </c>
      <c r="C5152" s="8">
        <v>1</v>
      </c>
      <c r="D5152" s="5" t="s">
        <v>162</v>
      </c>
      <c r="E5152" s="5"/>
      <c r="G5152" s="5"/>
      <c r="H5152" s="5"/>
    </row>
    <row r="5153" spans="1:8" x14ac:dyDescent="0.2">
      <c r="A5153" s="5" t="s">
        <v>5647</v>
      </c>
      <c r="B5153" s="5" t="s">
        <v>5564</v>
      </c>
      <c r="C5153" s="8">
        <v>1</v>
      </c>
      <c r="D5153" s="5" t="s">
        <v>162</v>
      </c>
      <c r="E5153" s="5"/>
      <c r="G5153" s="5"/>
      <c r="H5153" s="5"/>
    </row>
    <row r="5154" spans="1:8" x14ac:dyDescent="0.2">
      <c r="A5154" s="5" t="s">
        <v>5648</v>
      </c>
      <c r="B5154" s="5" t="s">
        <v>5568</v>
      </c>
      <c r="C5154" s="8">
        <v>21</v>
      </c>
      <c r="D5154" s="5" t="s">
        <v>162</v>
      </c>
      <c r="E5154" s="5"/>
      <c r="G5154" s="5"/>
      <c r="H5154" s="5"/>
    </row>
    <row r="5155" spans="1:8" x14ac:dyDescent="0.2">
      <c r="A5155" s="5" t="s">
        <v>5649</v>
      </c>
      <c r="B5155" s="5" t="s">
        <v>5570</v>
      </c>
      <c r="C5155" s="8">
        <v>2</v>
      </c>
      <c r="D5155" s="5" t="s">
        <v>162</v>
      </c>
      <c r="E5155" s="5"/>
      <c r="G5155" s="5"/>
      <c r="H5155" s="5"/>
    </row>
    <row r="5156" spans="1:8" x14ac:dyDescent="0.2">
      <c r="A5156" s="5" t="s">
        <v>5650</v>
      </c>
      <c r="B5156" s="5" t="s">
        <v>5651</v>
      </c>
      <c r="C5156" s="8">
        <v>1</v>
      </c>
      <c r="D5156" s="5" t="s">
        <v>162</v>
      </c>
      <c r="E5156" s="5"/>
      <c r="G5156" s="5"/>
      <c r="H5156" s="5"/>
    </row>
    <row r="5157" spans="1:8" x14ac:dyDescent="0.2">
      <c r="A5157" s="5" t="s">
        <v>5652</v>
      </c>
      <c r="B5157" s="5" t="s">
        <v>5572</v>
      </c>
      <c r="C5157" s="8">
        <v>1</v>
      </c>
      <c r="D5157" s="5" t="s">
        <v>162</v>
      </c>
      <c r="E5157" s="5"/>
      <c r="G5157" s="5"/>
      <c r="H5157" s="5"/>
    </row>
    <row r="5158" spans="1:8" x14ac:dyDescent="0.2">
      <c r="A5158" s="5" t="s">
        <v>5653</v>
      </c>
      <c r="B5158" s="5" t="s">
        <v>5576</v>
      </c>
      <c r="C5158" s="8">
        <v>1</v>
      </c>
      <c r="D5158" s="5" t="s">
        <v>162</v>
      </c>
      <c r="E5158" s="5"/>
      <c r="G5158" s="5"/>
      <c r="H5158" s="5"/>
    </row>
    <row r="5159" spans="1:8" x14ac:dyDescent="0.2">
      <c r="A5159" s="5" t="s">
        <v>5654</v>
      </c>
      <c r="B5159" s="5" t="s">
        <v>5578</v>
      </c>
      <c r="C5159" s="8">
        <v>2</v>
      </c>
      <c r="D5159" s="5" t="s">
        <v>162</v>
      </c>
      <c r="E5159" s="5"/>
      <c r="G5159" s="5"/>
      <c r="H5159" s="5"/>
    </row>
    <row r="5160" spans="1:8" x14ac:dyDescent="0.2">
      <c r="A5160" s="5" t="s">
        <v>5655</v>
      </c>
      <c r="B5160" s="5" t="s">
        <v>5580</v>
      </c>
      <c r="C5160" s="8">
        <v>8</v>
      </c>
      <c r="D5160" s="5" t="s">
        <v>162</v>
      </c>
      <c r="E5160" s="5"/>
      <c r="G5160" s="5"/>
      <c r="H5160" s="5"/>
    </row>
    <row r="5161" spans="1:8" x14ac:dyDescent="0.2">
      <c r="A5161" s="5" t="s">
        <v>5656</v>
      </c>
      <c r="B5161" s="5" t="s">
        <v>5582</v>
      </c>
      <c r="C5161" s="8">
        <v>12</v>
      </c>
      <c r="D5161" s="5" t="s">
        <v>162</v>
      </c>
      <c r="E5161" s="5"/>
      <c r="G5161" s="5"/>
      <c r="H5161" s="5"/>
    </row>
    <row r="5162" spans="1:8" x14ac:dyDescent="0.2">
      <c r="A5162" s="5" t="s">
        <v>5657</v>
      </c>
      <c r="B5162" s="5" t="s">
        <v>5584</v>
      </c>
      <c r="C5162" s="8">
        <v>2</v>
      </c>
      <c r="D5162" s="5" t="s">
        <v>162</v>
      </c>
      <c r="E5162" s="5"/>
      <c r="G5162" s="5"/>
      <c r="H5162" s="5"/>
    </row>
    <row r="5163" spans="1:8" x14ac:dyDescent="0.2">
      <c r="A5163" s="5"/>
      <c r="B5163" s="5" t="s">
        <v>5585</v>
      </c>
      <c r="C5163" s="5"/>
      <c r="D5163" s="5" t="s">
        <v>15</v>
      </c>
      <c r="E5163" s="5"/>
      <c r="G5163" s="5"/>
      <c r="H5163" s="5"/>
    </row>
    <row r="5164" spans="1:8" x14ac:dyDescent="0.2">
      <c r="A5164" s="5" t="s">
        <v>5658</v>
      </c>
      <c r="B5164" s="5" t="s">
        <v>5659</v>
      </c>
      <c r="C5164" s="8">
        <v>1</v>
      </c>
      <c r="D5164" s="5" t="s">
        <v>162</v>
      </c>
      <c r="E5164" s="5"/>
      <c r="G5164" s="5"/>
      <c r="H5164" s="5"/>
    </row>
    <row r="5165" spans="1:8" x14ac:dyDescent="0.2">
      <c r="A5165" s="5" t="s">
        <v>5660</v>
      </c>
      <c r="B5165" s="5" t="s">
        <v>5587</v>
      </c>
      <c r="C5165" s="8">
        <v>16</v>
      </c>
      <c r="D5165" s="5" t="s">
        <v>162</v>
      </c>
      <c r="E5165" s="5"/>
      <c r="G5165" s="5"/>
      <c r="H5165" s="5"/>
    </row>
    <row r="5166" spans="1:8" x14ac:dyDescent="0.2">
      <c r="A5166" s="5" t="s">
        <v>5661</v>
      </c>
      <c r="B5166" s="5" t="s">
        <v>5589</v>
      </c>
      <c r="C5166" s="8">
        <v>16</v>
      </c>
      <c r="D5166" s="5" t="s">
        <v>162</v>
      </c>
      <c r="E5166" s="5"/>
      <c r="G5166" s="5"/>
      <c r="H5166" s="5"/>
    </row>
    <row r="5167" spans="1:8" x14ac:dyDescent="0.2">
      <c r="A5167" s="5" t="s">
        <v>5662</v>
      </c>
      <c r="B5167" s="5" t="s">
        <v>5591</v>
      </c>
      <c r="C5167" s="8">
        <v>2</v>
      </c>
      <c r="D5167" s="5" t="s">
        <v>162</v>
      </c>
      <c r="E5167" s="5"/>
      <c r="G5167" s="5"/>
      <c r="H5167" s="5"/>
    </row>
    <row r="5168" spans="1:8" x14ac:dyDescent="0.2">
      <c r="A5168" s="5" t="s">
        <v>5663</v>
      </c>
      <c r="B5168" s="5" t="s">
        <v>5595</v>
      </c>
      <c r="C5168" s="8">
        <v>6</v>
      </c>
      <c r="D5168" s="5" t="s">
        <v>162</v>
      </c>
      <c r="E5168" s="5"/>
      <c r="G5168" s="5"/>
      <c r="H5168" s="5"/>
    </row>
    <row r="5169" spans="1:9" x14ac:dyDescent="0.2">
      <c r="A5169" s="5" t="s">
        <v>5664</v>
      </c>
      <c r="B5169" s="5" t="s">
        <v>5597</v>
      </c>
      <c r="C5169" s="8">
        <v>1</v>
      </c>
      <c r="D5169" s="5" t="s">
        <v>162</v>
      </c>
      <c r="E5169" s="5"/>
      <c r="G5169" s="5"/>
      <c r="H5169" s="5"/>
    </row>
    <row r="5170" spans="1:9" x14ac:dyDescent="0.2">
      <c r="A5170" s="5" t="s">
        <v>5665</v>
      </c>
      <c r="B5170" s="5" t="s">
        <v>5599</v>
      </c>
      <c r="C5170" s="8">
        <v>20</v>
      </c>
      <c r="D5170" s="5" t="s">
        <v>162</v>
      </c>
      <c r="E5170" s="5"/>
      <c r="G5170" s="5"/>
      <c r="H5170" s="5"/>
    </row>
    <row r="5171" spans="1:9" x14ac:dyDescent="0.2">
      <c r="A5171" s="5" t="s">
        <v>5666</v>
      </c>
      <c r="B5171" s="5" t="s">
        <v>5601</v>
      </c>
      <c r="C5171" s="8">
        <v>22</v>
      </c>
      <c r="D5171" s="5" t="s">
        <v>162</v>
      </c>
      <c r="E5171" s="5"/>
      <c r="G5171" s="5"/>
      <c r="H5171" s="5"/>
    </row>
    <row r="5172" spans="1:9" x14ac:dyDescent="0.2">
      <c r="B5172" s="6" t="s">
        <v>5667</v>
      </c>
      <c r="C5172" s="6"/>
      <c r="D5172" s="6"/>
      <c r="E5172" s="6"/>
      <c r="F5172" s="9">
        <f>SUM(H5002:H5172)</f>
        <v>0</v>
      </c>
      <c r="G5172" s="6"/>
      <c r="I5172" s="9">
        <f>PRODUCT(F5172,G5172)</f>
        <v>0</v>
      </c>
    </row>
    <row r="5174" spans="1:9" x14ac:dyDescent="0.2">
      <c r="A5174" s="6" t="s">
        <v>5668</v>
      </c>
      <c r="B5174" s="6" t="s">
        <v>5669</v>
      </c>
    </row>
    <row r="5175" spans="1:9" x14ac:dyDescent="0.2">
      <c r="A5175" s="5"/>
      <c r="B5175" s="5" t="s">
        <v>64</v>
      </c>
      <c r="C5175" s="5"/>
      <c r="D5175" s="5" t="s">
        <v>13</v>
      </c>
      <c r="E5175" s="5"/>
      <c r="G5175" s="5"/>
      <c r="H5175" s="5"/>
    </row>
    <row r="5176" spans="1:9" x14ac:dyDescent="0.2">
      <c r="A5176" s="5" t="s">
        <v>5670</v>
      </c>
      <c r="B5176" s="5" t="s">
        <v>66</v>
      </c>
      <c r="C5176" s="5"/>
      <c r="D5176" s="5" t="s">
        <v>18</v>
      </c>
      <c r="E5176" s="5"/>
      <c r="G5176" s="5"/>
      <c r="H5176" s="5"/>
    </row>
    <row r="5177" spans="1:9" x14ac:dyDescent="0.2">
      <c r="A5177" s="5" t="s">
        <v>5671</v>
      </c>
      <c r="B5177" s="5" t="s">
        <v>68</v>
      </c>
      <c r="C5177" s="5"/>
      <c r="D5177" s="5" t="s">
        <v>18</v>
      </c>
      <c r="E5177" s="5"/>
      <c r="G5177" s="5"/>
      <c r="H5177" s="5"/>
    </row>
    <row r="5178" spans="1:9" x14ac:dyDescent="0.2">
      <c r="A5178" s="5"/>
      <c r="B5178" s="5" t="s">
        <v>71</v>
      </c>
      <c r="C5178" s="5"/>
      <c r="D5178" s="5" t="s">
        <v>13</v>
      </c>
      <c r="E5178" s="5"/>
      <c r="G5178" s="5"/>
      <c r="H5178" s="5"/>
    </row>
    <row r="5179" spans="1:9" x14ac:dyDescent="0.2">
      <c r="A5179" s="5" t="s">
        <v>5672</v>
      </c>
      <c r="B5179" s="5" t="s">
        <v>269</v>
      </c>
      <c r="C5179" s="5"/>
      <c r="D5179" s="5" t="s">
        <v>18</v>
      </c>
      <c r="E5179" s="5"/>
      <c r="G5179" s="5"/>
      <c r="H5179" s="5"/>
    </row>
    <row r="5180" spans="1:9" x14ac:dyDescent="0.2">
      <c r="A5180" s="5" t="s">
        <v>5673</v>
      </c>
      <c r="B5180" s="5" t="s">
        <v>5674</v>
      </c>
      <c r="C5180" s="5"/>
      <c r="D5180" s="5" t="s">
        <v>18</v>
      </c>
      <c r="E5180" s="5"/>
      <c r="G5180" s="5"/>
      <c r="H5180" s="5"/>
    </row>
    <row r="5181" spans="1:9" x14ac:dyDescent="0.2">
      <c r="A5181" s="5"/>
      <c r="B5181" s="5" t="s">
        <v>76</v>
      </c>
      <c r="C5181" s="5"/>
      <c r="D5181" s="5" t="s">
        <v>13</v>
      </c>
      <c r="E5181" s="5"/>
      <c r="G5181" s="5"/>
      <c r="H5181" s="5"/>
    </row>
    <row r="5182" spans="1:9" x14ac:dyDescent="0.2">
      <c r="A5182" s="5"/>
      <c r="B5182" s="5" t="s">
        <v>77</v>
      </c>
      <c r="C5182" s="5"/>
      <c r="D5182" s="5" t="s">
        <v>15</v>
      </c>
      <c r="E5182" s="5"/>
      <c r="G5182" s="5"/>
      <c r="H5182" s="5"/>
    </row>
    <row r="5183" spans="1:9" x14ac:dyDescent="0.2">
      <c r="A5183" s="5" t="s">
        <v>5675</v>
      </c>
      <c r="B5183" s="5" t="s">
        <v>2970</v>
      </c>
      <c r="C5183" s="5"/>
      <c r="D5183" s="5" t="s">
        <v>18</v>
      </c>
      <c r="E5183" s="5"/>
      <c r="G5183" s="5"/>
      <c r="H5183" s="5"/>
    </row>
    <row r="5184" spans="1:9" x14ac:dyDescent="0.2">
      <c r="A5184" s="5" t="s">
        <v>5676</v>
      </c>
      <c r="B5184" s="5" t="s">
        <v>299</v>
      </c>
      <c r="C5184" s="5"/>
      <c r="D5184" s="5" t="s">
        <v>18</v>
      </c>
      <c r="E5184" s="5"/>
      <c r="G5184" s="5"/>
      <c r="H5184" s="5"/>
    </row>
    <row r="5185" spans="1:9" x14ac:dyDescent="0.2">
      <c r="A5185" s="5"/>
      <c r="B5185" s="5" t="s">
        <v>94</v>
      </c>
      <c r="C5185" s="5"/>
      <c r="D5185" s="5" t="s">
        <v>13</v>
      </c>
      <c r="E5185" s="5"/>
      <c r="G5185" s="5"/>
      <c r="H5185" s="5"/>
    </row>
    <row r="5186" spans="1:9" x14ac:dyDescent="0.2">
      <c r="A5186" s="5" t="s">
        <v>5677</v>
      </c>
      <c r="B5186" s="5" t="s">
        <v>589</v>
      </c>
      <c r="C5186" s="8">
        <v>1</v>
      </c>
      <c r="D5186" s="5" t="s">
        <v>97</v>
      </c>
      <c r="E5186" s="5"/>
      <c r="G5186" s="5"/>
      <c r="H5186" s="5"/>
    </row>
    <row r="5187" spans="1:9" x14ac:dyDescent="0.2">
      <c r="A5187" s="5" t="s">
        <v>5678</v>
      </c>
      <c r="B5187" s="5" t="s">
        <v>111</v>
      </c>
      <c r="C5187" s="8">
        <v>1</v>
      </c>
      <c r="D5187" s="5" t="s">
        <v>97</v>
      </c>
      <c r="E5187" s="5"/>
      <c r="G5187" s="5"/>
      <c r="H5187" s="5"/>
    </row>
    <row r="5188" spans="1:9" x14ac:dyDescent="0.2">
      <c r="A5188" s="5" t="s">
        <v>5679</v>
      </c>
      <c r="B5188" s="5" t="s">
        <v>3969</v>
      </c>
      <c r="C5188" s="8">
        <v>1</v>
      </c>
      <c r="D5188" s="5" t="s">
        <v>97</v>
      </c>
      <c r="E5188" s="5"/>
      <c r="G5188" s="5"/>
      <c r="H5188" s="5"/>
    </row>
    <row r="5189" spans="1:9" x14ac:dyDescent="0.2">
      <c r="A5189" s="5" t="s">
        <v>5680</v>
      </c>
      <c r="B5189" s="5" t="s">
        <v>2761</v>
      </c>
      <c r="C5189" s="8">
        <v>1</v>
      </c>
      <c r="D5189" s="5" t="s">
        <v>97</v>
      </c>
      <c r="E5189" s="5"/>
      <c r="G5189" s="5"/>
      <c r="H5189" s="5"/>
    </row>
    <row r="5190" spans="1:9" x14ac:dyDescent="0.2">
      <c r="A5190" s="5"/>
      <c r="B5190" s="5" t="s">
        <v>135</v>
      </c>
      <c r="C5190" s="5"/>
      <c r="D5190" s="5" t="s">
        <v>13</v>
      </c>
      <c r="E5190" s="5"/>
      <c r="G5190" s="5"/>
      <c r="H5190" s="5"/>
    </row>
    <row r="5191" spans="1:9" x14ac:dyDescent="0.2">
      <c r="A5191" s="5" t="s">
        <v>5681</v>
      </c>
      <c r="B5191" s="5" t="s">
        <v>5682</v>
      </c>
      <c r="C5191" s="5"/>
      <c r="D5191" s="5" t="s">
        <v>18</v>
      </c>
      <c r="E5191" s="5"/>
      <c r="G5191" s="5"/>
      <c r="H5191" s="5"/>
    </row>
    <row r="5192" spans="1:9" x14ac:dyDescent="0.2">
      <c r="A5192" s="5"/>
      <c r="B5192" s="5" t="s">
        <v>38</v>
      </c>
      <c r="C5192" s="5"/>
      <c r="D5192" s="5" t="s">
        <v>13</v>
      </c>
      <c r="E5192" s="5"/>
      <c r="G5192" s="5"/>
      <c r="H5192" s="5"/>
    </row>
    <row r="5193" spans="1:9" x14ac:dyDescent="0.2">
      <c r="A5193" s="5"/>
      <c r="B5193" s="5" t="s">
        <v>5683</v>
      </c>
      <c r="C5193" s="5"/>
      <c r="D5193" s="5" t="s">
        <v>15</v>
      </c>
      <c r="E5193" s="5"/>
      <c r="G5193" s="5"/>
      <c r="H5193" s="5"/>
    </row>
    <row r="5194" spans="1:9" x14ac:dyDescent="0.2">
      <c r="A5194" s="5" t="s">
        <v>5684</v>
      </c>
      <c r="B5194" s="5" t="s">
        <v>5685</v>
      </c>
      <c r="C5194" s="8">
        <v>3</v>
      </c>
      <c r="D5194" s="5" t="s">
        <v>162</v>
      </c>
      <c r="E5194" s="5"/>
      <c r="G5194" s="5"/>
      <c r="H5194" s="5"/>
    </row>
    <row r="5195" spans="1:9" x14ac:dyDescent="0.2">
      <c r="A5195" s="5" t="s">
        <v>5686</v>
      </c>
      <c r="B5195" s="5" t="s">
        <v>5687</v>
      </c>
      <c r="C5195" s="8">
        <v>17</v>
      </c>
      <c r="D5195" s="5" t="s">
        <v>162</v>
      </c>
      <c r="E5195" s="5"/>
      <c r="G5195" s="5"/>
      <c r="H5195" s="5"/>
    </row>
    <row r="5196" spans="1:9" x14ac:dyDescent="0.2">
      <c r="A5196" s="5"/>
      <c r="B5196" s="5" t="s">
        <v>53</v>
      </c>
      <c r="C5196" s="5"/>
      <c r="D5196" s="5" t="s">
        <v>13</v>
      </c>
      <c r="E5196" s="5"/>
      <c r="G5196" s="5"/>
      <c r="H5196" s="5"/>
    </row>
    <row r="5197" spans="1:9" x14ac:dyDescent="0.2">
      <c r="A5197" s="5"/>
      <c r="B5197" s="5" t="s">
        <v>5683</v>
      </c>
      <c r="C5197" s="5"/>
      <c r="D5197" s="5" t="s">
        <v>15</v>
      </c>
      <c r="E5197" s="5"/>
      <c r="G5197" s="5"/>
      <c r="H5197" s="5"/>
    </row>
    <row r="5198" spans="1:9" x14ac:dyDescent="0.2">
      <c r="A5198" s="5" t="s">
        <v>5688</v>
      </c>
      <c r="B5198" s="5" t="s">
        <v>5687</v>
      </c>
      <c r="C5198" s="8">
        <v>2</v>
      </c>
      <c r="D5198" s="5" t="s">
        <v>162</v>
      </c>
      <c r="E5198" s="5"/>
      <c r="G5198" s="5"/>
      <c r="H5198" s="5"/>
    </row>
    <row r="5199" spans="1:9" x14ac:dyDescent="0.2">
      <c r="B5199" s="6" t="s">
        <v>5689</v>
      </c>
      <c r="C5199" s="6"/>
      <c r="D5199" s="6"/>
      <c r="E5199" s="6"/>
      <c r="F5199" s="9">
        <f>SUM(H5175:H5199)</f>
        <v>0</v>
      </c>
      <c r="G5199" s="6"/>
      <c r="I5199" s="9">
        <f>PRODUCT(F5199,G5199)</f>
        <v>0</v>
      </c>
    </row>
    <row r="5201" spans="1:8" x14ac:dyDescent="0.2">
      <c r="A5201" s="6" t="s">
        <v>5690</v>
      </c>
      <c r="B5201" s="6" t="s">
        <v>5691</v>
      </c>
    </row>
    <row r="5202" spans="1:8" x14ac:dyDescent="0.2">
      <c r="A5202" s="5"/>
      <c r="B5202" s="5" t="s">
        <v>64</v>
      </c>
      <c r="C5202" s="5"/>
      <c r="D5202" s="5" t="s">
        <v>13</v>
      </c>
      <c r="E5202" s="5"/>
      <c r="G5202" s="5"/>
      <c r="H5202" s="5"/>
    </row>
    <row r="5203" spans="1:8" x14ac:dyDescent="0.2">
      <c r="A5203" s="5" t="s">
        <v>5692</v>
      </c>
      <c r="B5203" s="5" t="s">
        <v>66</v>
      </c>
      <c r="C5203" s="5"/>
      <c r="D5203" s="5" t="s">
        <v>18</v>
      </c>
      <c r="E5203" s="5"/>
      <c r="G5203" s="5"/>
      <c r="H5203" s="5"/>
    </row>
    <row r="5204" spans="1:8" x14ac:dyDescent="0.2">
      <c r="A5204" s="5" t="s">
        <v>5693</v>
      </c>
      <c r="B5204" s="5" t="s">
        <v>68</v>
      </c>
      <c r="C5204" s="5"/>
      <c r="D5204" s="5" t="s">
        <v>18</v>
      </c>
      <c r="E5204" s="5"/>
      <c r="G5204" s="5"/>
      <c r="H5204" s="5"/>
    </row>
    <row r="5205" spans="1:8" x14ac:dyDescent="0.2">
      <c r="A5205" s="5"/>
      <c r="B5205" s="5" t="s">
        <v>71</v>
      </c>
      <c r="C5205" s="5"/>
      <c r="D5205" s="5" t="s">
        <v>13</v>
      </c>
      <c r="E5205" s="5"/>
      <c r="G5205" s="5"/>
      <c r="H5205" s="5"/>
    </row>
    <row r="5206" spans="1:8" x14ac:dyDescent="0.2">
      <c r="A5206" s="5" t="s">
        <v>5694</v>
      </c>
      <c r="B5206" s="5" t="s">
        <v>269</v>
      </c>
      <c r="C5206" s="5"/>
      <c r="D5206" s="5" t="s">
        <v>18</v>
      </c>
      <c r="E5206" s="5"/>
      <c r="G5206" s="5"/>
      <c r="H5206" s="5"/>
    </row>
    <row r="5207" spans="1:8" x14ac:dyDescent="0.2">
      <c r="A5207" s="5" t="s">
        <v>5695</v>
      </c>
      <c r="B5207" s="5" t="s">
        <v>5423</v>
      </c>
      <c r="C5207" s="5"/>
      <c r="D5207" s="5" t="s">
        <v>18</v>
      </c>
      <c r="E5207" s="5"/>
      <c r="G5207" s="5"/>
      <c r="H5207" s="5"/>
    </row>
    <row r="5208" spans="1:8" x14ac:dyDescent="0.2">
      <c r="A5208" s="5"/>
      <c r="B5208" s="5" t="s">
        <v>76</v>
      </c>
      <c r="C5208" s="5"/>
      <c r="D5208" s="5" t="s">
        <v>13</v>
      </c>
      <c r="E5208" s="5"/>
      <c r="G5208" s="5"/>
      <c r="H5208" s="5"/>
    </row>
    <row r="5209" spans="1:8" x14ac:dyDescent="0.2">
      <c r="A5209" s="5"/>
      <c r="B5209" s="5" t="s">
        <v>77</v>
      </c>
      <c r="C5209" s="5"/>
      <c r="D5209" s="5" t="s">
        <v>15</v>
      </c>
      <c r="E5209" s="5"/>
      <c r="G5209" s="5"/>
      <c r="H5209" s="5"/>
    </row>
    <row r="5210" spans="1:8" x14ac:dyDescent="0.2">
      <c r="A5210" s="5" t="s">
        <v>5696</v>
      </c>
      <c r="B5210" s="5" t="s">
        <v>2970</v>
      </c>
      <c r="C5210" s="5"/>
      <c r="D5210" s="5" t="s">
        <v>18</v>
      </c>
      <c r="E5210" s="5"/>
      <c r="G5210" s="5"/>
      <c r="H5210" s="5"/>
    </row>
    <row r="5211" spans="1:8" x14ac:dyDescent="0.2">
      <c r="A5211" s="5" t="s">
        <v>5697</v>
      </c>
      <c r="B5211" s="5" t="s">
        <v>299</v>
      </c>
      <c r="C5211" s="5"/>
      <c r="D5211" s="5" t="s">
        <v>18</v>
      </c>
      <c r="E5211" s="5"/>
      <c r="G5211" s="5"/>
      <c r="H5211" s="5"/>
    </row>
    <row r="5212" spans="1:8" x14ac:dyDescent="0.2">
      <c r="A5212" s="5"/>
      <c r="B5212" s="5" t="s">
        <v>94</v>
      </c>
      <c r="C5212" s="5"/>
      <c r="D5212" s="5" t="s">
        <v>13</v>
      </c>
      <c r="E5212" s="5"/>
      <c r="G5212" s="5"/>
      <c r="H5212" s="5"/>
    </row>
    <row r="5213" spans="1:8" x14ac:dyDescent="0.2">
      <c r="A5213" s="5" t="s">
        <v>5698</v>
      </c>
      <c r="B5213" s="5" t="s">
        <v>589</v>
      </c>
      <c r="C5213" s="8">
        <v>1</v>
      </c>
      <c r="D5213" s="5" t="s">
        <v>97</v>
      </c>
      <c r="E5213" s="5"/>
      <c r="G5213" s="5"/>
      <c r="H5213" s="5"/>
    </row>
    <row r="5214" spans="1:8" x14ac:dyDescent="0.2">
      <c r="A5214" s="5" t="s">
        <v>5699</v>
      </c>
      <c r="B5214" s="5" t="s">
        <v>111</v>
      </c>
      <c r="C5214" s="8">
        <v>1</v>
      </c>
      <c r="D5214" s="5" t="s">
        <v>97</v>
      </c>
      <c r="E5214" s="5"/>
      <c r="G5214" s="5"/>
      <c r="H5214" s="5"/>
    </row>
    <row r="5215" spans="1:8" x14ac:dyDescent="0.2">
      <c r="A5215" s="5" t="s">
        <v>5700</v>
      </c>
      <c r="B5215" s="5" t="s">
        <v>3969</v>
      </c>
      <c r="C5215" s="8">
        <v>1</v>
      </c>
      <c r="D5215" s="5" t="s">
        <v>97</v>
      </c>
      <c r="E5215" s="5"/>
      <c r="G5215" s="5"/>
      <c r="H5215" s="5"/>
    </row>
    <row r="5216" spans="1:8" x14ac:dyDescent="0.2">
      <c r="A5216" s="5" t="s">
        <v>5701</v>
      </c>
      <c r="B5216" s="5" t="s">
        <v>2761</v>
      </c>
      <c r="C5216" s="8">
        <v>1</v>
      </c>
      <c r="D5216" s="5" t="s">
        <v>97</v>
      </c>
      <c r="E5216" s="5"/>
      <c r="G5216" s="5"/>
      <c r="H5216" s="5"/>
    </row>
    <row r="5217" spans="1:8" x14ac:dyDescent="0.2">
      <c r="A5217" s="5"/>
      <c r="B5217" s="5" t="s">
        <v>135</v>
      </c>
      <c r="C5217" s="5"/>
      <c r="D5217" s="5" t="s">
        <v>13</v>
      </c>
      <c r="E5217" s="5"/>
      <c r="G5217" s="5"/>
      <c r="H5217" s="5"/>
    </row>
    <row r="5218" spans="1:8" x14ac:dyDescent="0.2">
      <c r="A5218" s="5" t="s">
        <v>5702</v>
      </c>
      <c r="B5218" s="5" t="s">
        <v>5431</v>
      </c>
      <c r="C5218" s="5"/>
      <c r="D5218" s="5" t="s">
        <v>18</v>
      </c>
      <c r="E5218" s="5"/>
      <c r="G5218" s="5"/>
      <c r="H5218" s="5"/>
    </row>
    <row r="5219" spans="1:8" x14ac:dyDescent="0.2">
      <c r="A5219" s="5" t="s">
        <v>5703</v>
      </c>
      <c r="B5219" s="5" t="s">
        <v>5447</v>
      </c>
      <c r="C5219" s="5"/>
      <c r="D5219" s="5" t="s">
        <v>18</v>
      </c>
      <c r="E5219" s="5"/>
      <c r="G5219" s="5"/>
      <c r="H5219" s="5"/>
    </row>
    <row r="5220" spans="1:8" x14ac:dyDescent="0.2">
      <c r="A5220" s="5" t="s">
        <v>5704</v>
      </c>
      <c r="B5220" s="5" t="s">
        <v>5449</v>
      </c>
      <c r="C5220" s="5"/>
      <c r="D5220" s="5" t="s">
        <v>18</v>
      </c>
      <c r="E5220" s="5"/>
      <c r="G5220" s="5"/>
      <c r="H5220" s="5"/>
    </row>
    <row r="5221" spans="1:8" x14ac:dyDescent="0.2">
      <c r="A5221" s="5" t="s">
        <v>5705</v>
      </c>
      <c r="B5221" s="5" t="s">
        <v>5451</v>
      </c>
      <c r="C5221" s="5"/>
      <c r="D5221" s="5" t="s">
        <v>18</v>
      </c>
      <c r="E5221" s="5"/>
      <c r="G5221" s="5"/>
      <c r="H5221" s="5"/>
    </row>
    <row r="5222" spans="1:8" x14ac:dyDescent="0.2">
      <c r="A5222" s="5" t="s">
        <v>5706</v>
      </c>
      <c r="B5222" s="5" t="s">
        <v>5453</v>
      </c>
      <c r="C5222" s="5"/>
      <c r="D5222" s="5" t="s">
        <v>18</v>
      </c>
      <c r="E5222" s="5"/>
      <c r="G5222" s="5"/>
      <c r="H5222" s="5"/>
    </row>
    <row r="5223" spans="1:8" x14ac:dyDescent="0.2">
      <c r="A5223" s="5"/>
      <c r="B5223" s="5" t="s">
        <v>38</v>
      </c>
      <c r="C5223" s="5"/>
      <c r="D5223" s="5" t="s">
        <v>13</v>
      </c>
      <c r="E5223" s="5"/>
      <c r="G5223" s="5"/>
      <c r="H5223" s="5"/>
    </row>
    <row r="5224" spans="1:8" x14ac:dyDescent="0.2">
      <c r="A5224" s="5"/>
      <c r="B5224" s="5" t="s">
        <v>5707</v>
      </c>
      <c r="C5224" s="5"/>
      <c r="D5224" s="5" t="s">
        <v>15</v>
      </c>
      <c r="E5224" s="5"/>
      <c r="G5224" s="5"/>
      <c r="H5224" s="5"/>
    </row>
    <row r="5225" spans="1:8" x14ac:dyDescent="0.2">
      <c r="A5225" s="5" t="s">
        <v>5708</v>
      </c>
      <c r="B5225" s="5" t="s">
        <v>5709</v>
      </c>
      <c r="C5225" s="8">
        <v>1</v>
      </c>
      <c r="D5225" s="5" t="s">
        <v>162</v>
      </c>
      <c r="E5225" s="5"/>
      <c r="G5225" s="5"/>
      <c r="H5225" s="5"/>
    </row>
    <row r="5226" spans="1:8" x14ac:dyDescent="0.2">
      <c r="A5226" s="5" t="s">
        <v>5710</v>
      </c>
      <c r="B5226" s="5" t="s">
        <v>5711</v>
      </c>
      <c r="C5226" s="8">
        <v>2</v>
      </c>
      <c r="D5226" s="5" t="s">
        <v>162</v>
      </c>
      <c r="E5226" s="5"/>
      <c r="G5226" s="5"/>
      <c r="H5226" s="5"/>
    </row>
    <row r="5227" spans="1:8" x14ac:dyDescent="0.2">
      <c r="A5227" s="5" t="s">
        <v>5712</v>
      </c>
      <c r="B5227" s="5" t="s">
        <v>5713</v>
      </c>
      <c r="C5227" s="8">
        <v>5</v>
      </c>
      <c r="D5227" s="5" t="s">
        <v>162</v>
      </c>
      <c r="E5227" s="5"/>
      <c r="G5227" s="5"/>
      <c r="H5227" s="5"/>
    </row>
    <row r="5228" spans="1:8" x14ac:dyDescent="0.2">
      <c r="A5228" s="5" t="s">
        <v>5714</v>
      </c>
      <c r="B5228" s="5" t="s">
        <v>5715</v>
      </c>
      <c r="C5228" s="8">
        <v>2</v>
      </c>
      <c r="D5228" s="5" t="s">
        <v>162</v>
      </c>
      <c r="E5228" s="5"/>
      <c r="G5228" s="5"/>
      <c r="H5228" s="5"/>
    </row>
    <row r="5229" spans="1:8" x14ac:dyDescent="0.2">
      <c r="A5229" s="5" t="s">
        <v>5716</v>
      </c>
      <c r="B5229" s="5" t="s">
        <v>5717</v>
      </c>
      <c r="C5229" s="8">
        <v>2</v>
      </c>
      <c r="D5229" s="5" t="s">
        <v>162</v>
      </c>
      <c r="E5229" s="5"/>
      <c r="G5229" s="5"/>
      <c r="H5229" s="5"/>
    </row>
    <row r="5230" spans="1:8" x14ac:dyDescent="0.2">
      <c r="A5230" s="5" t="s">
        <v>5718</v>
      </c>
      <c r="B5230" s="5" t="s">
        <v>5719</v>
      </c>
      <c r="C5230" s="8">
        <v>1</v>
      </c>
      <c r="D5230" s="5" t="s">
        <v>162</v>
      </c>
      <c r="E5230" s="5"/>
      <c r="G5230" s="5"/>
      <c r="H5230" s="5"/>
    </row>
    <row r="5231" spans="1:8" x14ac:dyDescent="0.2">
      <c r="A5231" s="5" t="s">
        <v>5720</v>
      </c>
      <c r="B5231" s="5" t="s">
        <v>5721</v>
      </c>
      <c r="C5231" s="8">
        <v>1</v>
      </c>
      <c r="D5231" s="5" t="s">
        <v>162</v>
      </c>
      <c r="E5231" s="5"/>
      <c r="G5231" s="5"/>
      <c r="H5231" s="5"/>
    </row>
    <row r="5232" spans="1:8" x14ac:dyDescent="0.2">
      <c r="A5232" s="5" t="s">
        <v>5722</v>
      </c>
      <c r="B5232" s="5" t="s">
        <v>5723</v>
      </c>
      <c r="C5232" s="8">
        <v>6</v>
      </c>
      <c r="D5232" s="5" t="s">
        <v>162</v>
      </c>
      <c r="E5232" s="5"/>
      <c r="G5232" s="5"/>
      <c r="H5232" s="5"/>
    </row>
    <row r="5233" spans="1:8" x14ac:dyDescent="0.2">
      <c r="A5233" s="5" t="s">
        <v>5724</v>
      </c>
      <c r="B5233" s="5" t="s">
        <v>5725</v>
      </c>
      <c r="C5233" s="8">
        <v>2</v>
      </c>
      <c r="D5233" s="5" t="s">
        <v>162</v>
      </c>
      <c r="E5233" s="5"/>
      <c r="G5233" s="5"/>
      <c r="H5233" s="5"/>
    </row>
    <row r="5234" spans="1:8" x14ac:dyDescent="0.2">
      <c r="A5234" s="5" t="s">
        <v>5726</v>
      </c>
      <c r="B5234" s="5" t="s">
        <v>5727</v>
      </c>
      <c r="C5234" s="8">
        <v>2</v>
      </c>
      <c r="D5234" s="5" t="s">
        <v>162</v>
      </c>
      <c r="E5234" s="5"/>
      <c r="G5234" s="5"/>
      <c r="H5234" s="5"/>
    </row>
    <row r="5235" spans="1:8" x14ac:dyDescent="0.2">
      <c r="A5235" s="5"/>
      <c r="B5235" s="5" t="s">
        <v>5454</v>
      </c>
      <c r="C5235" s="5"/>
      <c r="D5235" s="5" t="s">
        <v>15</v>
      </c>
      <c r="E5235" s="5"/>
      <c r="G5235" s="5"/>
      <c r="H5235" s="5"/>
    </row>
    <row r="5236" spans="1:8" x14ac:dyDescent="0.2">
      <c r="A5236" s="5"/>
      <c r="B5236" s="5" t="s">
        <v>5457</v>
      </c>
      <c r="C5236" s="5"/>
      <c r="D5236" s="5" t="s">
        <v>322</v>
      </c>
      <c r="E5236" s="5"/>
      <c r="G5236" s="5"/>
      <c r="H5236" s="5"/>
    </row>
    <row r="5237" spans="1:8" x14ac:dyDescent="0.2">
      <c r="A5237" s="5" t="s">
        <v>5728</v>
      </c>
      <c r="B5237" s="5" t="s">
        <v>5481</v>
      </c>
      <c r="C5237" s="8">
        <v>30</v>
      </c>
      <c r="D5237" s="5" t="s">
        <v>162</v>
      </c>
      <c r="E5237" s="5"/>
      <c r="G5237" s="5"/>
      <c r="H5237" s="5"/>
    </row>
    <row r="5238" spans="1:8" x14ac:dyDescent="0.2">
      <c r="A5238" s="5" t="s">
        <v>5729</v>
      </c>
      <c r="B5238" s="5" t="s">
        <v>5483</v>
      </c>
      <c r="C5238" s="8">
        <v>55</v>
      </c>
      <c r="D5238" s="5" t="s">
        <v>162</v>
      </c>
      <c r="E5238" s="5"/>
      <c r="G5238" s="5"/>
      <c r="H5238" s="5"/>
    </row>
    <row r="5239" spans="1:8" x14ac:dyDescent="0.2">
      <c r="A5239" s="5"/>
      <c r="B5239" s="5" t="s">
        <v>5508</v>
      </c>
      <c r="C5239" s="5"/>
      <c r="D5239" s="5" t="s">
        <v>322</v>
      </c>
      <c r="E5239" s="5"/>
      <c r="G5239" s="5"/>
      <c r="H5239" s="5"/>
    </row>
    <row r="5240" spans="1:8" x14ac:dyDescent="0.2">
      <c r="A5240" s="5" t="s">
        <v>5730</v>
      </c>
      <c r="B5240" s="5" t="s">
        <v>5518</v>
      </c>
      <c r="C5240" s="8">
        <v>1</v>
      </c>
      <c r="D5240" s="5" t="s">
        <v>162</v>
      </c>
      <c r="E5240" s="5"/>
      <c r="G5240" s="5"/>
      <c r="H5240" s="5"/>
    </row>
    <row r="5241" spans="1:8" x14ac:dyDescent="0.2">
      <c r="A5241" s="5" t="s">
        <v>5731</v>
      </c>
      <c r="B5241" s="5" t="s">
        <v>5526</v>
      </c>
      <c r="C5241" s="8">
        <v>3</v>
      </c>
      <c r="D5241" s="5" t="s">
        <v>162</v>
      </c>
      <c r="E5241" s="5"/>
      <c r="G5241" s="5"/>
      <c r="H5241" s="5"/>
    </row>
    <row r="5242" spans="1:8" x14ac:dyDescent="0.2">
      <c r="A5242" s="5" t="s">
        <v>5732</v>
      </c>
      <c r="B5242" s="5" t="s">
        <v>5733</v>
      </c>
      <c r="C5242" s="8">
        <v>8</v>
      </c>
      <c r="D5242" s="5" t="s">
        <v>162</v>
      </c>
      <c r="E5242" s="5"/>
      <c r="G5242" s="5"/>
      <c r="H5242" s="5"/>
    </row>
    <row r="5243" spans="1:8" x14ac:dyDescent="0.2">
      <c r="A5243" s="5" t="s">
        <v>5734</v>
      </c>
      <c r="B5243" s="5" t="s">
        <v>5735</v>
      </c>
      <c r="C5243" s="8">
        <v>2</v>
      </c>
      <c r="D5243" s="5" t="s">
        <v>162</v>
      </c>
      <c r="E5243" s="5"/>
      <c r="G5243" s="5"/>
      <c r="H5243" s="5"/>
    </row>
    <row r="5244" spans="1:8" x14ac:dyDescent="0.2">
      <c r="A5244" s="5" t="s">
        <v>5736</v>
      </c>
      <c r="B5244" s="5" t="s">
        <v>5532</v>
      </c>
      <c r="C5244" s="8">
        <v>6</v>
      </c>
      <c r="D5244" s="5" t="s">
        <v>162</v>
      </c>
      <c r="E5244" s="5"/>
      <c r="G5244" s="5"/>
      <c r="H5244" s="5"/>
    </row>
    <row r="5245" spans="1:8" x14ac:dyDescent="0.2">
      <c r="A5245" s="5"/>
      <c r="B5245" s="5" t="s">
        <v>53</v>
      </c>
      <c r="C5245" s="5"/>
      <c r="D5245" s="5" t="s">
        <v>13</v>
      </c>
      <c r="E5245" s="5"/>
      <c r="G5245" s="5"/>
      <c r="H5245" s="5"/>
    </row>
    <row r="5246" spans="1:8" x14ac:dyDescent="0.2">
      <c r="A5246" s="5"/>
      <c r="B5246" s="5" t="s">
        <v>5707</v>
      </c>
      <c r="C5246" s="5"/>
      <c r="D5246" s="5" t="s">
        <v>15</v>
      </c>
      <c r="E5246" s="5"/>
      <c r="G5246" s="5"/>
      <c r="H5246" s="5"/>
    </row>
    <row r="5247" spans="1:8" x14ac:dyDescent="0.2">
      <c r="A5247" s="5" t="s">
        <v>5737</v>
      </c>
      <c r="B5247" s="5" t="s">
        <v>5715</v>
      </c>
      <c r="C5247" s="8">
        <v>1</v>
      </c>
      <c r="D5247" s="5" t="s">
        <v>162</v>
      </c>
      <c r="E5247" s="5"/>
      <c r="G5247" s="5"/>
      <c r="H5247" s="5"/>
    </row>
    <row r="5248" spans="1:8" x14ac:dyDescent="0.2">
      <c r="A5248" s="5" t="s">
        <v>5738</v>
      </c>
      <c r="B5248" s="5" t="s">
        <v>5739</v>
      </c>
      <c r="C5248" s="8">
        <v>1</v>
      </c>
      <c r="D5248" s="5" t="s">
        <v>162</v>
      </c>
      <c r="E5248" s="5"/>
      <c r="G5248" s="5"/>
      <c r="H5248" s="5"/>
    </row>
    <row r="5249" spans="1:9" x14ac:dyDescent="0.2">
      <c r="B5249" s="6" t="s">
        <v>5740</v>
      </c>
      <c r="C5249" s="6"/>
      <c r="D5249" s="6"/>
      <c r="E5249" s="6"/>
      <c r="F5249" s="9">
        <f>SUM(H5202:H5249)</f>
        <v>0</v>
      </c>
      <c r="G5249" s="6"/>
      <c r="I5249" s="9">
        <f>PRODUCT(F5249,G5249)</f>
        <v>0</v>
      </c>
    </row>
    <row r="5251" spans="1:9" x14ac:dyDescent="0.2">
      <c r="A5251" s="6" t="s">
        <v>5741</v>
      </c>
      <c r="B5251" s="6" t="s">
        <v>5742</v>
      </c>
    </row>
    <row r="5252" spans="1:9" x14ac:dyDescent="0.2">
      <c r="A5252" s="5"/>
      <c r="B5252" s="5" t="s">
        <v>64</v>
      </c>
      <c r="C5252" s="5"/>
      <c r="D5252" s="5" t="s">
        <v>13</v>
      </c>
      <c r="E5252" s="5"/>
      <c r="G5252" s="5"/>
      <c r="H5252" s="5"/>
    </row>
    <row r="5253" spans="1:9" x14ac:dyDescent="0.2">
      <c r="A5253" s="5" t="s">
        <v>5743</v>
      </c>
      <c r="B5253" s="5" t="s">
        <v>66</v>
      </c>
      <c r="C5253" s="5"/>
      <c r="D5253" s="5" t="s">
        <v>18</v>
      </c>
      <c r="E5253" s="5"/>
      <c r="G5253" s="5"/>
      <c r="H5253" s="5"/>
    </row>
    <row r="5254" spans="1:9" x14ac:dyDescent="0.2">
      <c r="A5254" s="5" t="s">
        <v>5744</v>
      </c>
      <c r="B5254" s="5" t="s">
        <v>68</v>
      </c>
      <c r="C5254" s="5"/>
      <c r="D5254" s="5" t="s">
        <v>18</v>
      </c>
      <c r="E5254" s="5"/>
      <c r="G5254" s="5"/>
      <c r="H5254" s="5"/>
    </row>
    <row r="5255" spans="1:9" x14ac:dyDescent="0.2">
      <c r="A5255" s="5"/>
      <c r="B5255" s="5" t="s">
        <v>76</v>
      </c>
      <c r="C5255" s="5"/>
      <c r="D5255" s="5" t="s">
        <v>13</v>
      </c>
      <c r="E5255" s="5"/>
      <c r="G5255" s="5"/>
      <c r="H5255" s="5"/>
    </row>
    <row r="5256" spans="1:9" x14ac:dyDescent="0.2">
      <c r="A5256" s="5"/>
      <c r="B5256" s="5" t="s">
        <v>77</v>
      </c>
      <c r="C5256" s="5"/>
      <c r="D5256" s="5" t="s">
        <v>15</v>
      </c>
      <c r="E5256" s="5"/>
      <c r="G5256" s="5"/>
      <c r="H5256" s="5"/>
    </row>
    <row r="5257" spans="1:9" x14ac:dyDescent="0.2">
      <c r="A5257" s="5" t="s">
        <v>5745</v>
      </c>
      <c r="B5257" s="5" t="s">
        <v>5746</v>
      </c>
      <c r="C5257" s="5"/>
      <c r="D5257" s="5" t="s">
        <v>18</v>
      </c>
      <c r="E5257" s="5"/>
      <c r="G5257" s="5"/>
      <c r="H5257" s="5"/>
    </row>
    <row r="5258" spans="1:9" x14ac:dyDescent="0.2">
      <c r="A5258" s="5" t="s">
        <v>5747</v>
      </c>
      <c r="B5258" s="5" t="s">
        <v>5748</v>
      </c>
      <c r="C5258" s="5"/>
      <c r="D5258" s="5" t="s">
        <v>18</v>
      </c>
      <c r="E5258" s="5"/>
      <c r="G5258" s="5"/>
      <c r="H5258" s="5"/>
    </row>
    <row r="5259" spans="1:9" x14ac:dyDescent="0.2">
      <c r="A5259" s="5" t="s">
        <v>5749</v>
      </c>
      <c r="B5259" s="5" t="s">
        <v>5750</v>
      </c>
      <c r="C5259" s="5"/>
      <c r="D5259" s="5" t="s">
        <v>18</v>
      </c>
      <c r="E5259" s="5"/>
      <c r="G5259" s="5"/>
      <c r="H5259" s="5"/>
    </row>
    <row r="5260" spans="1:9" x14ac:dyDescent="0.2">
      <c r="A5260" s="5" t="s">
        <v>5751</v>
      </c>
      <c r="B5260" s="5" t="s">
        <v>5752</v>
      </c>
      <c r="C5260" s="5"/>
      <c r="D5260" s="5" t="s">
        <v>18</v>
      </c>
      <c r="E5260" s="5"/>
      <c r="G5260" s="5"/>
      <c r="H5260" s="5"/>
    </row>
    <row r="5261" spans="1:9" x14ac:dyDescent="0.2">
      <c r="A5261" s="5" t="s">
        <v>5753</v>
      </c>
      <c r="B5261" s="5" t="s">
        <v>5754</v>
      </c>
      <c r="C5261" s="5"/>
      <c r="D5261" s="5" t="s">
        <v>18</v>
      </c>
      <c r="E5261" s="5"/>
      <c r="G5261" s="5"/>
      <c r="H5261" s="5"/>
    </row>
    <row r="5262" spans="1:9" x14ac:dyDescent="0.2">
      <c r="A5262" s="5" t="s">
        <v>5755</v>
      </c>
      <c r="B5262" s="5" t="s">
        <v>5756</v>
      </c>
      <c r="C5262" s="5"/>
      <c r="D5262" s="5" t="s">
        <v>18</v>
      </c>
      <c r="E5262" s="5"/>
      <c r="G5262" s="5"/>
      <c r="H5262" s="5"/>
    </row>
    <row r="5263" spans="1:9" x14ac:dyDescent="0.2">
      <c r="A5263" s="5" t="s">
        <v>5757</v>
      </c>
      <c r="B5263" s="5" t="s">
        <v>299</v>
      </c>
      <c r="C5263" s="5"/>
      <c r="D5263" s="5" t="s">
        <v>18</v>
      </c>
      <c r="E5263" s="5"/>
      <c r="G5263" s="5"/>
      <c r="H5263" s="5"/>
    </row>
    <row r="5264" spans="1:9" x14ac:dyDescent="0.2">
      <c r="A5264" s="5"/>
      <c r="B5264" s="5" t="s">
        <v>94</v>
      </c>
      <c r="C5264" s="5"/>
      <c r="D5264" s="5" t="s">
        <v>13</v>
      </c>
      <c r="E5264" s="5"/>
      <c r="G5264" s="5"/>
      <c r="H5264" s="5"/>
    </row>
    <row r="5265" spans="1:9" x14ac:dyDescent="0.2">
      <c r="A5265" s="5" t="s">
        <v>5758</v>
      </c>
      <c r="B5265" s="5" t="s">
        <v>5759</v>
      </c>
      <c r="C5265" s="8">
        <v>1</v>
      </c>
      <c r="D5265" s="5" t="s">
        <v>97</v>
      </c>
      <c r="E5265" s="5"/>
      <c r="G5265" s="5"/>
      <c r="H5265" s="5"/>
    </row>
    <row r="5266" spans="1:9" x14ac:dyDescent="0.2">
      <c r="A5266" s="5" t="s">
        <v>5760</v>
      </c>
      <c r="B5266" s="5" t="s">
        <v>5761</v>
      </c>
      <c r="C5266" s="8">
        <v>1</v>
      </c>
      <c r="D5266" s="5" t="s">
        <v>97</v>
      </c>
      <c r="E5266" s="5"/>
      <c r="G5266" s="5"/>
      <c r="H5266" s="5"/>
    </row>
    <row r="5267" spans="1:9" x14ac:dyDescent="0.2">
      <c r="A5267" s="5" t="s">
        <v>5762</v>
      </c>
      <c r="B5267" s="5" t="s">
        <v>5763</v>
      </c>
      <c r="C5267" s="8">
        <v>1</v>
      </c>
      <c r="D5267" s="5" t="s">
        <v>97</v>
      </c>
      <c r="E5267" s="5"/>
      <c r="G5267" s="5"/>
      <c r="H5267" s="5"/>
    </row>
    <row r="5268" spans="1:9" x14ac:dyDescent="0.2">
      <c r="A5268" s="5" t="s">
        <v>5764</v>
      </c>
      <c r="B5268" s="5" t="s">
        <v>5765</v>
      </c>
      <c r="C5268" s="8">
        <v>1</v>
      </c>
      <c r="D5268" s="5" t="s">
        <v>97</v>
      </c>
      <c r="E5268" s="5"/>
      <c r="G5268" s="5"/>
      <c r="H5268" s="5"/>
    </row>
    <row r="5269" spans="1:9" x14ac:dyDescent="0.2">
      <c r="A5269" s="5" t="s">
        <v>5766</v>
      </c>
      <c r="B5269" s="5" t="s">
        <v>5767</v>
      </c>
      <c r="C5269" s="8">
        <v>1</v>
      </c>
      <c r="D5269" s="5" t="s">
        <v>97</v>
      </c>
      <c r="E5269" s="5"/>
      <c r="G5269" s="5"/>
      <c r="H5269" s="5"/>
    </row>
    <row r="5270" spans="1:9" x14ac:dyDescent="0.2">
      <c r="A5270" s="5" t="s">
        <v>5768</v>
      </c>
      <c r="B5270" s="5" t="s">
        <v>2750</v>
      </c>
      <c r="C5270" s="8">
        <v>1</v>
      </c>
      <c r="D5270" s="5" t="s">
        <v>97</v>
      </c>
      <c r="E5270" s="5"/>
      <c r="G5270" s="5"/>
      <c r="H5270" s="5"/>
    </row>
    <row r="5271" spans="1:9" x14ac:dyDescent="0.2">
      <c r="A5271" s="5" t="s">
        <v>5769</v>
      </c>
      <c r="B5271" s="5" t="s">
        <v>2756</v>
      </c>
      <c r="C5271" s="8">
        <v>1</v>
      </c>
      <c r="D5271" s="5" t="s">
        <v>97</v>
      </c>
      <c r="E5271" s="5"/>
      <c r="G5271" s="5"/>
      <c r="H5271" s="5"/>
    </row>
    <row r="5272" spans="1:9" x14ac:dyDescent="0.2">
      <c r="A5272" s="5" t="s">
        <v>5770</v>
      </c>
      <c r="B5272" s="5" t="s">
        <v>5771</v>
      </c>
      <c r="C5272" s="8">
        <v>1</v>
      </c>
      <c r="D5272" s="5" t="s">
        <v>97</v>
      </c>
      <c r="E5272" s="5"/>
      <c r="G5272" s="5"/>
      <c r="H5272" s="5"/>
    </row>
    <row r="5273" spans="1:9" x14ac:dyDescent="0.2">
      <c r="A5273" s="5" t="s">
        <v>5772</v>
      </c>
      <c r="B5273" s="5" t="s">
        <v>5773</v>
      </c>
      <c r="C5273" s="8">
        <v>1</v>
      </c>
      <c r="D5273" s="5" t="s">
        <v>97</v>
      </c>
      <c r="E5273" s="5"/>
      <c r="G5273" s="5"/>
      <c r="H5273" s="5"/>
    </row>
    <row r="5274" spans="1:9" x14ac:dyDescent="0.2">
      <c r="A5274" s="5" t="s">
        <v>5774</v>
      </c>
      <c r="B5274" s="5" t="s">
        <v>2761</v>
      </c>
      <c r="C5274" s="8">
        <v>1</v>
      </c>
      <c r="D5274" s="5" t="s">
        <v>97</v>
      </c>
      <c r="E5274" s="5"/>
      <c r="G5274" s="5"/>
      <c r="H5274" s="5"/>
    </row>
    <row r="5275" spans="1:9" x14ac:dyDescent="0.2">
      <c r="A5275" s="5"/>
      <c r="B5275" s="5" t="s">
        <v>5742</v>
      </c>
      <c r="C5275" s="5"/>
      <c r="D5275" s="5" t="s">
        <v>13</v>
      </c>
      <c r="E5275" s="5"/>
      <c r="G5275" s="5"/>
      <c r="H5275" s="5"/>
    </row>
    <row r="5276" spans="1:9" x14ac:dyDescent="0.2">
      <c r="A5276" s="5" t="s">
        <v>5775</v>
      </c>
      <c r="B5276" s="5" t="s">
        <v>5776</v>
      </c>
      <c r="C5276" s="8">
        <v>1</v>
      </c>
      <c r="D5276" s="5" t="s">
        <v>97</v>
      </c>
      <c r="E5276" s="5"/>
      <c r="G5276" s="5"/>
      <c r="H5276" s="5"/>
    </row>
    <row r="5277" spans="1:9" x14ac:dyDescent="0.2">
      <c r="B5277" s="6" t="s">
        <v>5777</v>
      </c>
      <c r="C5277" s="6"/>
      <c r="D5277" s="6"/>
      <c r="E5277" s="6"/>
      <c r="F5277" s="9">
        <f>ROUNDUP(SUM(H5252:H5277),0)</f>
        <v>0</v>
      </c>
      <c r="G5277" s="6"/>
      <c r="I5277" s="9">
        <f>PRODUCT(F5277,G5277)</f>
        <v>0</v>
      </c>
    </row>
    <row r="5279" spans="1:9" x14ac:dyDescent="0.2">
      <c r="A5279" s="6" t="s">
        <v>5778</v>
      </c>
      <c r="B5279" s="6" t="s">
        <v>5779</v>
      </c>
    </row>
    <row r="5280" spans="1:9" x14ac:dyDescent="0.2">
      <c r="A5280" s="5"/>
      <c r="B5280" s="5" t="s">
        <v>64</v>
      </c>
      <c r="C5280" s="5"/>
      <c r="D5280" s="5" t="s">
        <v>13</v>
      </c>
      <c r="E5280" s="5"/>
      <c r="G5280" s="5"/>
      <c r="H5280" s="5"/>
    </row>
    <row r="5281" spans="1:8" x14ac:dyDescent="0.2">
      <c r="A5281" s="5" t="s">
        <v>5780</v>
      </c>
      <c r="B5281" s="5" t="s">
        <v>66</v>
      </c>
      <c r="C5281" s="5"/>
      <c r="D5281" s="5" t="s">
        <v>18</v>
      </c>
      <c r="E5281" s="5"/>
      <c r="G5281" s="5"/>
      <c r="H5281" s="5"/>
    </row>
    <row r="5282" spans="1:8" x14ac:dyDescent="0.2">
      <c r="A5282" s="5" t="s">
        <v>5781</v>
      </c>
      <c r="B5282" s="5" t="s">
        <v>68</v>
      </c>
      <c r="C5282" s="5"/>
      <c r="D5282" s="5" t="s">
        <v>18</v>
      </c>
      <c r="E5282" s="5"/>
      <c r="G5282" s="5"/>
      <c r="H5282" s="5"/>
    </row>
    <row r="5283" spans="1:8" x14ac:dyDescent="0.2">
      <c r="A5283" s="5"/>
      <c r="B5283" s="5" t="s">
        <v>76</v>
      </c>
      <c r="C5283" s="5"/>
      <c r="D5283" s="5" t="s">
        <v>13</v>
      </c>
      <c r="E5283" s="5"/>
      <c r="G5283" s="5"/>
      <c r="H5283" s="5"/>
    </row>
    <row r="5284" spans="1:8" x14ac:dyDescent="0.2">
      <c r="A5284" s="5"/>
      <c r="B5284" s="5" t="s">
        <v>5782</v>
      </c>
      <c r="C5284" s="5"/>
      <c r="D5284" s="5" t="s">
        <v>15</v>
      </c>
      <c r="E5284" s="5"/>
      <c r="G5284" s="5"/>
      <c r="H5284" s="5"/>
    </row>
    <row r="5285" spans="1:8" x14ac:dyDescent="0.2">
      <c r="A5285" s="5" t="s">
        <v>5783</v>
      </c>
      <c r="B5285" s="5" t="s">
        <v>5784</v>
      </c>
      <c r="C5285" s="5"/>
      <c r="D5285" s="5" t="s">
        <v>18</v>
      </c>
      <c r="E5285" s="5"/>
      <c r="G5285" s="5"/>
      <c r="H5285" s="5"/>
    </row>
    <row r="5286" spans="1:8" x14ac:dyDescent="0.2">
      <c r="A5286" s="5" t="s">
        <v>5785</v>
      </c>
      <c r="B5286" s="5" t="s">
        <v>5750</v>
      </c>
      <c r="C5286" s="5"/>
      <c r="D5286" s="5" t="s">
        <v>18</v>
      </c>
      <c r="E5286" s="5"/>
      <c r="G5286" s="5"/>
      <c r="H5286" s="5"/>
    </row>
    <row r="5287" spans="1:8" x14ac:dyDescent="0.2">
      <c r="A5287" s="5" t="s">
        <v>5786</v>
      </c>
      <c r="B5287" s="5" t="s">
        <v>5752</v>
      </c>
      <c r="C5287" s="5"/>
      <c r="D5287" s="5" t="s">
        <v>18</v>
      </c>
      <c r="E5287" s="5"/>
      <c r="G5287" s="5"/>
      <c r="H5287" s="5"/>
    </row>
    <row r="5288" spans="1:8" x14ac:dyDescent="0.2">
      <c r="A5288" s="5" t="s">
        <v>5787</v>
      </c>
      <c r="B5288" s="5" t="s">
        <v>5754</v>
      </c>
      <c r="C5288" s="5"/>
      <c r="D5288" s="5" t="s">
        <v>18</v>
      </c>
      <c r="E5288" s="5"/>
      <c r="G5288" s="5"/>
      <c r="H5288" s="5"/>
    </row>
    <row r="5289" spans="1:8" x14ac:dyDescent="0.2">
      <c r="A5289" s="5" t="s">
        <v>5788</v>
      </c>
      <c r="B5289" s="5" t="s">
        <v>5756</v>
      </c>
      <c r="C5289" s="5"/>
      <c r="D5289" s="5" t="s">
        <v>18</v>
      </c>
      <c r="E5289" s="5"/>
      <c r="G5289" s="5"/>
      <c r="H5289" s="5"/>
    </row>
    <row r="5290" spans="1:8" x14ac:dyDescent="0.2">
      <c r="A5290" s="5" t="s">
        <v>5789</v>
      </c>
      <c r="B5290" s="5" t="s">
        <v>299</v>
      </c>
      <c r="C5290" s="5"/>
      <c r="D5290" s="5" t="s">
        <v>18</v>
      </c>
      <c r="E5290" s="5"/>
      <c r="G5290" s="5"/>
      <c r="H5290" s="5"/>
    </row>
    <row r="5291" spans="1:8" x14ac:dyDescent="0.2">
      <c r="A5291" s="5"/>
      <c r="B5291" s="5" t="s">
        <v>94</v>
      </c>
      <c r="C5291" s="5"/>
      <c r="D5291" s="5" t="s">
        <v>13</v>
      </c>
      <c r="E5291" s="5"/>
      <c r="G5291" s="5"/>
      <c r="H5291" s="5"/>
    </row>
    <row r="5292" spans="1:8" x14ac:dyDescent="0.2">
      <c r="A5292" s="5" t="s">
        <v>5790</v>
      </c>
      <c r="B5292" s="5" t="s">
        <v>2750</v>
      </c>
      <c r="C5292" s="8">
        <v>1</v>
      </c>
      <c r="D5292" s="5" t="s">
        <v>97</v>
      </c>
      <c r="E5292" s="5"/>
      <c r="G5292" s="5"/>
      <c r="H5292" s="5"/>
    </row>
    <row r="5293" spans="1:8" x14ac:dyDescent="0.2">
      <c r="A5293" s="5" t="s">
        <v>5791</v>
      </c>
      <c r="B5293" s="5" t="s">
        <v>2756</v>
      </c>
      <c r="C5293" s="8">
        <v>1</v>
      </c>
      <c r="D5293" s="5" t="s">
        <v>97</v>
      </c>
      <c r="E5293" s="5"/>
      <c r="G5293" s="5"/>
      <c r="H5293" s="5"/>
    </row>
    <row r="5294" spans="1:8" x14ac:dyDescent="0.2">
      <c r="A5294" s="5" t="s">
        <v>5792</v>
      </c>
      <c r="B5294" s="5" t="s">
        <v>5771</v>
      </c>
      <c r="C5294" s="8">
        <v>1</v>
      </c>
      <c r="D5294" s="5" t="s">
        <v>97</v>
      </c>
      <c r="E5294" s="5"/>
      <c r="G5294" s="5"/>
      <c r="H5294" s="5"/>
    </row>
    <row r="5295" spans="1:8" x14ac:dyDescent="0.2">
      <c r="A5295" s="5" t="s">
        <v>5793</v>
      </c>
      <c r="B5295" s="5" t="s">
        <v>5794</v>
      </c>
      <c r="C5295" s="8">
        <v>1</v>
      </c>
      <c r="D5295" s="5" t="s">
        <v>97</v>
      </c>
      <c r="E5295" s="5"/>
      <c r="G5295" s="5"/>
      <c r="H5295" s="5"/>
    </row>
    <row r="5296" spans="1:8" x14ac:dyDescent="0.2">
      <c r="A5296" s="5" t="s">
        <v>5795</v>
      </c>
      <c r="B5296" s="5" t="s">
        <v>2761</v>
      </c>
      <c r="C5296" s="8">
        <v>1</v>
      </c>
      <c r="D5296" s="5" t="s">
        <v>97</v>
      </c>
      <c r="E5296" s="5"/>
      <c r="G5296" s="5"/>
      <c r="H5296" s="5"/>
    </row>
    <row r="5297" spans="1:9" x14ac:dyDescent="0.2">
      <c r="A5297" s="5"/>
      <c r="B5297" s="5" t="s">
        <v>5779</v>
      </c>
      <c r="C5297" s="5"/>
      <c r="D5297" s="5" t="s">
        <v>13</v>
      </c>
      <c r="E5297" s="5"/>
      <c r="G5297" s="5"/>
      <c r="H5297" s="5"/>
    </row>
    <row r="5298" spans="1:9" x14ac:dyDescent="0.2">
      <c r="A5298" s="5" t="s">
        <v>5796</v>
      </c>
      <c r="B5298" s="5" t="s">
        <v>5797</v>
      </c>
      <c r="C5298" s="8">
        <v>1</v>
      </c>
      <c r="D5298" s="5" t="s">
        <v>97</v>
      </c>
      <c r="E5298" s="5"/>
      <c r="G5298" s="5"/>
      <c r="H5298" s="5"/>
    </row>
    <row r="5299" spans="1:9" x14ac:dyDescent="0.2">
      <c r="B5299" s="6" t="s">
        <v>5798</v>
      </c>
      <c r="C5299" s="6"/>
      <c r="D5299" s="6"/>
      <c r="E5299" s="6"/>
      <c r="F5299" s="9">
        <f>ROUNDUP(SUM(H5280:H5299),0)</f>
        <v>0</v>
      </c>
      <c r="G5299" s="6"/>
      <c r="I5299" s="9">
        <f>PRODUCT(F5299,G5299)</f>
        <v>0</v>
      </c>
    </row>
    <row r="5301" spans="1:9" x14ac:dyDescent="0.2">
      <c r="A5301" s="6" t="s">
        <v>5799</v>
      </c>
      <c r="B5301" s="6" t="s">
        <v>5800</v>
      </c>
    </row>
    <row r="5302" spans="1:9" x14ac:dyDescent="0.2">
      <c r="A5302" s="5"/>
      <c r="B5302" s="5" t="s">
        <v>64</v>
      </c>
      <c r="C5302" s="5"/>
      <c r="D5302" s="5" t="s">
        <v>13</v>
      </c>
      <c r="E5302" s="5"/>
      <c r="G5302" s="5"/>
      <c r="H5302" s="5"/>
    </row>
    <row r="5303" spans="1:9" x14ac:dyDescent="0.2">
      <c r="A5303" s="5" t="s">
        <v>5801</v>
      </c>
      <c r="B5303" s="5" t="s">
        <v>66</v>
      </c>
      <c r="C5303" s="5"/>
      <c r="D5303" s="5" t="s">
        <v>18</v>
      </c>
      <c r="E5303" s="5"/>
      <c r="G5303" s="5"/>
      <c r="H5303" s="5"/>
    </row>
    <row r="5304" spans="1:9" x14ac:dyDescent="0.2">
      <c r="A5304" s="5" t="s">
        <v>5802</v>
      </c>
      <c r="B5304" s="5" t="s">
        <v>68</v>
      </c>
      <c r="C5304" s="5"/>
      <c r="D5304" s="5" t="s">
        <v>18</v>
      </c>
      <c r="E5304" s="5"/>
      <c r="G5304" s="5"/>
      <c r="H5304" s="5"/>
    </row>
    <row r="5305" spans="1:9" x14ac:dyDescent="0.2">
      <c r="A5305" s="5"/>
      <c r="B5305" s="5" t="s">
        <v>76</v>
      </c>
      <c r="C5305" s="5"/>
      <c r="D5305" s="5" t="s">
        <v>13</v>
      </c>
      <c r="E5305" s="5"/>
      <c r="G5305" s="5"/>
      <c r="H5305" s="5"/>
    </row>
    <row r="5306" spans="1:9" x14ac:dyDescent="0.2">
      <c r="A5306" s="5"/>
      <c r="B5306" s="5" t="s">
        <v>5782</v>
      </c>
      <c r="C5306" s="5"/>
      <c r="D5306" s="5" t="s">
        <v>15</v>
      </c>
      <c r="E5306" s="5"/>
      <c r="G5306" s="5"/>
      <c r="H5306" s="5"/>
    </row>
    <row r="5307" spans="1:9" x14ac:dyDescent="0.2">
      <c r="A5307" s="5" t="s">
        <v>5803</v>
      </c>
      <c r="B5307" s="5" t="s">
        <v>5804</v>
      </c>
      <c r="C5307" s="5"/>
      <c r="D5307" s="5" t="s">
        <v>18</v>
      </c>
      <c r="E5307" s="5"/>
      <c r="G5307" s="5"/>
      <c r="H5307" s="5"/>
    </row>
    <row r="5308" spans="1:9" x14ac:dyDescent="0.2">
      <c r="A5308" s="5" t="s">
        <v>5805</v>
      </c>
      <c r="B5308" s="5" t="s">
        <v>5806</v>
      </c>
      <c r="C5308" s="5"/>
      <c r="D5308" s="5" t="s">
        <v>18</v>
      </c>
      <c r="E5308" s="5"/>
      <c r="G5308" s="5"/>
      <c r="H5308" s="5"/>
    </row>
    <row r="5309" spans="1:9" x14ac:dyDescent="0.2">
      <c r="A5309" s="5" t="s">
        <v>5807</v>
      </c>
      <c r="B5309" s="5" t="s">
        <v>5750</v>
      </c>
      <c r="C5309" s="5"/>
      <c r="D5309" s="5" t="s">
        <v>18</v>
      </c>
      <c r="E5309" s="5"/>
      <c r="G5309" s="5"/>
      <c r="H5309" s="5"/>
    </row>
    <row r="5310" spans="1:9" x14ac:dyDescent="0.2">
      <c r="A5310" s="5" t="s">
        <v>5808</v>
      </c>
      <c r="B5310" s="5" t="s">
        <v>5752</v>
      </c>
      <c r="C5310" s="5"/>
      <c r="D5310" s="5" t="s">
        <v>18</v>
      </c>
      <c r="E5310" s="5"/>
      <c r="G5310" s="5"/>
      <c r="H5310" s="5"/>
    </row>
    <row r="5311" spans="1:9" x14ac:dyDescent="0.2">
      <c r="A5311" s="5" t="s">
        <v>5809</v>
      </c>
      <c r="B5311" s="5" t="s">
        <v>5754</v>
      </c>
      <c r="C5311" s="5"/>
      <c r="D5311" s="5" t="s">
        <v>18</v>
      </c>
      <c r="E5311" s="5"/>
      <c r="G5311" s="5"/>
      <c r="H5311" s="5"/>
    </row>
    <row r="5312" spans="1:9" x14ac:dyDescent="0.2">
      <c r="A5312" s="5" t="s">
        <v>5810</v>
      </c>
      <c r="B5312" s="5" t="s">
        <v>5756</v>
      </c>
      <c r="C5312" s="5"/>
      <c r="D5312" s="5" t="s">
        <v>18</v>
      </c>
      <c r="E5312" s="5"/>
      <c r="G5312" s="5"/>
      <c r="H5312" s="5"/>
    </row>
    <row r="5313" spans="1:9" x14ac:dyDescent="0.2">
      <c r="A5313" s="5" t="s">
        <v>5811</v>
      </c>
      <c r="B5313" s="5" t="s">
        <v>299</v>
      </c>
      <c r="C5313" s="5"/>
      <c r="D5313" s="5" t="s">
        <v>18</v>
      </c>
      <c r="E5313" s="5"/>
      <c r="G5313" s="5"/>
      <c r="H5313" s="5"/>
    </row>
    <row r="5314" spans="1:9" x14ac:dyDescent="0.2">
      <c r="A5314" s="5"/>
      <c r="B5314" s="5" t="s">
        <v>94</v>
      </c>
      <c r="C5314" s="5"/>
      <c r="D5314" s="5" t="s">
        <v>13</v>
      </c>
      <c r="E5314" s="5"/>
      <c r="G5314" s="5"/>
      <c r="H5314" s="5"/>
    </row>
    <row r="5315" spans="1:9" x14ac:dyDescent="0.2">
      <c r="A5315" s="5" t="s">
        <v>5812</v>
      </c>
      <c r="B5315" s="5" t="s">
        <v>5813</v>
      </c>
      <c r="C5315" s="8">
        <v>1</v>
      </c>
      <c r="D5315" s="5" t="s">
        <v>97</v>
      </c>
      <c r="E5315" s="5"/>
      <c r="G5315" s="5"/>
      <c r="H5315" s="5"/>
    </row>
    <row r="5316" spans="1:9" x14ac:dyDescent="0.2">
      <c r="A5316" s="5" t="s">
        <v>5814</v>
      </c>
      <c r="B5316" s="5" t="s">
        <v>5815</v>
      </c>
      <c r="C5316" s="8">
        <v>1</v>
      </c>
      <c r="D5316" s="5" t="s">
        <v>97</v>
      </c>
      <c r="E5316" s="5"/>
      <c r="G5316" s="5"/>
      <c r="H5316" s="5"/>
    </row>
    <row r="5317" spans="1:9" x14ac:dyDescent="0.2">
      <c r="A5317" s="5" t="s">
        <v>5816</v>
      </c>
      <c r="B5317" s="5" t="s">
        <v>305</v>
      </c>
      <c r="C5317" s="8">
        <v>1</v>
      </c>
      <c r="D5317" s="5" t="s">
        <v>97</v>
      </c>
      <c r="E5317" s="5"/>
      <c r="G5317" s="5"/>
      <c r="H5317" s="5"/>
    </row>
    <row r="5318" spans="1:9" x14ac:dyDescent="0.2">
      <c r="A5318" s="5" t="s">
        <v>5817</v>
      </c>
      <c r="B5318" s="5" t="s">
        <v>2750</v>
      </c>
      <c r="C5318" s="8">
        <v>1</v>
      </c>
      <c r="D5318" s="5" t="s">
        <v>97</v>
      </c>
      <c r="E5318" s="5"/>
      <c r="G5318" s="5"/>
      <c r="H5318" s="5"/>
    </row>
    <row r="5319" spans="1:9" x14ac:dyDescent="0.2">
      <c r="A5319" s="5" t="s">
        <v>5818</v>
      </c>
      <c r="B5319" s="5" t="s">
        <v>5819</v>
      </c>
      <c r="C5319" s="8">
        <v>1</v>
      </c>
      <c r="D5319" s="5" t="s">
        <v>97</v>
      </c>
      <c r="E5319" s="5"/>
      <c r="G5319" s="5"/>
      <c r="H5319" s="5"/>
    </row>
    <row r="5320" spans="1:9" x14ac:dyDescent="0.2">
      <c r="A5320" s="5" t="s">
        <v>5820</v>
      </c>
      <c r="B5320" s="5" t="s">
        <v>2756</v>
      </c>
      <c r="C5320" s="8">
        <v>1</v>
      </c>
      <c r="D5320" s="5" t="s">
        <v>97</v>
      </c>
      <c r="E5320" s="5"/>
      <c r="G5320" s="5"/>
      <c r="H5320" s="5"/>
    </row>
    <row r="5321" spans="1:9" x14ac:dyDescent="0.2">
      <c r="A5321" s="5" t="s">
        <v>5821</v>
      </c>
      <c r="B5321" s="5" t="s">
        <v>2761</v>
      </c>
      <c r="C5321" s="8">
        <v>1</v>
      </c>
      <c r="D5321" s="5" t="s">
        <v>97</v>
      </c>
      <c r="E5321" s="5"/>
      <c r="G5321" s="5"/>
      <c r="H5321" s="5"/>
    </row>
    <row r="5322" spans="1:9" x14ac:dyDescent="0.2">
      <c r="A5322" s="5"/>
      <c r="B5322" s="5" t="s">
        <v>5800</v>
      </c>
      <c r="C5322" s="5"/>
      <c r="D5322" s="5" t="s">
        <v>13</v>
      </c>
      <c r="E5322" s="5"/>
      <c r="G5322" s="5"/>
      <c r="H5322" s="5"/>
    </row>
    <row r="5323" spans="1:9" x14ac:dyDescent="0.2">
      <c r="A5323" s="5" t="s">
        <v>5822</v>
      </c>
      <c r="B5323" s="5" t="s">
        <v>5823</v>
      </c>
      <c r="C5323" s="8">
        <v>1</v>
      </c>
      <c r="D5323" s="5" t="s">
        <v>97</v>
      </c>
      <c r="E5323" s="5"/>
      <c r="G5323" s="5"/>
      <c r="H5323" s="5"/>
    </row>
    <row r="5324" spans="1:9" x14ac:dyDescent="0.2">
      <c r="B5324" s="6" t="s">
        <v>5824</v>
      </c>
      <c r="C5324" s="6"/>
      <c r="D5324" s="6"/>
      <c r="E5324" s="6"/>
      <c r="F5324" s="9">
        <f>ROUNDUP(SUM(H5302:H5324),0)</f>
        <v>0</v>
      </c>
      <c r="G5324" s="6"/>
      <c r="I5324" s="9">
        <f>PRODUCT(F5324,G5324)</f>
        <v>0</v>
      </c>
    </row>
    <row r="5326" spans="1:9" x14ac:dyDescent="0.2">
      <c r="A5326" s="6" t="s">
        <v>5825</v>
      </c>
      <c r="B5326" s="6" t="s">
        <v>5826</v>
      </c>
    </row>
    <row r="5327" spans="1:9" x14ac:dyDescent="0.2">
      <c r="A5327" s="5"/>
      <c r="B5327" s="5" t="s">
        <v>64</v>
      </c>
      <c r="C5327" s="5"/>
      <c r="D5327" s="5" t="s">
        <v>13</v>
      </c>
      <c r="E5327" s="5"/>
      <c r="G5327" s="5"/>
      <c r="H5327" s="5"/>
    </row>
    <row r="5328" spans="1:9" x14ac:dyDescent="0.2">
      <c r="A5328" s="5" t="s">
        <v>5827</v>
      </c>
      <c r="B5328" s="5" t="s">
        <v>66</v>
      </c>
      <c r="C5328" s="5"/>
      <c r="D5328" s="5" t="s">
        <v>18</v>
      </c>
      <c r="E5328" s="5"/>
      <c r="G5328" s="5"/>
      <c r="H5328" s="5"/>
    </row>
    <row r="5329" spans="1:8" x14ac:dyDescent="0.2">
      <c r="A5329" s="5" t="s">
        <v>5828</v>
      </c>
      <c r="B5329" s="5" t="s">
        <v>68</v>
      </c>
      <c r="C5329" s="5"/>
      <c r="D5329" s="5" t="s">
        <v>18</v>
      </c>
      <c r="E5329" s="5"/>
      <c r="G5329" s="5"/>
      <c r="H5329" s="5"/>
    </row>
    <row r="5330" spans="1:8" x14ac:dyDescent="0.2">
      <c r="A5330" s="5"/>
      <c r="B5330" s="5" t="s">
        <v>76</v>
      </c>
      <c r="C5330" s="5"/>
      <c r="D5330" s="5" t="s">
        <v>13</v>
      </c>
      <c r="E5330" s="5"/>
      <c r="G5330" s="5"/>
      <c r="H5330" s="5"/>
    </row>
    <row r="5331" spans="1:8" x14ac:dyDescent="0.2">
      <c r="A5331" s="5"/>
      <c r="B5331" s="5" t="s">
        <v>77</v>
      </c>
      <c r="C5331" s="5"/>
      <c r="D5331" s="5" t="s">
        <v>15</v>
      </c>
      <c r="E5331" s="5"/>
      <c r="G5331" s="5"/>
      <c r="H5331" s="5"/>
    </row>
    <row r="5332" spans="1:8" x14ac:dyDescent="0.2">
      <c r="A5332" s="5" t="s">
        <v>5829</v>
      </c>
      <c r="B5332" s="5" t="s">
        <v>5804</v>
      </c>
      <c r="C5332" s="5"/>
      <c r="D5332" s="5" t="s">
        <v>18</v>
      </c>
      <c r="E5332" s="5"/>
      <c r="G5332" s="5"/>
      <c r="H5332" s="5"/>
    </row>
    <row r="5333" spans="1:8" x14ac:dyDescent="0.2">
      <c r="A5333" s="5" t="s">
        <v>5830</v>
      </c>
      <c r="B5333" s="5" t="s">
        <v>5831</v>
      </c>
      <c r="C5333" s="5"/>
      <c r="D5333" s="5" t="s">
        <v>18</v>
      </c>
      <c r="E5333" s="5"/>
      <c r="G5333" s="5"/>
      <c r="H5333" s="5"/>
    </row>
    <row r="5334" spans="1:8" x14ac:dyDescent="0.2">
      <c r="A5334" s="5" t="s">
        <v>5832</v>
      </c>
      <c r="B5334" s="5" t="s">
        <v>5750</v>
      </c>
      <c r="C5334" s="5"/>
      <c r="D5334" s="5" t="s">
        <v>18</v>
      </c>
      <c r="E5334" s="5"/>
      <c r="G5334" s="5"/>
      <c r="H5334" s="5"/>
    </row>
    <row r="5335" spans="1:8" x14ac:dyDescent="0.2">
      <c r="A5335" s="5" t="s">
        <v>5833</v>
      </c>
      <c r="B5335" s="5" t="s">
        <v>5752</v>
      </c>
      <c r="C5335" s="5"/>
      <c r="D5335" s="5" t="s">
        <v>18</v>
      </c>
      <c r="E5335" s="5"/>
      <c r="G5335" s="5"/>
      <c r="H5335" s="5"/>
    </row>
    <row r="5336" spans="1:8" x14ac:dyDescent="0.2">
      <c r="A5336" s="5" t="s">
        <v>5834</v>
      </c>
      <c r="B5336" s="5" t="s">
        <v>5754</v>
      </c>
      <c r="C5336" s="5"/>
      <c r="D5336" s="5" t="s">
        <v>18</v>
      </c>
      <c r="E5336" s="5"/>
      <c r="G5336" s="5"/>
      <c r="H5336" s="5"/>
    </row>
    <row r="5337" spans="1:8" x14ac:dyDescent="0.2">
      <c r="A5337" s="5" t="s">
        <v>5835</v>
      </c>
      <c r="B5337" s="5" t="s">
        <v>5756</v>
      </c>
      <c r="C5337" s="5"/>
      <c r="D5337" s="5" t="s">
        <v>18</v>
      </c>
      <c r="E5337" s="5"/>
      <c r="G5337" s="5"/>
      <c r="H5337" s="5"/>
    </row>
    <row r="5338" spans="1:8" x14ac:dyDescent="0.2">
      <c r="A5338" s="5" t="s">
        <v>5836</v>
      </c>
      <c r="B5338" s="5" t="s">
        <v>299</v>
      </c>
      <c r="C5338" s="5"/>
      <c r="D5338" s="5" t="s">
        <v>18</v>
      </c>
      <c r="E5338" s="5"/>
      <c r="G5338" s="5"/>
      <c r="H5338" s="5"/>
    </row>
    <row r="5339" spans="1:8" x14ac:dyDescent="0.2">
      <c r="A5339" s="5"/>
      <c r="B5339" s="5" t="s">
        <v>94</v>
      </c>
      <c r="C5339" s="5"/>
      <c r="D5339" s="5" t="s">
        <v>13</v>
      </c>
      <c r="E5339" s="5"/>
      <c r="G5339" s="5"/>
      <c r="H5339" s="5"/>
    </row>
    <row r="5340" spans="1:8" x14ac:dyDescent="0.2">
      <c r="A5340" s="5" t="s">
        <v>5837</v>
      </c>
      <c r="B5340" s="5" t="s">
        <v>2750</v>
      </c>
      <c r="C5340" s="8">
        <v>1</v>
      </c>
      <c r="D5340" s="5" t="s">
        <v>97</v>
      </c>
      <c r="E5340" s="5"/>
      <c r="G5340" s="5"/>
      <c r="H5340" s="5"/>
    </row>
    <row r="5341" spans="1:8" x14ac:dyDescent="0.2">
      <c r="A5341" s="5" t="s">
        <v>5838</v>
      </c>
      <c r="B5341" s="5" t="s">
        <v>2756</v>
      </c>
      <c r="C5341" s="8">
        <v>1</v>
      </c>
      <c r="D5341" s="5" t="s">
        <v>97</v>
      </c>
      <c r="E5341" s="5"/>
      <c r="G5341" s="5"/>
      <c r="H5341" s="5"/>
    </row>
    <row r="5342" spans="1:8" x14ac:dyDescent="0.2">
      <c r="A5342" s="5" t="s">
        <v>5839</v>
      </c>
      <c r="B5342" s="5" t="s">
        <v>5771</v>
      </c>
      <c r="C5342" s="8">
        <v>1</v>
      </c>
      <c r="D5342" s="5" t="s">
        <v>97</v>
      </c>
      <c r="E5342" s="5"/>
      <c r="G5342" s="5"/>
      <c r="H5342" s="5"/>
    </row>
    <row r="5343" spans="1:8" x14ac:dyDescent="0.2">
      <c r="A5343" s="5" t="s">
        <v>5840</v>
      </c>
      <c r="B5343" s="5" t="s">
        <v>5794</v>
      </c>
      <c r="C5343" s="8">
        <v>1</v>
      </c>
      <c r="D5343" s="5" t="s">
        <v>97</v>
      </c>
      <c r="E5343" s="5"/>
      <c r="G5343" s="5"/>
      <c r="H5343" s="5"/>
    </row>
    <row r="5344" spans="1:8" x14ac:dyDescent="0.2">
      <c r="A5344" s="5" t="s">
        <v>5841</v>
      </c>
      <c r="B5344" s="5" t="s">
        <v>2761</v>
      </c>
      <c r="C5344" s="8">
        <v>1</v>
      </c>
      <c r="D5344" s="5" t="s">
        <v>97</v>
      </c>
      <c r="E5344" s="5"/>
      <c r="G5344" s="5"/>
      <c r="H5344" s="5"/>
    </row>
    <row r="5345" spans="1:9" x14ac:dyDescent="0.2">
      <c r="A5345" s="5" t="s">
        <v>5842</v>
      </c>
      <c r="B5345" s="5" t="s">
        <v>5843</v>
      </c>
      <c r="C5345" s="8">
        <v>1</v>
      </c>
      <c r="D5345" s="5" t="s">
        <v>97</v>
      </c>
      <c r="E5345" s="5"/>
      <c r="G5345" s="5"/>
      <c r="H5345" s="5"/>
    </row>
    <row r="5346" spans="1:9" x14ac:dyDescent="0.2">
      <c r="A5346" s="5"/>
      <c r="B5346" s="5" t="s">
        <v>5826</v>
      </c>
      <c r="C5346" s="5"/>
      <c r="D5346" s="5" t="s">
        <v>13</v>
      </c>
      <c r="E5346" s="5"/>
      <c r="G5346" s="5"/>
      <c r="H5346" s="5"/>
    </row>
    <row r="5347" spans="1:9" x14ac:dyDescent="0.2">
      <c r="A5347" s="5" t="s">
        <v>5844</v>
      </c>
      <c r="B5347" s="5" t="s">
        <v>5845</v>
      </c>
      <c r="C5347" s="8">
        <v>1</v>
      </c>
      <c r="D5347" s="5" t="s">
        <v>97</v>
      </c>
      <c r="E5347" s="5"/>
      <c r="G5347" s="5"/>
      <c r="H5347" s="5"/>
    </row>
    <row r="5348" spans="1:9" x14ac:dyDescent="0.2">
      <c r="A5348" s="5" t="s">
        <v>5846</v>
      </c>
      <c r="B5348" s="5" t="s">
        <v>5847</v>
      </c>
      <c r="C5348" s="8">
        <v>1</v>
      </c>
      <c r="D5348" s="5" t="s">
        <v>97</v>
      </c>
      <c r="E5348" s="5"/>
      <c r="G5348" s="5"/>
      <c r="H5348" s="5"/>
    </row>
    <row r="5349" spans="1:9" x14ac:dyDescent="0.2">
      <c r="B5349" s="6" t="s">
        <v>5848</v>
      </c>
      <c r="C5349" s="6"/>
      <c r="D5349" s="6"/>
      <c r="E5349" s="6"/>
      <c r="F5349" s="9">
        <f>ROUNDUP(SUM(H5327:H5349),0)</f>
        <v>0</v>
      </c>
      <c r="G5349" s="6"/>
      <c r="I5349" s="9">
        <f>PRODUCT(F5349,G5349)</f>
        <v>0</v>
      </c>
    </row>
    <row r="5351" spans="1:9" x14ac:dyDescent="0.2">
      <c r="A5351" s="6" t="s">
        <v>5849</v>
      </c>
      <c r="B5351" s="6" t="s">
        <v>5850</v>
      </c>
    </row>
    <row r="5352" spans="1:9" x14ac:dyDescent="0.2">
      <c r="A5352" s="5"/>
      <c r="B5352" s="5" t="s">
        <v>64</v>
      </c>
      <c r="C5352" s="5"/>
      <c r="D5352" s="5" t="s">
        <v>13</v>
      </c>
      <c r="E5352" s="5"/>
      <c r="G5352" s="5"/>
      <c r="H5352" s="5"/>
    </row>
    <row r="5353" spans="1:9" x14ac:dyDescent="0.2">
      <c r="A5353" s="5" t="s">
        <v>5851</v>
      </c>
      <c r="B5353" s="5" t="s">
        <v>66</v>
      </c>
      <c r="C5353" s="5"/>
      <c r="D5353" s="5" t="s">
        <v>18</v>
      </c>
      <c r="E5353" s="5"/>
      <c r="G5353" s="5"/>
      <c r="H5353" s="5"/>
    </row>
    <row r="5354" spans="1:9" x14ac:dyDescent="0.2">
      <c r="A5354" s="5" t="s">
        <v>5852</v>
      </c>
      <c r="B5354" s="5" t="s">
        <v>68</v>
      </c>
      <c r="C5354" s="5"/>
      <c r="D5354" s="5" t="s">
        <v>18</v>
      </c>
      <c r="E5354" s="5"/>
      <c r="G5354" s="5"/>
      <c r="H5354" s="5"/>
    </row>
    <row r="5355" spans="1:9" x14ac:dyDescent="0.2">
      <c r="A5355" s="5"/>
      <c r="B5355" s="5" t="s">
        <v>71</v>
      </c>
      <c r="C5355" s="5"/>
      <c r="D5355" s="5" t="s">
        <v>13</v>
      </c>
      <c r="E5355" s="5"/>
      <c r="G5355" s="5"/>
      <c r="H5355" s="5"/>
    </row>
    <row r="5356" spans="1:9" x14ac:dyDescent="0.2">
      <c r="A5356" s="5" t="s">
        <v>5853</v>
      </c>
      <c r="B5356" s="5" t="s">
        <v>5854</v>
      </c>
      <c r="C5356" s="5"/>
      <c r="D5356" s="5" t="s">
        <v>18</v>
      </c>
      <c r="E5356" s="5"/>
      <c r="G5356" s="5"/>
      <c r="H5356" s="5"/>
    </row>
    <row r="5357" spans="1:9" x14ac:dyDescent="0.2">
      <c r="A5357" s="5" t="s">
        <v>5855</v>
      </c>
      <c r="B5357" s="5" t="s">
        <v>5856</v>
      </c>
      <c r="C5357" s="5"/>
      <c r="D5357" s="5" t="s">
        <v>18</v>
      </c>
      <c r="E5357" s="5"/>
      <c r="G5357" s="5"/>
      <c r="H5357" s="5"/>
    </row>
    <row r="5358" spans="1:9" x14ac:dyDescent="0.2">
      <c r="A5358" s="5" t="s">
        <v>5857</v>
      </c>
      <c r="B5358" s="5" t="s">
        <v>5858</v>
      </c>
      <c r="C5358" s="5"/>
      <c r="D5358" s="5" t="s">
        <v>18</v>
      </c>
      <c r="E5358" s="5"/>
      <c r="G5358" s="5"/>
      <c r="H5358" s="5"/>
    </row>
    <row r="5359" spans="1:9" x14ac:dyDescent="0.2">
      <c r="A5359" s="5"/>
      <c r="B5359" s="5" t="s">
        <v>76</v>
      </c>
      <c r="C5359" s="5"/>
      <c r="D5359" s="5" t="s">
        <v>13</v>
      </c>
      <c r="E5359" s="5"/>
      <c r="G5359" s="5"/>
      <c r="H5359" s="5"/>
    </row>
    <row r="5360" spans="1:9" x14ac:dyDescent="0.2">
      <c r="A5360" s="5"/>
      <c r="B5360" s="5" t="s">
        <v>77</v>
      </c>
      <c r="C5360" s="5"/>
      <c r="D5360" s="5" t="s">
        <v>15</v>
      </c>
      <c r="E5360" s="5"/>
      <c r="G5360" s="5"/>
      <c r="H5360" s="5"/>
    </row>
    <row r="5361" spans="1:8" x14ac:dyDescent="0.2">
      <c r="A5361" s="5" t="s">
        <v>5859</v>
      </c>
      <c r="B5361" s="5" t="s">
        <v>2284</v>
      </c>
      <c r="C5361" s="5"/>
      <c r="D5361" s="5" t="s">
        <v>18</v>
      </c>
      <c r="E5361" s="5"/>
      <c r="G5361" s="5"/>
      <c r="H5361" s="5"/>
    </row>
    <row r="5362" spans="1:8" x14ac:dyDescent="0.2">
      <c r="A5362" s="5" t="s">
        <v>5860</v>
      </c>
      <c r="B5362" s="5" t="s">
        <v>2286</v>
      </c>
      <c r="C5362" s="5"/>
      <c r="D5362" s="5" t="s">
        <v>18</v>
      </c>
      <c r="E5362" s="5"/>
      <c r="G5362" s="5"/>
      <c r="H5362" s="5"/>
    </row>
    <row r="5363" spans="1:8" x14ac:dyDescent="0.2">
      <c r="A5363" s="5" t="s">
        <v>5861</v>
      </c>
      <c r="B5363" s="5" t="s">
        <v>4510</v>
      </c>
      <c r="C5363" s="5"/>
      <c r="D5363" s="5" t="s">
        <v>18</v>
      </c>
      <c r="E5363" s="5"/>
      <c r="G5363" s="5"/>
      <c r="H5363" s="5"/>
    </row>
    <row r="5364" spans="1:8" x14ac:dyDescent="0.2">
      <c r="A5364" s="5" t="s">
        <v>5862</v>
      </c>
      <c r="B5364" s="5" t="s">
        <v>2745</v>
      </c>
      <c r="C5364" s="5"/>
      <c r="D5364" s="5" t="s">
        <v>18</v>
      </c>
      <c r="E5364" s="5"/>
      <c r="G5364" s="5"/>
      <c r="H5364" s="5"/>
    </row>
    <row r="5365" spans="1:8" x14ac:dyDescent="0.2">
      <c r="A5365" s="5" t="s">
        <v>5863</v>
      </c>
      <c r="B5365" s="5" t="s">
        <v>2294</v>
      </c>
      <c r="C5365" s="5"/>
      <c r="D5365" s="5" t="s">
        <v>18</v>
      </c>
      <c r="E5365" s="5"/>
      <c r="G5365" s="5"/>
      <c r="H5365" s="5"/>
    </row>
    <row r="5366" spans="1:8" x14ac:dyDescent="0.2">
      <c r="A5366" s="5" t="s">
        <v>5864</v>
      </c>
      <c r="B5366" s="5" t="s">
        <v>299</v>
      </c>
      <c r="C5366" s="5"/>
      <c r="D5366" s="5" t="s">
        <v>18</v>
      </c>
      <c r="E5366" s="5"/>
      <c r="G5366" s="5"/>
      <c r="H5366" s="5"/>
    </row>
    <row r="5367" spans="1:8" x14ac:dyDescent="0.2">
      <c r="A5367" s="5" t="s">
        <v>5865</v>
      </c>
      <c r="B5367" s="5" t="s">
        <v>3308</v>
      </c>
      <c r="C5367" s="5"/>
      <c r="D5367" s="5" t="s">
        <v>18</v>
      </c>
      <c r="E5367" s="5"/>
      <c r="G5367" s="5"/>
      <c r="H5367" s="5"/>
    </row>
    <row r="5368" spans="1:8" x14ac:dyDescent="0.2">
      <c r="A5368" s="5"/>
      <c r="B5368" s="5" t="s">
        <v>94</v>
      </c>
      <c r="C5368" s="5"/>
      <c r="D5368" s="5" t="s">
        <v>13</v>
      </c>
      <c r="E5368" s="5"/>
      <c r="G5368" s="5"/>
      <c r="H5368" s="5"/>
    </row>
    <row r="5369" spans="1:8" x14ac:dyDescent="0.2">
      <c r="A5369" s="5" t="s">
        <v>5866</v>
      </c>
      <c r="B5369" s="5" t="s">
        <v>2299</v>
      </c>
      <c r="C5369" s="8">
        <v>1</v>
      </c>
      <c r="D5369" s="5" t="s">
        <v>97</v>
      </c>
      <c r="E5369" s="5"/>
      <c r="G5369" s="5"/>
      <c r="H5369" s="5"/>
    </row>
    <row r="5370" spans="1:8" x14ac:dyDescent="0.2">
      <c r="A5370" s="5" t="s">
        <v>5867</v>
      </c>
      <c r="B5370" s="5" t="s">
        <v>2750</v>
      </c>
      <c r="C5370" s="8">
        <v>1</v>
      </c>
      <c r="D5370" s="5" t="s">
        <v>97</v>
      </c>
      <c r="E5370" s="5"/>
      <c r="G5370" s="5"/>
      <c r="H5370" s="5"/>
    </row>
    <row r="5371" spans="1:8" x14ac:dyDescent="0.2">
      <c r="A5371" s="5" t="s">
        <v>5868</v>
      </c>
      <c r="B5371" s="5" t="s">
        <v>4518</v>
      </c>
      <c r="C5371" s="8">
        <v>1</v>
      </c>
      <c r="D5371" s="5" t="s">
        <v>97</v>
      </c>
      <c r="E5371" s="5"/>
      <c r="G5371" s="5"/>
      <c r="H5371" s="5"/>
    </row>
    <row r="5372" spans="1:8" x14ac:dyDescent="0.2">
      <c r="A5372" s="5" t="s">
        <v>5869</v>
      </c>
      <c r="B5372" s="5" t="s">
        <v>2758</v>
      </c>
      <c r="C5372" s="8">
        <v>1</v>
      </c>
      <c r="D5372" s="5" t="s">
        <v>97</v>
      </c>
      <c r="E5372" s="5"/>
      <c r="G5372" s="5"/>
      <c r="H5372" s="5"/>
    </row>
    <row r="5373" spans="1:8" x14ac:dyDescent="0.2">
      <c r="A5373" s="5" t="s">
        <v>5870</v>
      </c>
      <c r="B5373" s="5" t="s">
        <v>111</v>
      </c>
      <c r="C5373" s="8">
        <v>1</v>
      </c>
      <c r="D5373" s="5" t="s">
        <v>97</v>
      </c>
      <c r="E5373" s="5"/>
      <c r="G5373" s="5"/>
      <c r="H5373" s="5"/>
    </row>
    <row r="5374" spans="1:8" x14ac:dyDescent="0.2">
      <c r="A5374" s="5" t="s">
        <v>5871</v>
      </c>
      <c r="B5374" s="5" t="s">
        <v>2761</v>
      </c>
      <c r="C5374" s="8">
        <v>1</v>
      </c>
      <c r="D5374" s="5" t="s">
        <v>97</v>
      </c>
      <c r="E5374" s="5"/>
      <c r="G5374" s="5"/>
      <c r="H5374" s="5"/>
    </row>
    <row r="5375" spans="1:8" x14ac:dyDescent="0.2">
      <c r="A5375" s="5"/>
      <c r="B5375" s="5" t="s">
        <v>135</v>
      </c>
      <c r="C5375" s="5"/>
      <c r="D5375" s="5" t="s">
        <v>13</v>
      </c>
      <c r="E5375" s="5"/>
      <c r="G5375" s="5"/>
      <c r="H5375" s="5"/>
    </row>
    <row r="5376" spans="1:8" x14ac:dyDescent="0.2">
      <c r="A5376" s="5" t="s">
        <v>5872</v>
      </c>
      <c r="B5376" s="5" t="s">
        <v>5873</v>
      </c>
      <c r="C5376" s="5"/>
      <c r="D5376" s="5" t="s">
        <v>18</v>
      </c>
      <c r="E5376" s="5"/>
      <c r="G5376" s="5"/>
      <c r="H5376" s="5"/>
    </row>
    <row r="5377" spans="1:8" x14ac:dyDescent="0.2">
      <c r="A5377" s="5"/>
      <c r="B5377" s="5" t="s">
        <v>38</v>
      </c>
      <c r="C5377" s="5"/>
      <c r="D5377" s="5" t="s">
        <v>13</v>
      </c>
      <c r="E5377" s="5"/>
      <c r="G5377" s="5"/>
      <c r="H5377" s="5"/>
    </row>
    <row r="5378" spans="1:8" x14ac:dyDescent="0.2">
      <c r="A5378" s="5"/>
      <c r="B5378" s="5" t="s">
        <v>5874</v>
      </c>
      <c r="C5378" s="5"/>
      <c r="D5378" s="5" t="s">
        <v>15</v>
      </c>
      <c r="E5378" s="5"/>
      <c r="G5378" s="5"/>
      <c r="H5378" s="5"/>
    </row>
    <row r="5379" spans="1:8" x14ac:dyDescent="0.2">
      <c r="A5379" s="5" t="s">
        <v>5875</v>
      </c>
      <c r="B5379" s="5" t="s">
        <v>5876</v>
      </c>
      <c r="C5379" s="8">
        <v>1</v>
      </c>
      <c r="D5379" s="5" t="s">
        <v>162</v>
      </c>
      <c r="E5379" s="5"/>
      <c r="G5379" s="5"/>
      <c r="H5379" s="5"/>
    </row>
    <row r="5380" spans="1:8" x14ac:dyDescent="0.2">
      <c r="A5380" s="5"/>
      <c r="B5380" s="5" t="s">
        <v>5877</v>
      </c>
      <c r="C5380" s="5"/>
      <c r="D5380" s="5" t="s">
        <v>322</v>
      </c>
      <c r="E5380" s="5"/>
      <c r="G5380" s="5"/>
      <c r="H5380" s="5"/>
    </row>
    <row r="5381" spans="1:8" x14ac:dyDescent="0.2">
      <c r="A5381" s="5" t="s">
        <v>5878</v>
      </c>
      <c r="B5381" s="5" t="s">
        <v>5879</v>
      </c>
      <c r="C5381" s="8">
        <v>1</v>
      </c>
      <c r="D5381" s="5" t="s">
        <v>162</v>
      </c>
      <c r="E5381" s="5"/>
      <c r="G5381" s="5"/>
      <c r="H5381" s="5"/>
    </row>
    <row r="5382" spans="1:8" x14ac:dyDescent="0.2">
      <c r="A5382" s="5" t="s">
        <v>5880</v>
      </c>
      <c r="B5382" s="5" t="s">
        <v>5881</v>
      </c>
      <c r="C5382" s="8">
        <v>1</v>
      </c>
      <c r="D5382" s="5" t="s">
        <v>162</v>
      </c>
      <c r="E5382" s="5"/>
      <c r="G5382" s="5"/>
      <c r="H5382" s="5"/>
    </row>
    <row r="5383" spans="1:8" x14ac:dyDescent="0.2">
      <c r="A5383" s="5" t="s">
        <v>5882</v>
      </c>
      <c r="B5383" s="5" t="s">
        <v>5883</v>
      </c>
      <c r="C5383" s="8">
        <v>1</v>
      </c>
      <c r="D5383" s="5" t="s">
        <v>162</v>
      </c>
      <c r="E5383" s="5"/>
      <c r="G5383" s="5"/>
      <c r="H5383" s="5"/>
    </row>
    <row r="5384" spans="1:8" x14ac:dyDescent="0.2">
      <c r="A5384" s="5" t="s">
        <v>5884</v>
      </c>
      <c r="B5384" s="5" t="s">
        <v>5885</v>
      </c>
      <c r="C5384" s="8">
        <v>1</v>
      </c>
      <c r="D5384" s="5" t="s">
        <v>162</v>
      </c>
      <c r="E5384" s="5"/>
      <c r="G5384" s="5"/>
      <c r="H5384" s="5"/>
    </row>
    <row r="5385" spans="1:8" x14ac:dyDescent="0.2">
      <c r="A5385" s="5" t="s">
        <v>5886</v>
      </c>
      <c r="B5385" s="5" t="s">
        <v>5887</v>
      </c>
      <c r="C5385" s="8">
        <v>1</v>
      </c>
      <c r="D5385" s="5" t="s">
        <v>162</v>
      </c>
      <c r="E5385" s="5"/>
      <c r="G5385" s="5"/>
      <c r="H5385" s="5"/>
    </row>
    <row r="5386" spans="1:8" x14ac:dyDescent="0.2">
      <c r="A5386" s="5" t="s">
        <v>5888</v>
      </c>
      <c r="B5386" s="5" t="s">
        <v>5889</v>
      </c>
      <c r="C5386" s="8">
        <v>1</v>
      </c>
      <c r="D5386" s="5" t="s">
        <v>162</v>
      </c>
      <c r="E5386" s="5"/>
      <c r="G5386" s="5"/>
      <c r="H5386" s="5"/>
    </row>
    <row r="5387" spans="1:8" x14ac:dyDescent="0.2">
      <c r="A5387" s="5" t="s">
        <v>5890</v>
      </c>
      <c r="B5387" s="5" t="s">
        <v>5891</v>
      </c>
      <c r="C5387" s="8">
        <v>1</v>
      </c>
      <c r="D5387" s="5" t="s">
        <v>162</v>
      </c>
      <c r="E5387" s="5"/>
      <c r="G5387" s="5"/>
      <c r="H5387" s="5"/>
    </row>
    <row r="5388" spans="1:8" x14ac:dyDescent="0.2">
      <c r="A5388" s="5" t="s">
        <v>5892</v>
      </c>
      <c r="B5388" s="5" t="s">
        <v>5887</v>
      </c>
      <c r="C5388" s="8">
        <v>4</v>
      </c>
      <c r="D5388" s="5" t="s">
        <v>42</v>
      </c>
      <c r="E5388" s="5"/>
      <c r="G5388" s="5"/>
      <c r="H5388" s="5"/>
    </row>
    <row r="5389" spans="1:8" x14ac:dyDescent="0.2">
      <c r="A5389" s="5" t="s">
        <v>5893</v>
      </c>
      <c r="B5389" s="5" t="s">
        <v>5894</v>
      </c>
      <c r="C5389" s="8">
        <v>4</v>
      </c>
      <c r="D5389" s="5" t="s">
        <v>42</v>
      </c>
      <c r="E5389" s="5"/>
      <c r="G5389" s="5"/>
      <c r="H5389" s="5"/>
    </row>
    <row r="5390" spans="1:8" x14ac:dyDescent="0.2">
      <c r="A5390" s="5" t="s">
        <v>5895</v>
      </c>
      <c r="B5390" s="5" t="s">
        <v>5896</v>
      </c>
      <c r="C5390" s="8">
        <v>18</v>
      </c>
      <c r="D5390" s="5" t="s">
        <v>42</v>
      </c>
      <c r="E5390" s="5"/>
      <c r="G5390" s="5"/>
      <c r="H5390" s="5"/>
    </row>
    <row r="5391" spans="1:8" x14ac:dyDescent="0.2">
      <c r="A5391" s="5" t="s">
        <v>5897</v>
      </c>
      <c r="B5391" s="5" t="s">
        <v>5898</v>
      </c>
      <c r="C5391" s="8">
        <v>6</v>
      </c>
      <c r="D5391" s="5" t="s">
        <v>42</v>
      </c>
      <c r="E5391" s="5"/>
      <c r="G5391" s="5"/>
      <c r="H5391" s="5"/>
    </row>
    <row r="5392" spans="1:8" x14ac:dyDescent="0.2">
      <c r="A5392" s="5" t="s">
        <v>5899</v>
      </c>
      <c r="B5392" s="5" t="s">
        <v>5900</v>
      </c>
      <c r="C5392" s="8">
        <v>3</v>
      </c>
      <c r="D5392" s="5" t="s">
        <v>42</v>
      </c>
      <c r="E5392" s="5"/>
      <c r="G5392" s="5"/>
      <c r="H5392" s="5"/>
    </row>
    <row r="5393" spans="1:8" x14ac:dyDescent="0.2">
      <c r="A5393" s="5"/>
      <c r="B5393" s="5" t="s">
        <v>53</v>
      </c>
      <c r="C5393" s="5"/>
      <c r="D5393" s="5" t="s">
        <v>13</v>
      </c>
      <c r="E5393" s="5"/>
      <c r="G5393" s="5"/>
      <c r="H5393" s="5"/>
    </row>
    <row r="5394" spans="1:8" x14ac:dyDescent="0.2">
      <c r="A5394" s="5"/>
      <c r="B5394" s="5" t="s">
        <v>5874</v>
      </c>
      <c r="C5394" s="5"/>
      <c r="D5394" s="5" t="s">
        <v>15</v>
      </c>
      <c r="E5394" s="5"/>
      <c r="G5394" s="5"/>
      <c r="H5394" s="5"/>
    </row>
    <row r="5395" spans="1:8" x14ac:dyDescent="0.2">
      <c r="A5395" s="5" t="s">
        <v>5901</v>
      </c>
      <c r="B5395" s="5" t="s">
        <v>5902</v>
      </c>
      <c r="C5395" s="8">
        <v>1</v>
      </c>
      <c r="D5395" s="5" t="s">
        <v>162</v>
      </c>
      <c r="E5395" s="5"/>
      <c r="G5395" s="5"/>
      <c r="H5395" s="5"/>
    </row>
    <row r="5396" spans="1:8" x14ac:dyDescent="0.2">
      <c r="A5396" s="5"/>
      <c r="B5396" s="5" t="s">
        <v>5903</v>
      </c>
      <c r="C5396" s="5"/>
      <c r="D5396" s="5" t="s">
        <v>322</v>
      </c>
      <c r="E5396" s="5"/>
      <c r="G5396" s="5"/>
      <c r="H5396" s="5"/>
    </row>
    <row r="5397" spans="1:8" x14ac:dyDescent="0.2">
      <c r="A5397" s="5" t="s">
        <v>5904</v>
      </c>
      <c r="B5397" s="5" t="s">
        <v>5879</v>
      </c>
      <c r="C5397" s="8">
        <v>1</v>
      </c>
      <c r="D5397" s="5" t="s">
        <v>162</v>
      </c>
      <c r="E5397" s="5"/>
      <c r="G5397" s="5"/>
      <c r="H5397" s="5"/>
    </row>
    <row r="5398" spans="1:8" x14ac:dyDescent="0.2">
      <c r="A5398" s="5" t="s">
        <v>5905</v>
      </c>
      <c r="B5398" s="5" t="s">
        <v>5881</v>
      </c>
      <c r="C5398" s="8">
        <v>1</v>
      </c>
      <c r="D5398" s="5" t="s">
        <v>162</v>
      </c>
      <c r="E5398" s="5"/>
      <c r="G5398" s="5"/>
      <c r="H5398" s="5"/>
    </row>
    <row r="5399" spans="1:8" x14ac:dyDescent="0.2">
      <c r="A5399" s="5" t="s">
        <v>5906</v>
      </c>
      <c r="B5399" s="5" t="s">
        <v>5883</v>
      </c>
      <c r="C5399" s="8">
        <v>1</v>
      </c>
      <c r="D5399" s="5" t="s">
        <v>162</v>
      </c>
      <c r="E5399" s="5"/>
      <c r="G5399" s="5"/>
      <c r="H5399" s="5"/>
    </row>
    <row r="5400" spans="1:8" x14ac:dyDescent="0.2">
      <c r="A5400" s="5" t="s">
        <v>5907</v>
      </c>
      <c r="B5400" s="5" t="s">
        <v>5885</v>
      </c>
      <c r="C5400" s="8">
        <v>1</v>
      </c>
      <c r="D5400" s="5" t="s">
        <v>162</v>
      </c>
      <c r="E5400" s="5"/>
      <c r="G5400" s="5"/>
      <c r="H5400" s="5"/>
    </row>
    <row r="5401" spans="1:8" x14ac:dyDescent="0.2">
      <c r="A5401" s="5" t="s">
        <v>5908</v>
      </c>
      <c r="B5401" s="5" t="s">
        <v>5887</v>
      </c>
      <c r="C5401" s="8">
        <v>1</v>
      </c>
      <c r="D5401" s="5" t="s">
        <v>162</v>
      </c>
      <c r="E5401" s="5"/>
      <c r="G5401" s="5"/>
      <c r="H5401" s="5"/>
    </row>
    <row r="5402" spans="1:8" x14ac:dyDescent="0.2">
      <c r="A5402" s="5" t="s">
        <v>5909</v>
      </c>
      <c r="B5402" s="5" t="s">
        <v>5889</v>
      </c>
      <c r="C5402" s="8">
        <v>1</v>
      </c>
      <c r="D5402" s="5" t="s">
        <v>162</v>
      </c>
      <c r="E5402" s="5"/>
      <c r="G5402" s="5"/>
      <c r="H5402" s="5"/>
    </row>
    <row r="5403" spans="1:8" x14ac:dyDescent="0.2">
      <c r="A5403" s="5" t="s">
        <v>5910</v>
      </c>
      <c r="B5403" s="5" t="s">
        <v>5891</v>
      </c>
      <c r="C5403" s="8">
        <v>1</v>
      </c>
      <c r="D5403" s="5" t="s">
        <v>162</v>
      </c>
      <c r="E5403" s="5"/>
      <c r="G5403" s="5"/>
      <c r="H5403" s="5"/>
    </row>
    <row r="5404" spans="1:8" x14ac:dyDescent="0.2">
      <c r="A5404" s="5" t="s">
        <v>5911</v>
      </c>
      <c r="B5404" s="5" t="s">
        <v>5887</v>
      </c>
      <c r="C5404" s="8">
        <v>3</v>
      </c>
      <c r="D5404" s="5" t="s">
        <v>42</v>
      </c>
      <c r="E5404" s="5"/>
      <c r="G5404" s="5"/>
      <c r="H5404" s="5"/>
    </row>
    <row r="5405" spans="1:8" x14ac:dyDescent="0.2">
      <c r="A5405" s="5" t="s">
        <v>5912</v>
      </c>
      <c r="B5405" s="5" t="s">
        <v>5894</v>
      </c>
      <c r="C5405" s="8">
        <v>3</v>
      </c>
      <c r="D5405" s="5" t="s">
        <v>42</v>
      </c>
      <c r="E5405" s="5"/>
      <c r="G5405" s="5"/>
      <c r="H5405" s="5"/>
    </row>
    <row r="5406" spans="1:8" x14ac:dyDescent="0.2">
      <c r="A5406" s="5" t="s">
        <v>5913</v>
      </c>
      <c r="B5406" s="5" t="s">
        <v>5896</v>
      </c>
      <c r="C5406" s="8">
        <v>14</v>
      </c>
      <c r="D5406" s="5" t="s">
        <v>42</v>
      </c>
      <c r="E5406" s="5"/>
      <c r="G5406" s="5"/>
      <c r="H5406" s="5"/>
    </row>
    <row r="5407" spans="1:8" x14ac:dyDescent="0.2">
      <c r="A5407" s="5" t="s">
        <v>5914</v>
      </c>
      <c r="B5407" s="5" t="s">
        <v>5898</v>
      </c>
      <c r="C5407" s="8">
        <v>3</v>
      </c>
      <c r="D5407" s="5" t="s">
        <v>42</v>
      </c>
      <c r="E5407" s="5"/>
      <c r="G5407" s="5"/>
      <c r="H5407" s="5"/>
    </row>
    <row r="5408" spans="1:8" x14ac:dyDescent="0.2">
      <c r="A5408" s="5" t="s">
        <v>5915</v>
      </c>
      <c r="B5408" s="5" t="s">
        <v>5900</v>
      </c>
      <c r="C5408" s="8">
        <v>2</v>
      </c>
      <c r="D5408" s="5" t="s">
        <v>42</v>
      </c>
      <c r="E5408" s="5"/>
      <c r="G5408" s="5"/>
      <c r="H5408" s="5"/>
    </row>
    <row r="5409" spans="1:9" x14ac:dyDescent="0.2">
      <c r="B5409" s="6" t="s">
        <v>5916</v>
      </c>
      <c r="C5409" s="6"/>
      <c r="D5409" s="6"/>
      <c r="E5409" s="6"/>
      <c r="F5409" s="9">
        <f>SUM(H5352:H5409)</f>
        <v>0</v>
      </c>
      <c r="G5409" s="6"/>
      <c r="I5409" s="9">
        <f>PRODUCT(F5409,G5409)</f>
        <v>0</v>
      </c>
    </row>
    <row r="5411" spans="1:9" x14ac:dyDescent="0.2">
      <c r="A5411" s="5" t="s">
        <v>5917</v>
      </c>
      <c r="B5411" s="5" t="s">
        <v>5918</v>
      </c>
      <c r="C5411" s="5"/>
      <c r="D5411" s="5"/>
      <c r="E5411" s="5"/>
      <c r="F5411" s="8">
        <v>0</v>
      </c>
      <c r="G5411" s="5"/>
      <c r="I5411" s="8">
        <f>PRODUCT(F5411,G5411)</f>
        <v>0</v>
      </c>
    </row>
    <row r="5413" spans="1:9" x14ac:dyDescent="0.2">
      <c r="A5413" s="6" t="s">
        <v>5919</v>
      </c>
      <c r="B5413" s="6" t="s">
        <v>5920</v>
      </c>
    </row>
    <row r="5414" spans="1:9" x14ac:dyDescent="0.2">
      <c r="A5414" s="5"/>
      <c r="B5414" s="5" t="s">
        <v>64</v>
      </c>
      <c r="C5414" s="5"/>
      <c r="D5414" s="5" t="s">
        <v>13</v>
      </c>
      <c r="E5414" s="5"/>
      <c r="G5414" s="5"/>
      <c r="H5414" s="5"/>
    </row>
    <row r="5415" spans="1:9" x14ac:dyDescent="0.2">
      <c r="A5415" s="5" t="s">
        <v>5921</v>
      </c>
      <c r="B5415" s="5" t="s">
        <v>5922</v>
      </c>
      <c r="C5415" s="5"/>
      <c r="D5415" s="5" t="s">
        <v>18</v>
      </c>
      <c r="E5415" s="5"/>
      <c r="G5415" s="5"/>
      <c r="H5415" s="5"/>
    </row>
    <row r="5416" spans="1:9" x14ac:dyDescent="0.2">
      <c r="A5416" s="5" t="s">
        <v>5923</v>
      </c>
      <c r="B5416" s="5" t="s">
        <v>68</v>
      </c>
      <c r="C5416" s="5"/>
      <c r="D5416" s="5" t="s">
        <v>18</v>
      </c>
      <c r="E5416" s="5"/>
      <c r="G5416" s="5"/>
      <c r="H5416" s="5"/>
    </row>
    <row r="5417" spans="1:9" x14ac:dyDescent="0.2">
      <c r="A5417" s="5"/>
      <c r="B5417" s="5" t="s">
        <v>71</v>
      </c>
      <c r="C5417" s="5"/>
      <c r="D5417" s="5" t="s">
        <v>13</v>
      </c>
      <c r="E5417" s="5"/>
      <c r="G5417" s="5"/>
      <c r="H5417" s="5"/>
    </row>
    <row r="5418" spans="1:9" x14ac:dyDescent="0.2">
      <c r="A5418" s="5" t="s">
        <v>5924</v>
      </c>
      <c r="B5418" s="5" t="s">
        <v>5925</v>
      </c>
      <c r="C5418" s="5"/>
      <c r="D5418" s="5" t="s">
        <v>18</v>
      </c>
      <c r="E5418" s="5"/>
      <c r="G5418" s="5"/>
      <c r="H5418" s="5"/>
    </row>
    <row r="5419" spans="1:9" x14ac:dyDescent="0.2">
      <c r="A5419" s="5" t="s">
        <v>5926</v>
      </c>
      <c r="B5419" s="5" t="s">
        <v>5927</v>
      </c>
      <c r="C5419" s="5"/>
      <c r="D5419" s="5" t="s">
        <v>18</v>
      </c>
      <c r="E5419" s="5"/>
      <c r="G5419" s="5"/>
      <c r="H5419" s="5"/>
    </row>
    <row r="5420" spans="1:9" x14ac:dyDescent="0.2">
      <c r="A5420" s="5" t="s">
        <v>5928</v>
      </c>
      <c r="B5420" s="5" t="s">
        <v>5929</v>
      </c>
      <c r="C5420" s="5"/>
      <c r="D5420" s="5" t="s">
        <v>18</v>
      </c>
      <c r="E5420" s="5"/>
      <c r="G5420" s="5"/>
      <c r="H5420" s="5"/>
    </row>
    <row r="5421" spans="1:9" x14ac:dyDescent="0.2">
      <c r="A5421" s="5" t="s">
        <v>5930</v>
      </c>
      <c r="B5421" s="5" t="s">
        <v>5931</v>
      </c>
      <c r="C5421" s="5"/>
      <c r="D5421" s="5" t="s">
        <v>18</v>
      </c>
      <c r="E5421" s="5"/>
      <c r="G5421" s="5"/>
      <c r="H5421" s="5"/>
    </row>
    <row r="5422" spans="1:9" x14ac:dyDescent="0.2">
      <c r="A5422" s="5"/>
      <c r="B5422" s="5" t="s">
        <v>76</v>
      </c>
      <c r="C5422" s="5"/>
      <c r="D5422" s="5" t="s">
        <v>13</v>
      </c>
      <c r="E5422" s="5"/>
      <c r="G5422" s="5"/>
      <c r="H5422" s="5"/>
    </row>
    <row r="5423" spans="1:9" x14ac:dyDescent="0.2">
      <c r="A5423" s="5"/>
      <c r="B5423" s="5" t="s">
        <v>5932</v>
      </c>
      <c r="C5423" s="5"/>
      <c r="D5423" s="5" t="s">
        <v>15</v>
      </c>
      <c r="E5423" s="5"/>
      <c r="G5423" s="5"/>
      <c r="H5423" s="5"/>
    </row>
    <row r="5424" spans="1:9" x14ac:dyDescent="0.2">
      <c r="A5424" s="5" t="s">
        <v>5933</v>
      </c>
      <c r="B5424" s="5" t="s">
        <v>5934</v>
      </c>
      <c r="C5424" s="5"/>
      <c r="D5424" s="5" t="s">
        <v>18</v>
      </c>
      <c r="E5424" s="5"/>
      <c r="G5424" s="5"/>
      <c r="H5424" s="5"/>
    </row>
    <row r="5425" spans="1:8" x14ac:dyDescent="0.2">
      <c r="A5425" s="5" t="s">
        <v>5935</v>
      </c>
      <c r="B5425" s="5" t="s">
        <v>191</v>
      </c>
      <c r="C5425" s="5"/>
      <c r="D5425" s="5" t="s">
        <v>18</v>
      </c>
      <c r="E5425" s="5"/>
      <c r="G5425" s="5"/>
      <c r="H5425" s="5"/>
    </row>
    <row r="5426" spans="1:8" x14ac:dyDescent="0.2">
      <c r="A5426" s="5" t="s">
        <v>5936</v>
      </c>
      <c r="B5426" s="5" t="s">
        <v>5937</v>
      </c>
      <c r="C5426" s="5"/>
      <c r="D5426" s="5" t="s">
        <v>18</v>
      </c>
      <c r="E5426" s="5"/>
      <c r="G5426" s="5"/>
      <c r="H5426" s="5"/>
    </row>
    <row r="5427" spans="1:8" x14ac:dyDescent="0.2">
      <c r="A5427" s="5" t="s">
        <v>5938</v>
      </c>
      <c r="B5427" s="5" t="s">
        <v>5939</v>
      </c>
      <c r="C5427" s="5"/>
      <c r="D5427" s="5" t="s">
        <v>18</v>
      </c>
      <c r="E5427" s="5"/>
      <c r="G5427" s="5"/>
      <c r="H5427" s="5"/>
    </row>
    <row r="5428" spans="1:8" x14ac:dyDescent="0.2">
      <c r="A5428" s="5" t="s">
        <v>5940</v>
      </c>
      <c r="B5428" s="5" t="s">
        <v>199</v>
      </c>
      <c r="C5428" s="5"/>
      <c r="D5428" s="5" t="s">
        <v>18</v>
      </c>
      <c r="E5428" s="5"/>
      <c r="G5428" s="5"/>
      <c r="H5428" s="5"/>
    </row>
    <row r="5429" spans="1:8" x14ac:dyDescent="0.2">
      <c r="A5429" s="5" t="s">
        <v>5941</v>
      </c>
      <c r="B5429" s="5" t="s">
        <v>203</v>
      </c>
      <c r="C5429" s="5"/>
      <c r="D5429" s="5" t="s">
        <v>18</v>
      </c>
      <c r="E5429" s="5"/>
      <c r="G5429" s="5"/>
      <c r="H5429" s="5"/>
    </row>
    <row r="5430" spans="1:8" x14ac:dyDescent="0.2">
      <c r="A5430" s="5" t="s">
        <v>5942</v>
      </c>
      <c r="B5430" s="5" t="s">
        <v>208</v>
      </c>
      <c r="C5430" s="5"/>
      <c r="D5430" s="5" t="s">
        <v>18</v>
      </c>
      <c r="E5430" s="5"/>
      <c r="G5430" s="5"/>
      <c r="H5430" s="5"/>
    </row>
    <row r="5431" spans="1:8" x14ac:dyDescent="0.2">
      <c r="A5431" s="5" t="s">
        <v>5943</v>
      </c>
      <c r="B5431" s="5" t="s">
        <v>299</v>
      </c>
      <c r="C5431" s="5"/>
      <c r="D5431" s="5" t="s">
        <v>18</v>
      </c>
      <c r="E5431" s="5"/>
      <c r="G5431" s="5"/>
      <c r="H5431" s="5"/>
    </row>
    <row r="5432" spans="1:8" x14ac:dyDescent="0.2">
      <c r="A5432" s="5"/>
      <c r="B5432" s="5" t="s">
        <v>94</v>
      </c>
      <c r="C5432" s="5"/>
      <c r="D5432" s="5" t="s">
        <v>13</v>
      </c>
      <c r="E5432" s="5"/>
      <c r="G5432" s="5"/>
      <c r="H5432" s="5"/>
    </row>
    <row r="5433" spans="1:8" x14ac:dyDescent="0.2">
      <c r="A5433" s="5" t="s">
        <v>5944</v>
      </c>
      <c r="B5433" s="5" t="s">
        <v>220</v>
      </c>
      <c r="C5433" s="8">
        <v>1</v>
      </c>
      <c r="D5433" s="5" t="s">
        <v>97</v>
      </c>
      <c r="E5433" s="5"/>
      <c r="G5433" s="5"/>
      <c r="H5433" s="5"/>
    </row>
    <row r="5434" spans="1:8" x14ac:dyDescent="0.2">
      <c r="A5434" s="5" t="s">
        <v>5945</v>
      </c>
      <c r="B5434" s="5" t="s">
        <v>2499</v>
      </c>
      <c r="C5434" s="8">
        <v>1</v>
      </c>
      <c r="D5434" s="5" t="s">
        <v>97</v>
      </c>
      <c r="E5434" s="5"/>
      <c r="G5434" s="5"/>
      <c r="H5434" s="5"/>
    </row>
    <row r="5435" spans="1:8" x14ac:dyDescent="0.2">
      <c r="A5435" s="5" t="s">
        <v>5946</v>
      </c>
      <c r="B5435" s="5" t="s">
        <v>5947</v>
      </c>
      <c r="C5435" s="8">
        <v>1</v>
      </c>
      <c r="D5435" s="5" t="s">
        <v>97</v>
      </c>
      <c r="E5435" s="5"/>
      <c r="G5435" s="5"/>
      <c r="H5435" s="5"/>
    </row>
    <row r="5436" spans="1:8" x14ac:dyDescent="0.2">
      <c r="A5436" s="5" t="s">
        <v>5948</v>
      </c>
      <c r="B5436" s="5" t="s">
        <v>2147</v>
      </c>
      <c r="C5436" s="8">
        <v>1</v>
      </c>
      <c r="D5436" s="5" t="s">
        <v>97</v>
      </c>
      <c r="E5436" s="5"/>
      <c r="G5436" s="5"/>
      <c r="H5436" s="5"/>
    </row>
    <row r="5437" spans="1:8" x14ac:dyDescent="0.2">
      <c r="A5437" s="5" t="s">
        <v>5949</v>
      </c>
      <c r="B5437" s="5" t="s">
        <v>2761</v>
      </c>
      <c r="C5437" s="8">
        <v>1</v>
      </c>
      <c r="D5437" s="5" t="s">
        <v>97</v>
      </c>
      <c r="E5437" s="5"/>
      <c r="G5437" s="5"/>
      <c r="H5437" s="5"/>
    </row>
    <row r="5438" spans="1:8" x14ac:dyDescent="0.2">
      <c r="A5438" s="5" t="s">
        <v>5950</v>
      </c>
      <c r="B5438" s="5" t="s">
        <v>218</v>
      </c>
      <c r="C5438" s="8">
        <v>1</v>
      </c>
      <c r="D5438" s="5" t="s">
        <v>97</v>
      </c>
      <c r="E5438" s="5"/>
      <c r="G5438" s="5"/>
      <c r="H5438" s="5"/>
    </row>
    <row r="5439" spans="1:8" x14ac:dyDescent="0.2">
      <c r="A5439" s="5" t="s">
        <v>5951</v>
      </c>
      <c r="B5439" s="5" t="s">
        <v>5952</v>
      </c>
      <c r="C5439" s="8">
        <v>1</v>
      </c>
      <c r="D5439" s="5" t="s">
        <v>97</v>
      </c>
      <c r="E5439" s="5"/>
      <c r="G5439" s="5"/>
      <c r="H5439" s="5"/>
    </row>
    <row r="5440" spans="1:8" x14ac:dyDescent="0.2">
      <c r="A5440" s="5" t="s">
        <v>5953</v>
      </c>
      <c r="B5440" s="5" t="s">
        <v>5954</v>
      </c>
      <c r="C5440" s="8">
        <v>1</v>
      </c>
      <c r="D5440" s="5" t="s">
        <v>97</v>
      </c>
      <c r="E5440" s="5"/>
      <c r="G5440" s="5"/>
      <c r="H5440" s="5"/>
    </row>
    <row r="5441" spans="1:8" x14ac:dyDescent="0.2">
      <c r="A5441" s="5" t="s">
        <v>5955</v>
      </c>
      <c r="B5441" s="5" t="s">
        <v>5956</v>
      </c>
      <c r="C5441" s="8">
        <v>1</v>
      </c>
      <c r="D5441" s="5" t="s">
        <v>97</v>
      </c>
      <c r="E5441" s="5"/>
      <c r="G5441" s="5"/>
      <c r="H5441" s="5"/>
    </row>
    <row r="5442" spans="1:8" x14ac:dyDescent="0.2">
      <c r="A5442" s="5" t="s">
        <v>5957</v>
      </c>
      <c r="B5442" s="5" t="s">
        <v>5958</v>
      </c>
      <c r="C5442" s="8">
        <v>1</v>
      </c>
      <c r="D5442" s="5" t="s">
        <v>97</v>
      </c>
      <c r="E5442" s="5"/>
      <c r="G5442" s="5"/>
      <c r="H5442" s="5"/>
    </row>
    <row r="5443" spans="1:8" x14ac:dyDescent="0.2">
      <c r="A5443" s="5" t="s">
        <v>5959</v>
      </c>
      <c r="B5443" s="5" t="s">
        <v>5960</v>
      </c>
      <c r="C5443" s="8">
        <v>1</v>
      </c>
      <c r="D5443" s="5" t="s">
        <v>97</v>
      </c>
      <c r="E5443" s="5"/>
      <c r="G5443" s="5"/>
      <c r="H5443" s="5"/>
    </row>
    <row r="5444" spans="1:8" x14ac:dyDescent="0.2">
      <c r="A5444" s="5"/>
      <c r="B5444" s="5" t="s">
        <v>38</v>
      </c>
      <c r="C5444" s="5"/>
      <c r="D5444" s="5" t="s">
        <v>13</v>
      </c>
      <c r="E5444" s="5"/>
      <c r="G5444" s="5"/>
      <c r="H5444" s="5"/>
    </row>
    <row r="5445" spans="1:8" x14ac:dyDescent="0.2">
      <c r="A5445" s="5"/>
      <c r="B5445" s="5" t="s">
        <v>5961</v>
      </c>
      <c r="C5445" s="5"/>
      <c r="D5445" s="5" t="s">
        <v>15</v>
      </c>
      <c r="E5445" s="5"/>
      <c r="G5445" s="5"/>
      <c r="H5445" s="5"/>
    </row>
    <row r="5446" spans="1:8" x14ac:dyDescent="0.2">
      <c r="A5446" s="5"/>
      <c r="B5446" s="5" t="s">
        <v>5962</v>
      </c>
      <c r="C5446" s="5"/>
      <c r="D5446" s="5" t="s">
        <v>322</v>
      </c>
      <c r="E5446" s="5"/>
      <c r="G5446" s="5"/>
      <c r="H5446" s="5"/>
    </row>
    <row r="5447" spans="1:8" x14ac:dyDescent="0.2">
      <c r="A5447" s="5"/>
      <c r="B5447" s="5" t="s">
        <v>5963</v>
      </c>
      <c r="C5447" s="5"/>
      <c r="D5447" s="5" t="s">
        <v>366</v>
      </c>
      <c r="E5447" s="5"/>
      <c r="G5447" s="5"/>
      <c r="H5447" s="5"/>
    </row>
    <row r="5448" spans="1:8" x14ac:dyDescent="0.2">
      <c r="A5448" s="5" t="s">
        <v>5964</v>
      </c>
      <c r="B5448" s="5" t="s">
        <v>5965</v>
      </c>
      <c r="C5448" s="8">
        <v>17</v>
      </c>
      <c r="D5448" s="5" t="s">
        <v>368</v>
      </c>
      <c r="E5448" s="5"/>
      <c r="G5448" s="5"/>
      <c r="H5448" s="5"/>
    </row>
    <row r="5449" spans="1:8" x14ac:dyDescent="0.2">
      <c r="A5449" s="5" t="s">
        <v>5966</v>
      </c>
      <c r="B5449" s="5" t="s">
        <v>1712</v>
      </c>
      <c r="C5449" s="8">
        <v>2</v>
      </c>
      <c r="D5449" s="5" t="s">
        <v>42</v>
      </c>
      <c r="E5449" s="5"/>
      <c r="G5449" s="5"/>
      <c r="H5449" s="5"/>
    </row>
    <row r="5450" spans="1:8" x14ac:dyDescent="0.2">
      <c r="A5450" s="5" t="s">
        <v>5967</v>
      </c>
      <c r="B5450" s="5" t="s">
        <v>5968</v>
      </c>
      <c r="C5450" s="8">
        <v>13</v>
      </c>
      <c r="D5450" s="5" t="s">
        <v>42</v>
      </c>
      <c r="E5450" s="5"/>
      <c r="G5450" s="5"/>
      <c r="H5450" s="5"/>
    </row>
    <row r="5451" spans="1:8" x14ac:dyDescent="0.2">
      <c r="A5451" s="5" t="s">
        <v>5969</v>
      </c>
      <c r="B5451" s="5" t="s">
        <v>5970</v>
      </c>
      <c r="C5451" s="8">
        <v>0.74</v>
      </c>
      <c r="D5451" s="5" t="s">
        <v>382</v>
      </c>
      <c r="E5451" s="5"/>
      <c r="G5451" s="5"/>
      <c r="H5451" s="5"/>
    </row>
    <row r="5452" spans="1:8" x14ac:dyDescent="0.2">
      <c r="A5452" s="5" t="s">
        <v>5971</v>
      </c>
      <c r="B5452" s="5" t="s">
        <v>5972</v>
      </c>
      <c r="C5452" s="8">
        <v>33</v>
      </c>
      <c r="D5452" s="5" t="s">
        <v>42</v>
      </c>
      <c r="E5452" s="5"/>
      <c r="G5452" s="5"/>
      <c r="H5452" s="5"/>
    </row>
    <row r="5453" spans="1:8" x14ac:dyDescent="0.2">
      <c r="A5453" s="5"/>
      <c r="B5453" s="5" t="s">
        <v>5973</v>
      </c>
      <c r="C5453" s="5"/>
      <c r="D5453" s="5" t="s">
        <v>366</v>
      </c>
      <c r="E5453" s="5"/>
      <c r="G5453" s="5"/>
      <c r="H5453" s="5"/>
    </row>
    <row r="5454" spans="1:8" x14ac:dyDescent="0.2">
      <c r="A5454" s="5" t="s">
        <v>5974</v>
      </c>
      <c r="B5454" s="5" t="s">
        <v>5965</v>
      </c>
      <c r="C5454" s="8">
        <v>11</v>
      </c>
      <c r="D5454" s="5" t="s">
        <v>368</v>
      </c>
      <c r="E5454" s="5"/>
      <c r="G5454" s="5"/>
      <c r="H5454" s="5"/>
    </row>
    <row r="5455" spans="1:8" x14ac:dyDescent="0.2">
      <c r="A5455" s="5" t="s">
        <v>5975</v>
      </c>
      <c r="B5455" s="5" t="s">
        <v>5968</v>
      </c>
      <c r="C5455" s="8">
        <v>12</v>
      </c>
      <c r="D5455" s="5" t="s">
        <v>42</v>
      </c>
      <c r="E5455" s="5"/>
      <c r="G5455" s="5"/>
      <c r="H5455" s="5"/>
    </row>
    <row r="5456" spans="1:8" x14ac:dyDescent="0.2">
      <c r="A5456" s="5" t="s">
        <v>5976</v>
      </c>
      <c r="B5456" s="5" t="s">
        <v>5970</v>
      </c>
      <c r="C5456" s="8">
        <v>0.78</v>
      </c>
      <c r="D5456" s="5" t="s">
        <v>382</v>
      </c>
      <c r="E5456" s="5"/>
      <c r="G5456" s="5"/>
      <c r="H5456" s="5"/>
    </row>
    <row r="5457" spans="1:8" x14ac:dyDescent="0.2">
      <c r="A5457" s="5" t="s">
        <v>5977</v>
      </c>
      <c r="B5457" s="5" t="s">
        <v>5972</v>
      </c>
      <c r="C5457" s="8">
        <v>35</v>
      </c>
      <c r="D5457" s="5" t="s">
        <v>42</v>
      </c>
      <c r="E5457" s="5"/>
      <c r="G5457" s="5"/>
      <c r="H5457" s="5"/>
    </row>
    <row r="5458" spans="1:8" x14ac:dyDescent="0.2">
      <c r="A5458" s="5"/>
      <c r="B5458" s="5" t="s">
        <v>5978</v>
      </c>
      <c r="C5458" s="5"/>
      <c r="D5458" s="5" t="s">
        <v>366</v>
      </c>
      <c r="E5458" s="5"/>
      <c r="G5458" s="5"/>
      <c r="H5458" s="5"/>
    </row>
    <row r="5459" spans="1:8" x14ac:dyDescent="0.2">
      <c r="A5459" s="5" t="s">
        <v>5979</v>
      </c>
      <c r="B5459" s="5" t="s">
        <v>5965</v>
      </c>
      <c r="C5459" s="8">
        <v>6</v>
      </c>
      <c r="D5459" s="5" t="s">
        <v>368</v>
      </c>
      <c r="E5459" s="5"/>
      <c r="G5459" s="5"/>
      <c r="H5459" s="5"/>
    </row>
    <row r="5460" spans="1:8" x14ac:dyDescent="0.2">
      <c r="A5460" s="5" t="s">
        <v>5980</v>
      </c>
      <c r="B5460" s="5" t="s">
        <v>5968</v>
      </c>
      <c r="C5460" s="8">
        <v>12</v>
      </c>
      <c r="D5460" s="5" t="s">
        <v>42</v>
      </c>
      <c r="E5460" s="5"/>
      <c r="G5460" s="5"/>
      <c r="H5460" s="5"/>
    </row>
    <row r="5461" spans="1:8" x14ac:dyDescent="0.2">
      <c r="A5461" s="5" t="s">
        <v>5981</v>
      </c>
      <c r="B5461" s="5" t="s">
        <v>5970</v>
      </c>
      <c r="C5461" s="8">
        <v>0.78</v>
      </c>
      <c r="D5461" s="5" t="s">
        <v>382</v>
      </c>
      <c r="E5461" s="5"/>
      <c r="G5461" s="5"/>
      <c r="H5461" s="5"/>
    </row>
    <row r="5462" spans="1:8" x14ac:dyDescent="0.2">
      <c r="A5462" s="5" t="s">
        <v>5982</v>
      </c>
      <c r="B5462" s="5" t="s">
        <v>5972</v>
      </c>
      <c r="C5462" s="8">
        <v>19</v>
      </c>
      <c r="D5462" s="5" t="s">
        <v>42</v>
      </c>
      <c r="E5462" s="5"/>
      <c r="G5462" s="5"/>
      <c r="H5462" s="5"/>
    </row>
    <row r="5463" spans="1:8" x14ac:dyDescent="0.2">
      <c r="A5463" s="5"/>
      <c r="B5463" s="5" t="s">
        <v>5983</v>
      </c>
      <c r="C5463" s="5"/>
      <c r="D5463" s="5" t="s">
        <v>366</v>
      </c>
      <c r="E5463" s="5"/>
      <c r="G5463" s="5"/>
      <c r="H5463" s="5"/>
    </row>
    <row r="5464" spans="1:8" x14ac:dyDescent="0.2">
      <c r="A5464" s="5" t="s">
        <v>5984</v>
      </c>
      <c r="B5464" s="5" t="s">
        <v>5965</v>
      </c>
      <c r="C5464" s="8">
        <v>10</v>
      </c>
      <c r="D5464" s="5" t="s">
        <v>368</v>
      </c>
      <c r="E5464" s="5"/>
      <c r="G5464" s="5"/>
      <c r="H5464" s="5"/>
    </row>
    <row r="5465" spans="1:8" x14ac:dyDescent="0.2">
      <c r="A5465" s="5" t="s">
        <v>5985</v>
      </c>
      <c r="B5465" s="5" t="s">
        <v>5968</v>
      </c>
      <c r="C5465" s="8">
        <v>8</v>
      </c>
      <c r="D5465" s="5" t="s">
        <v>42</v>
      </c>
      <c r="E5465" s="5"/>
      <c r="G5465" s="5"/>
      <c r="H5465" s="5"/>
    </row>
    <row r="5466" spans="1:8" x14ac:dyDescent="0.2">
      <c r="A5466" s="5" t="s">
        <v>5986</v>
      </c>
      <c r="B5466" s="5" t="s">
        <v>5987</v>
      </c>
      <c r="C5466" s="8">
        <v>1</v>
      </c>
      <c r="D5466" s="5" t="s">
        <v>42</v>
      </c>
      <c r="E5466" s="5"/>
      <c r="G5466" s="5"/>
      <c r="H5466" s="5"/>
    </row>
    <row r="5467" spans="1:8" x14ac:dyDescent="0.2">
      <c r="A5467" s="5" t="s">
        <v>5988</v>
      </c>
      <c r="B5467" s="5" t="s">
        <v>5970</v>
      </c>
      <c r="C5467" s="8">
        <v>0.91</v>
      </c>
      <c r="D5467" s="5" t="s">
        <v>382</v>
      </c>
      <c r="E5467" s="5"/>
      <c r="G5467" s="5"/>
      <c r="H5467" s="5"/>
    </row>
    <row r="5468" spans="1:8" x14ac:dyDescent="0.2">
      <c r="A5468" s="5" t="s">
        <v>5989</v>
      </c>
      <c r="B5468" s="5" t="s">
        <v>5972</v>
      </c>
      <c r="C5468" s="8">
        <v>15</v>
      </c>
      <c r="D5468" s="5" t="s">
        <v>42</v>
      </c>
      <c r="E5468" s="5"/>
      <c r="G5468" s="5"/>
      <c r="H5468" s="5"/>
    </row>
    <row r="5469" spans="1:8" x14ac:dyDescent="0.2">
      <c r="A5469" s="5"/>
      <c r="B5469" s="5" t="s">
        <v>4384</v>
      </c>
      <c r="C5469" s="5"/>
      <c r="D5469" s="5" t="s">
        <v>322</v>
      </c>
      <c r="E5469" s="5"/>
      <c r="G5469" s="5"/>
      <c r="H5469" s="5"/>
    </row>
    <row r="5470" spans="1:8" x14ac:dyDescent="0.2">
      <c r="A5470" s="5" t="s">
        <v>5990</v>
      </c>
      <c r="B5470" s="5" t="s">
        <v>5991</v>
      </c>
      <c r="C5470" s="8">
        <v>13</v>
      </c>
      <c r="D5470" s="5" t="s">
        <v>42</v>
      </c>
      <c r="E5470" s="5"/>
      <c r="G5470" s="5"/>
      <c r="H5470" s="5"/>
    </row>
    <row r="5471" spans="1:8" x14ac:dyDescent="0.2">
      <c r="A5471" s="5" t="s">
        <v>5992</v>
      </c>
      <c r="B5471" s="5" t="s">
        <v>5993</v>
      </c>
      <c r="C5471" s="8">
        <v>9</v>
      </c>
      <c r="D5471" s="5" t="s">
        <v>42</v>
      </c>
      <c r="E5471" s="5"/>
      <c r="G5471" s="5"/>
      <c r="H5471" s="5"/>
    </row>
    <row r="5472" spans="1:8" x14ac:dyDescent="0.2">
      <c r="A5472" s="5"/>
      <c r="B5472" s="5" t="s">
        <v>5994</v>
      </c>
      <c r="C5472" s="5"/>
      <c r="D5472" s="5" t="s">
        <v>322</v>
      </c>
      <c r="E5472" s="5"/>
      <c r="G5472" s="5"/>
      <c r="H5472" s="5"/>
    </row>
    <row r="5473" spans="1:8" x14ac:dyDescent="0.2">
      <c r="A5473" s="5" t="s">
        <v>5995</v>
      </c>
      <c r="B5473" s="5" t="s">
        <v>5996</v>
      </c>
      <c r="C5473" s="8">
        <v>5</v>
      </c>
      <c r="D5473" s="5" t="s">
        <v>368</v>
      </c>
      <c r="E5473" s="5"/>
      <c r="G5473" s="5"/>
      <c r="H5473" s="5"/>
    </row>
    <row r="5474" spans="1:8" x14ac:dyDescent="0.2">
      <c r="A5474" s="5" t="s">
        <v>5997</v>
      </c>
      <c r="B5474" s="5" t="s">
        <v>5998</v>
      </c>
      <c r="C5474" s="8">
        <v>6.3E-2</v>
      </c>
      <c r="D5474" s="5" t="s">
        <v>382</v>
      </c>
      <c r="E5474" s="5"/>
      <c r="G5474" s="5"/>
      <c r="H5474" s="5"/>
    </row>
    <row r="5475" spans="1:8" x14ac:dyDescent="0.2">
      <c r="A5475" s="5" t="s">
        <v>5999</v>
      </c>
      <c r="B5475" s="5" t="s">
        <v>6000</v>
      </c>
      <c r="C5475" s="8">
        <v>29</v>
      </c>
      <c r="D5475" s="5" t="s">
        <v>155</v>
      </c>
      <c r="E5475" s="5"/>
      <c r="G5475" s="5"/>
      <c r="H5475" s="5"/>
    </row>
    <row r="5476" spans="1:8" x14ac:dyDescent="0.2">
      <c r="A5476" s="5"/>
      <c r="B5476" s="5" t="s">
        <v>6001</v>
      </c>
      <c r="C5476" s="5"/>
      <c r="D5476" s="5" t="s">
        <v>322</v>
      </c>
      <c r="E5476" s="5"/>
      <c r="G5476" s="5"/>
      <c r="H5476" s="5"/>
    </row>
    <row r="5477" spans="1:8" x14ac:dyDescent="0.2">
      <c r="A5477" s="5" t="s">
        <v>6002</v>
      </c>
      <c r="B5477" s="5" t="s">
        <v>6003</v>
      </c>
      <c r="C5477" s="8">
        <v>16</v>
      </c>
      <c r="D5477" s="5" t="s">
        <v>42</v>
      </c>
      <c r="E5477" s="5"/>
      <c r="G5477" s="5"/>
      <c r="H5477" s="5"/>
    </row>
    <row r="5478" spans="1:8" x14ac:dyDescent="0.2">
      <c r="A5478" s="5" t="s">
        <v>6004</v>
      </c>
      <c r="B5478" s="5" t="s">
        <v>6005</v>
      </c>
      <c r="C5478" s="8">
        <v>0.09</v>
      </c>
      <c r="D5478" s="5" t="s">
        <v>382</v>
      </c>
      <c r="E5478" s="5"/>
      <c r="G5478" s="5"/>
      <c r="H5478" s="5"/>
    </row>
    <row r="5479" spans="1:8" x14ac:dyDescent="0.2">
      <c r="A5479" s="5" t="s">
        <v>6006</v>
      </c>
      <c r="B5479" s="5" t="s">
        <v>6007</v>
      </c>
      <c r="C5479" s="8">
        <v>2</v>
      </c>
      <c r="D5479" s="5" t="s">
        <v>42</v>
      </c>
      <c r="E5479" s="5"/>
      <c r="G5479" s="5"/>
      <c r="H5479" s="5"/>
    </row>
    <row r="5480" spans="1:8" x14ac:dyDescent="0.2">
      <c r="A5480" s="5" t="s">
        <v>6008</v>
      </c>
      <c r="B5480" s="5" t="s">
        <v>6009</v>
      </c>
      <c r="C5480" s="8">
        <v>16</v>
      </c>
      <c r="D5480" s="5" t="s">
        <v>42</v>
      </c>
      <c r="E5480" s="5"/>
      <c r="G5480" s="5"/>
      <c r="H5480" s="5"/>
    </row>
    <row r="5481" spans="1:8" x14ac:dyDescent="0.2">
      <c r="A5481" s="5" t="s">
        <v>6010</v>
      </c>
      <c r="B5481" s="5" t="s">
        <v>6011</v>
      </c>
      <c r="C5481" s="8">
        <v>24</v>
      </c>
      <c r="D5481" s="5" t="s">
        <v>155</v>
      </c>
      <c r="E5481" s="5"/>
      <c r="G5481" s="5"/>
      <c r="H5481" s="5"/>
    </row>
    <row r="5482" spans="1:8" x14ac:dyDescent="0.2">
      <c r="A5482" s="5"/>
      <c r="B5482" s="5" t="s">
        <v>6012</v>
      </c>
      <c r="C5482" s="5"/>
      <c r="D5482" s="5" t="s">
        <v>322</v>
      </c>
      <c r="E5482" s="5"/>
      <c r="G5482" s="5"/>
      <c r="H5482" s="5"/>
    </row>
    <row r="5483" spans="1:8" x14ac:dyDescent="0.2">
      <c r="A5483" s="5" t="s">
        <v>6013</v>
      </c>
      <c r="B5483" s="5" t="s">
        <v>6014</v>
      </c>
      <c r="C5483" s="8">
        <v>31</v>
      </c>
      <c r="D5483" s="5" t="s">
        <v>155</v>
      </c>
      <c r="E5483" s="5"/>
      <c r="G5483" s="5"/>
      <c r="H5483" s="5"/>
    </row>
    <row r="5484" spans="1:8" x14ac:dyDescent="0.2">
      <c r="A5484" s="5" t="s">
        <v>6015</v>
      </c>
      <c r="B5484" s="5" t="s">
        <v>6016</v>
      </c>
      <c r="C5484" s="8">
        <v>23</v>
      </c>
      <c r="D5484" s="5" t="s">
        <v>155</v>
      </c>
      <c r="E5484" s="5"/>
      <c r="G5484" s="5"/>
      <c r="H5484" s="5"/>
    </row>
    <row r="5485" spans="1:8" x14ac:dyDescent="0.2">
      <c r="A5485" s="5"/>
      <c r="B5485" s="5" t="s">
        <v>6017</v>
      </c>
      <c r="C5485" s="5"/>
      <c r="D5485" s="5" t="s">
        <v>322</v>
      </c>
      <c r="E5485" s="5"/>
      <c r="G5485" s="5"/>
      <c r="H5485" s="5"/>
    </row>
    <row r="5486" spans="1:8" x14ac:dyDescent="0.2">
      <c r="A5486" s="5" t="s">
        <v>6018</v>
      </c>
      <c r="B5486" s="5" t="s">
        <v>6019</v>
      </c>
      <c r="C5486" s="8">
        <v>85</v>
      </c>
      <c r="D5486" s="5" t="s">
        <v>42</v>
      </c>
      <c r="E5486" s="5"/>
      <c r="G5486" s="5"/>
      <c r="H5486" s="5"/>
    </row>
    <row r="5487" spans="1:8" x14ac:dyDescent="0.2">
      <c r="A5487" s="5" t="s">
        <v>6020</v>
      </c>
      <c r="B5487" s="5" t="s">
        <v>6021</v>
      </c>
      <c r="C5487" s="8">
        <v>85</v>
      </c>
      <c r="D5487" s="5" t="s">
        <v>42</v>
      </c>
      <c r="E5487" s="5"/>
      <c r="G5487" s="5"/>
      <c r="H5487" s="5"/>
    </row>
    <row r="5488" spans="1:8" x14ac:dyDescent="0.2">
      <c r="A5488" s="5" t="s">
        <v>6022</v>
      </c>
      <c r="B5488" s="5" t="s">
        <v>6023</v>
      </c>
      <c r="C5488" s="8">
        <v>85</v>
      </c>
      <c r="D5488" s="5" t="s">
        <v>42</v>
      </c>
      <c r="E5488" s="5"/>
      <c r="G5488" s="5"/>
      <c r="H5488" s="5"/>
    </row>
    <row r="5489" spans="1:8" x14ac:dyDescent="0.2">
      <c r="A5489" s="5" t="s">
        <v>6024</v>
      </c>
      <c r="B5489" s="5" t="s">
        <v>6025</v>
      </c>
      <c r="C5489" s="8">
        <v>21</v>
      </c>
      <c r="D5489" s="5" t="s">
        <v>155</v>
      </c>
      <c r="E5489" s="5"/>
      <c r="G5489" s="5"/>
      <c r="H5489" s="5"/>
    </row>
    <row r="5490" spans="1:8" x14ac:dyDescent="0.2">
      <c r="A5490" s="5" t="s">
        <v>6026</v>
      </c>
      <c r="B5490" s="5" t="s">
        <v>6027</v>
      </c>
      <c r="C5490" s="8">
        <v>36</v>
      </c>
      <c r="D5490" s="5" t="s">
        <v>42</v>
      </c>
      <c r="E5490" s="5"/>
      <c r="G5490" s="5"/>
      <c r="H5490" s="5"/>
    </row>
    <row r="5491" spans="1:8" x14ac:dyDescent="0.2">
      <c r="A5491" s="5" t="s">
        <v>6028</v>
      </c>
      <c r="B5491" s="5" t="s">
        <v>6029</v>
      </c>
      <c r="C5491" s="8">
        <v>27</v>
      </c>
      <c r="D5491" s="5" t="s">
        <v>42</v>
      </c>
      <c r="E5491" s="5"/>
      <c r="G5491" s="5"/>
      <c r="H5491" s="5"/>
    </row>
    <row r="5492" spans="1:8" x14ac:dyDescent="0.2">
      <c r="A5492" s="5" t="s">
        <v>6030</v>
      </c>
      <c r="B5492" s="5" t="s">
        <v>6031</v>
      </c>
      <c r="C5492" s="8">
        <v>36</v>
      </c>
      <c r="D5492" s="5" t="s">
        <v>42</v>
      </c>
      <c r="E5492" s="5"/>
      <c r="G5492" s="5"/>
      <c r="H5492" s="5"/>
    </row>
    <row r="5493" spans="1:8" x14ac:dyDescent="0.2">
      <c r="A5493" s="5" t="s">
        <v>6032</v>
      </c>
      <c r="B5493" s="5" t="s">
        <v>6011</v>
      </c>
      <c r="C5493" s="8">
        <v>53</v>
      </c>
      <c r="D5493" s="5" t="s">
        <v>155</v>
      </c>
      <c r="E5493" s="5"/>
      <c r="G5493" s="5"/>
      <c r="H5493" s="5"/>
    </row>
    <row r="5494" spans="1:8" x14ac:dyDescent="0.2">
      <c r="A5494" s="5"/>
      <c r="B5494" s="5" t="s">
        <v>6033</v>
      </c>
      <c r="C5494" s="5"/>
      <c r="D5494" s="5" t="s">
        <v>322</v>
      </c>
      <c r="E5494" s="5"/>
      <c r="G5494" s="5"/>
      <c r="H5494" s="5"/>
    </row>
    <row r="5495" spans="1:8" x14ac:dyDescent="0.2">
      <c r="A5495" s="5" t="s">
        <v>6034</v>
      </c>
      <c r="B5495" s="5" t="s">
        <v>6035</v>
      </c>
      <c r="C5495" s="8">
        <v>3</v>
      </c>
      <c r="D5495" s="5" t="s">
        <v>368</v>
      </c>
      <c r="E5495" s="5"/>
      <c r="G5495" s="5"/>
      <c r="H5495" s="5"/>
    </row>
    <row r="5496" spans="1:8" x14ac:dyDescent="0.2">
      <c r="A5496" s="5" t="s">
        <v>6036</v>
      </c>
      <c r="B5496" s="5" t="s">
        <v>6037</v>
      </c>
      <c r="C5496" s="8">
        <v>7</v>
      </c>
      <c r="D5496" s="5" t="s">
        <v>42</v>
      </c>
      <c r="E5496" s="5"/>
      <c r="G5496" s="5"/>
      <c r="H5496" s="5"/>
    </row>
    <row r="5497" spans="1:8" x14ac:dyDescent="0.2">
      <c r="A5497" s="5" t="s">
        <v>6038</v>
      </c>
      <c r="B5497" s="5" t="s">
        <v>6039</v>
      </c>
      <c r="C5497" s="8">
        <v>9</v>
      </c>
      <c r="D5497" s="5" t="s">
        <v>42</v>
      </c>
      <c r="E5497" s="5"/>
      <c r="G5497" s="5"/>
      <c r="H5497" s="5"/>
    </row>
    <row r="5498" spans="1:8" x14ac:dyDescent="0.2">
      <c r="A5498" s="5" t="s">
        <v>6040</v>
      </c>
      <c r="B5498" s="5" t="s">
        <v>6041</v>
      </c>
      <c r="C5498" s="8">
        <v>1</v>
      </c>
      <c r="D5498" s="5" t="s">
        <v>368</v>
      </c>
      <c r="E5498" s="5"/>
      <c r="G5498" s="5"/>
      <c r="H5498" s="5"/>
    </row>
    <row r="5499" spans="1:8" x14ac:dyDescent="0.2">
      <c r="A5499" s="5" t="s">
        <v>6042</v>
      </c>
      <c r="B5499" s="5" t="s">
        <v>6043</v>
      </c>
      <c r="C5499" s="8">
        <v>0.26</v>
      </c>
      <c r="D5499" s="5" t="s">
        <v>382</v>
      </c>
      <c r="E5499" s="5"/>
      <c r="G5499" s="5"/>
      <c r="H5499" s="5"/>
    </row>
    <row r="5500" spans="1:8" x14ac:dyDescent="0.2">
      <c r="A5500" s="5" t="s">
        <v>6044</v>
      </c>
      <c r="B5500" s="5" t="s">
        <v>6009</v>
      </c>
      <c r="C5500" s="8">
        <v>9</v>
      </c>
      <c r="D5500" s="5" t="s">
        <v>42</v>
      </c>
      <c r="E5500" s="5"/>
      <c r="G5500" s="5"/>
      <c r="H5500" s="5"/>
    </row>
    <row r="5501" spans="1:8" x14ac:dyDescent="0.2">
      <c r="A5501" s="5" t="s">
        <v>6045</v>
      </c>
      <c r="B5501" s="5" t="s">
        <v>6011</v>
      </c>
      <c r="C5501" s="8">
        <v>10</v>
      </c>
      <c r="D5501" s="5" t="s">
        <v>155</v>
      </c>
      <c r="E5501" s="5"/>
      <c r="G5501" s="5"/>
      <c r="H5501" s="5"/>
    </row>
    <row r="5502" spans="1:8" x14ac:dyDescent="0.2">
      <c r="A5502" s="5"/>
      <c r="B5502" s="5" t="s">
        <v>6046</v>
      </c>
      <c r="C5502" s="5"/>
      <c r="D5502" s="5" t="s">
        <v>322</v>
      </c>
      <c r="E5502" s="5"/>
      <c r="G5502" s="5"/>
      <c r="H5502" s="5"/>
    </row>
    <row r="5503" spans="1:8" x14ac:dyDescent="0.2">
      <c r="A5503" s="5" t="s">
        <v>6047</v>
      </c>
      <c r="B5503" s="5" t="s">
        <v>6048</v>
      </c>
      <c r="C5503" s="8">
        <v>1</v>
      </c>
      <c r="D5503" s="5" t="s">
        <v>162</v>
      </c>
      <c r="E5503" s="5"/>
      <c r="G5503" s="5"/>
      <c r="H5503" s="5"/>
    </row>
    <row r="5504" spans="1:8" x14ac:dyDescent="0.2">
      <c r="A5504" s="5" t="s">
        <v>6049</v>
      </c>
      <c r="B5504" s="5" t="s">
        <v>6050</v>
      </c>
      <c r="C5504" s="8">
        <v>1</v>
      </c>
      <c r="D5504" s="5" t="s">
        <v>162</v>
      </c>
      <c r="E5504" s="5"/>
      <c r="G5504" s="5"/>
      <c r="H5504" s="5"/>
    </row>
    <row r="5505" spans="1:8" x14ac:dyDescent="0.2">
      <c r="A5505" s="5" t="s">
        <v>6051</v>
      </c>
      <c r="B5505" s="5" t="s">
        <v>6052</v>
      </c>
      <c r="C5505" s="8">
        <v>2</v>
      </c>
      <c r="D5505" s="5" t="s">
        <v>162</v>
      </c>
      <c r="E5505" s="5"/>
      <c r="G5505" s="5"/>
      <c r="H5505" s="5"/>
    </row>
    <row r="5506" spans="1:8" x14ac:dyDescent="0.2">
      <c r="A5506" s="5" t="s">
        <v>6053</v>
      </c>
      <c r="B5506" s="5" t="s">
        <v>6054</v>
      </c>
      <c r="C5506" s="8">
        <v>4</v>
      </c>
      <c r="D5506" s="5" t="s">
        <v>162</v>
      </c>
      <c r="E5506" s="5"/>
      <c r="G5506" s="5"/>
      <c r="H5506" s="5"/>
    </row>
    <row r="5507" spans="1:8" x14ac:dyDescent="0.2">
      <c r="A5507" s="5" t="s">
        <v>6055</v>
      </c>
      <c r="B5507" s="5" t="s">
        <v>6056</v>
      </c>
      <c r="C5507" s="8">
        <v>3</v>
      </c>
      <c r="D5507" s="5" t="s">
        <v>162</v>
      </c>
      <c r="E5507" s="5"/>
      <c r="G5507" s="5"/>
      <c r="H5507" s="5"/>
    </row>
    <row r="5508" spans="1:8" x14ac:dyDescent="0.2">
      <c r="A5508" s="5" t="s">
        <v>6057</v>
      </c>
      <c r="B5508" s="5" t="s">
        <v>6058</v>
      </c>
      <c r="C5508" s="8">
        <v>2</v>
      </c>
      <c r="D5508" s="5" t="s">
        <v>162</v>
      </c>
      <c r="E5508" s="5"/>
      <c r="G5508" s="5"/>
      <c r="H5508" s="5"/>
    </row>
    <row r="5509" spans="1:8" x14ac:dyDescent="0.2">
      <c r="A5509" s="5" t="s">
        <v>6059</v>
      </c>
      <c r="B5509" s="5" t="s">
        <v>6060</v>
      </c>
      <c r="C5509" s="8">
        <v>2</v>
      </c>
      <c r="D5509" s="5" t="s">
        <v>162</v>
      </c>
      <c r="E5509" s="5"/>
      <c r="G5509" s="5"/>
      <c r="H5509" s="5"/>
    </row>
    <row r="5510" spans="1:8" x14ac:dyDescent="0.2">
      <c r="A5510" s="5" t="s">
        <v>6061</v>
      </c>
      <c r="B5510" s="5" t="s">
        <v>6062</v>
      </c>
      <c r="C5510" s="8">
        <v>124</v>
      </c>
      <c r="D5510" s="5" t="s">
        <v>155</v>
      </c>
      <c r="E5510" s="5"/>
      <c r="G5510" s="5"/>
      <c r="H5510" s="5"/>
    </row>
    <row r="5511" spans="1:8" x14ac:dyDescent="0.2">
      <c r="A5511" s="5"/>
      <c r="B5511" s="5" t="s">
        <v>6063</v>
      </c>
      <c r="C5511" s="5"/>
      <c r="D5511" s="5" t="s">
        <v>322</v>
      </c>
      <c r="E5511" s="5"/>
      <c r="G5511" s="5"/>
      <c r="H5511" s="5"/>
    </row>
    <row r="5512" spans="1:8" x14ac:dyDescent="0.2">
      <c r="A5512" s="5" t="s">
        <v>6064</v>
      </c>
      <c r="B5512" s="5" t="s">
        <v>6065</v>
      </c>
      <c r="C5512" s="8">
        <v>77.599999999999994</v>
      </c>
      <c r="D5512" s="5" t="s">
        <v>155</v>
      </c>
      <c r="E5512" s="5"/>
      <c r="G5512" s="5"/>
      <c r="H5512" s="5"/>
    </row>
    <row r="5513" spans="1:8" x14ac:dyDescent="0.2">
      <c r="A5513" s="5" t="s">
        <v>6066</v>
      </c>
      <c r="B5513" s="5" t="s">
        <v>6067</v>
      </c>
      <c r="C5513" s="8">
        <v>70.400000000000006</v>
      </c>
      <c r="D5513" s="5" t="s">
        <v>155</v>
      </c>
      <c r="E5513" s="5"/>
      <c r="G5513" s="5"/>
      <c r="H5513" s="5"/>
    </row>
    <row r="5514" spans="1:8" x14ac:dyDescent="0.2">
      <c r="A5514" s="5" t="s">
        <v>6068</v>
      </c>
      <c r="B5514" s="5" t="s">
        <v>6069</v>
      </c>
      <c r="C5514" s="8">
        <v>98</v>
      </c>
      <c r="D5514" s="5" t="s">
        <v>155</v>
      </c>
      <c r="E5514" s="5"/>
      <c r="G5514" s="5"/>
      <c r="H5514" s="5"/>
    </row>
    <row r="5515" spans="1:8" x14ac:dyDescent="0.2">
      <c r="A5515" s="5"/>
      <c r="B5515" s="5" t="s">
        <v>6070</v>
      </c>
      <c r="C5515" s="5"/>
      <c r="D5515" s="5" t="s">
        <v>15</v>
      </c>
      <c r="E5515" s="5"/>
      <c r="G5515" s="5"/>
      <c r="H5515" s="5"/>
    </row>
    <row r="5516" spans="1:8" x14ac:dyDescent="0.2">
      <c r="A5516" s="5"/>
      <c r="B5516" s="5" t="s">
        <v>6071</v>
      </c>
      <c r="C5516" s="5"/>
      <c r="D5516" s="5" t="s">
        <v>322</v>
      </c>
      <c r="E5516" s="5"/>
      <c r="G5516" s="5"/>
      <c r="H5516" s="5"/>
    </row>
    <row r="5517" spans="1:8" x14ac:dyDescent="0.2">
      <c r="A5517" s="5" t="s">
        <v>6072</v>
      </c>
      <c r="B5517" s="5" t="s">
        <v>6073</v>
      </c>
      <c r="C5517" s="8">
        <v>15</v>
      </c>
      <c r="D5517" s="5" t="s">
        <v>162</v>
      </c>
      <c r="E5517" s="5"/>
      <c r="G5517" s="5"/>
      <c r="H5517" s="5"/>
    </row>
    <row r="5518" spans="1:8" x14ac:dyDescent="0.2">
      <c r="A5518" s="5" t="s">
        <v>6074</v>
      </c>
      <c r="B5518" s="5" t="s">
        <v>6075</v>
      </c>
      <c r="C5518" s="8">
        <v>10</v>
      </c>
      <c r="D5518" s="5" t="s">
        <v>162</v>
      </c>
      <c r="E5518" s="5"/>
      <c r="G5518" s="5"/>
      <c r="H5518" s="5"/>
    </row>
    <row r="5519" spans="1:8" x14ac:dyDescent="0.2">
      <c r="A5519" s="5" t="s">
        <v>6076</v>
      </c>
      <c r="B5519" s="5" t="s">
        <v>6077</v>
      </c>
      <c r="C5519" s="8">
        <v>6</v>
      </c>
      <c r="D5519" s="5" t="s">
        <v>162</v>
      </c>
      <c r="E5519" s="5"/>
      <c r="G5519" s="5"/>
      <c r="H5519" s="5"/>
    </row>
    <row r="5520" spans="1:8" x14ac:dyDescent="0.2">
      <c r="A5520" s="5" t="s">
        <v>6078</v>
      </c>
      <c r="B5520" s="5" t="s">
        <v>6079</v>
      </c>
      <c r="C5520" s="8">
        <v>10</v>
      </c>
      <c r="D5520" s="5" t="s">
        <v>162</v>
      </c>
      <c r="E5520" s="5"/>
      <c r="G5520" s="5"/>
      <c r="H5520" s="5"/>
    </row>
    <row r="5521" spans="1:8" x14ac:dyDescent="0.2">
      <c r="A5521" s="5" t="s">
        <v>6080</v>
      </c>
      <c r="B5521" s="5" t="s">
        <v>6081</v>
      </c>
      <c r="C5521" s="8">
        <v>13</v>
      </c>
      <c r="D5521" s="5" t="s">
        <v>162</v>
      </c>
      <c r="E5521" s="5"/>
      <c r="G5521" s="5"/>
      <c r="H5521" s="5"/>
    </row>
    <row r="5522" spans="1:8" x14ac:dyDescent="0.2">
      <c r="A5522" s="5" t="s">
        <v>6082</v>
      </c>
      <c r="B5522" s="5" t="s">
        <v>6083</v>
      </c>
      <c r="C5522" s="8">
        <v>92</v>
      </c>
      <c r="D5522" s="5" t="s">
        <v>162</v>
      </c>
      <c r="E5522" s="5"/>
      <c r="G5522" s="5"/>
      <c r="H5522" s="5"/>
    </row>
    <row r="5523" spans="1:8" x14ac:dyDescent="0.2">
      <c r="A5523" s="5" t="s">
        <v>6084</v>
      </c>
      <c r="B5523" s="5" t="s">
        <v>6085</v>
      </c>
      <c r="C5523" s="8">
        <v>10</v>
      </c>
      <c r="D5523" s="5" t="s">
        <v>162</v>
      </c>
      <c r="E5523" s="5"/>
      <c r="G5523" s="5"/>
      <c r="H5523" s="5"/>
    </row>
    <row r="5524" spans="1:8" x14ac:dyDescent="0.2">
      <c r="A5524" s="5" t="s">
        <v>6086</v>
      </c>
      <c r="B5524" s="5" t="s">
        <v>6087</v>
      </c>
      <c r="C5524" s="8">
        <v>682</v>
      </c>
      <c r="D5524" s="5" t="s">
        <v>162</v>
      </c>
      <c r="E5524" s="5"/>
      <c r="G5524" s="5"/>
      <c r="H5524" s="5"/>
    </row>
    <row r="5525" spans="1:8" x14ac:dyDescent="0.2">
      <c r="A5525" s="5" t="s">
        <v>6088</v>
      </c>
      <c r="B5525" s="5" t="s">
        <v>6089</v>
      </c>
      <c r="C5525" s="8">
        <v>6</v>
      </c>
      <c r="D5525" s="5" t="s">
        <v>162</v>
      </c>
      <c r="E5525" s="5"/>
      <c r="G5525" s="5"/>
      <c r="H5525" s="5"/>
    </row>
    <row r="5526" spans="1:8" x14ac:dyDescent="0.2">
      <c r="A5526" s="5" t="s">
        <v>6090</v>
      </c>
      <c r="B5526" s="5" t="s">
        <v>6091</v>
      </c>
      <c r="C5526" s="8">
        <v>20</v>
      </c>
      <c r="D5526" s="5" t="s">
        <v>162</v>
      </c>
      <c r="E5526" s="5"/>
      <c r="G5526" s="5"/>
      <c r="H5526" s="5"/>
    </row>
    <row r="5527" spans="1:8" ht="56.25" x14ac:dyDescent="0.2">
      <c r="A5527" s="5" t="s">
        <v>6092</v>
      </c>
      <c r="B5527" s="10" t="s">
        <v>6093</v>
      </c>
      <c r="C5527" s="8">
        <v>65</v>
      </c>
      <c r="D5527" s="5" t="s">
        <v>162</v>
      </c>
      <c r="E5527" s="5"/>
      <c r="G5527" s="5"/>
      <c r="H5527" s="5"/>
    </row>
    <row r="5528" spans="1:8" ht="45" x14ac:dyDescent="0.2">
      <c r="A5528" s="5" t="s">
        <v>6094</v>
      </c>
      <c r="B5528" s="10" t="s">
        <v>6095</v>
      </c>
      <c r="C5528" s="8">
        <v>4</v>
      </c>
      <c r="D5528" s="5" t="s">
        <v>162</v>
      </c>
      <c r="E5528" s="5"/>
      <c r="G5528" s="5"/>
      <c r="H5528" s="5"/>
    </row>
    <row r="5529" spans="1:8" ht="33.75" x14ac:dyDescent="0.2">
      <c r="A5529" s="5" t="s">
        <v>6096</v>
      </c>
      <c r="B5529" s="10" t="s">
        <v>6097</v>
      </c>
      <c r="C5529" s="8">
        <v>1</v>
      </c>
      <c r="D5529" s="5" t="s">
        <v>162</v>
      </c>
      <c r="E5529" s="5"/>
      <c r="G5529" s="5"/>
      <c r="H5529" s="5"/>
    </row>
    <row r="5530" spans="1:8" x14ac:dyDescent="0.2">
      <c r="A5530" s="5"/>
      <c r="B5530" s="5" t="s">
        <v>6098</v>
      </c>
      <c r="C5530" s="5"/>
      <c r="D5530" s="5" t="s">
        <v>322</v>
      </c>
      <c r="E5530" s="5"/>
      <c r="G5530" s="5"/>
      <c r="H5530" s="5"/>
    </row>
    <row r="5531" spans="1:8" x14ac:dyDescent="0.2">
      <c r="A5531" s="5" t="s">
        <v>6099</v>
      </c>
      <c r="B5531" s="5" t="s">
        <v>6100</v>
      </c>
      <c r="C5531" s="8">
        <v>2</v>
      </c>
      <c r="D5531" s="5" t="s">
        <v>162</v>
      </c>
      <c r="E5531" s="5"/>
      <c r="G5531" s="5"/>
      <c r="H5531" s="5"/>
    </row>
    <row r="5532" spans="1:8" x14ac:dyDescent="0.2">
      <c r="A5532" s="5" t="s">
        <v>6101</v>
      </c>
      <c r="B5532" s="5" t="s">
        <v>6102</v>
      </c>
      <c r="C5532" s="8">
        <v>1</v>
      </c>
      <c r="D5532" s="5" t="s">
        <v>162</v>
      </c>
      <c r="E5532" s="5"/>
      <c r="G5532" s="5"/>
      <c r="H5532" s="5"/>
    </row>
    <row r="5533" spans="1:8" x14ac:dyDescent="0.2">
      <c r="A5533" s="5"/>
      <c r="B5533" s="5" t="s">
        <v>6103</v>
      </c>
      <c r="C5533" s="5"/>
      <c r="D5533" s="5" t="s">
        <v>15</v>
      </c>
      <c r="E5533" s="5"/>
      <c r="G5533" s="5"/>
      <c r="H5533" s="5"/>
    </row>
    <row r="5534" spans="1:8" x14ac:dyDescent="0.2">
      <c r="A5534" s="5" t="s">
        <v>6104</v>
      </c>
      <c r="B5534" s="5" t="s">
        <v>6105</v>
      </c>
      <c r="C5534" s="8">
        <v>112</v>
      </c>
      <c r="D5534" s="5" t="s">
        <v>155</v>
      </c>
      <c r="E5534" s="5"/>
      <c r="G5534" s="5"/>
      <c r="H5534" s="5"/>
    </row>
    <row r="5535" spans="1:8" x14ac:dyDescent="0.2">
      <c r="A5535" s="5" t="s">
        <v>6106</v>
      </c>
      <c r="B5535" s="5" t="s">
        <v>6107</v>
      </c>
      <c r="C5535" s="8">
        <v>18</v>
      </c>
      <c r="D5535" s="5" t="s">
        <v>42</v>
      </c>
      <c r="E5535" s="5"/>
      <c r="G5535" s="5"/>
      <c r="H5535" s="5"/>
    </row>
    <row r="5536" spans="1:8" x14ac:dyDescent="0.2">
      <c r="A5536" s="5" t="s">
        <v>6108</v>
      </c>
      <c r="B5536" s="5" t="s">
        <v>6109</v>
      </c>
      <c r="C5536" s="8">
        <v>39</v>
      </c>
      <c r="D5536" s="5" t="s">
        <v>42</v>
      </c>
      <c r="E5536" s="5"/>
      <c r="G5536" s="5"/>
      <c r="H5536" s="5"/>
    </row>
    <row r="5537" spans="1:8" x14ac:dyDescent="0.2">
      <c r="A5537" s="5" t="s">
        <v>6110</v>
      </c>
      <c r="B5537" s="5" t="s">
        <v>6111</v>
      </c>
      <c r="C5537" s="8">
        <v>58</v>
      </c>
      <c r="D5537" s="5" t="s">
        <v>42</v>
      </c>
      <c r="E5537" s="5"/>
      <c r="G5537" s="5"/>
      <c r="H5537" s="5"/>
    </row>
    <row r="5538" spans="1:8" x14ac:dyDescent="0.2">
      <c r="A5538" s="5" t="s">
        <v>6112</v>
      </c>
      <c r="B5538" s="5" t="s">
        <v>6113</v>
      </c>
      <c r="C5538" s="8">
        <v>110</v>
      </c>
      <c r="D5538" s="5" t="s">
        <v>42</v>
      </c>
      <c r="E5538" s="5"/>
      <c r="G5538" s="5"/>
      <c r="H5538" s="5"/>
    </row>
    <row r="5539" spans="1:8" x14ac:dyDescent="0.2">
      <c r="A5539" s="5" t="s">
        <v>6114</v>
      </c>
      <c r="B5539" s="5" t="s">
        <v>6115</v>
      </c>
      <c r="C5539" s="8">
        <v>207</v>
      </c>
      <c r="D5539" s="5" t="s">
        <v>42</v>
      </c>
      <c r="E5539" s="5"/>
      <c r="G5539" s="5"/>
      <c r="H5539" s="5"/>
    </row>
    <row r="5540" spans="1:8" x14ac:dyDescent="0.2">
      <c r="A5540" s="5"/>
      <c r="B5540" s="5" t="s">
        <v>6116</v>
      </c>
      <c r="C5540" s="5"/>
      <c r="D5540" s="5" t="s">
        <v>15</v>
      </c>
      <c r="E5540" s="5"/>
      <c r="G5540" s="5"/>
      <c r="H5540" s="5"/>
    </row>
    <row r="5541" spans="1:8" x14ac:dyDescent="0.2">
      <c r="A5541" s="5" t="s">
        <v>6117</v>
      </c>
      <c r="B5541" s="5" t="s">
        <v>6118</v>
      </c>
      <c r="C5541" s="8">
        <v>208</v>
      </c>
      <c r="D5541" s="5" t="s">
        <v>42</v>
      </c>
      <c r="E5541" s="5"/>
      <c r="G5541" s="5"/>
      <c r="H5541" s="5"/>
    </row>
    <row r="5542" spans="1:8" x14ac:dyDescent="0.2">
      <c r="A5542" s="5"/>
      <c r="B5542" s="5" t="s">
        <v>53</v>
      </c>
      <c r="C5542" s="5"/>
      <c r="D5542" s="5" t="s">
        <v>13</v>
      </c>
      <c r="E5542" s="5"/>
      <c r="G5542" s="5"/>
      <c r="H5542" s="5"/>
    </row>
    <row r="5543" spans="1:8" x14ac:dyDescent="0.2">
      <c r="A5543" s="5"/>
      <c r="B5543" s="5" t="s">
        <v>5961</v>
      </c>
      <c r="C5543" s="5"/>
      <c r="D5543" s="5" t="s">
        <v>15</v>
      </c>
      <c r="E5543" s="5"/>
      <c r="G5543" s="5"/>
      <c r="H5543" s="5"/>
    </row>
    <row r="5544" spans="1:8" x14ac:dyDescent="0.2">
      <c r="A5544" s="5"/>
      <c r="B5544" s="5" t="s">
        <v>5994</v>
      </c>
      <c r="C5544" s="5"/>
      <c r="D5544" s="5" t="s">
        <v>322</v>
      </c>
      <c r="E5544" s="5"/>
      <c r="G5544" s="5"/>
      <c r="H5544" s="5"/>
    </row>
    <row r="5545" spans="1:8" x14ac:dyDescent="0.2">
      <c r="A5545" s="5" t="s">
        <v>6119</v>
      </c>
      <c r="B5545" s="5" t="s">
        <v>5996</v>
      </c>
      <c r="C5545" s="8">
        <v>16</v>
      </c>
      <c r="D5545" s="5" t="s">
        <v>368</v>
      </c>
      <c r="E5545" s="5"/>
      <c r="G5545" s="5"/>
      <c r="H5545" s="5"/>
    </row>
    <row r="5546" spans="1:8" x14ac:dyDescent="0.2">
      <c r="A5546" s="5" t="s">
        <v>6120</v>
      </c>
      <c r="B5546" s="5" t="s">
        <v>5998</v>
      </c>
      <c r="C5546" s="8">
        <v>0.224</v>
      </c>
      <c r="D5546" s="5" t="s">
        <v>382</v>
      </c>
      <c r="E5546" s="5"/>
      <c r="G5546" s="5"/>
      <c r="H5546" s="5"/>
    </row>
    <row r="5547" spans="1:8" x14ac:dyDescent="0.2">
      <c r="A5547" s="5" t="s">
        <v>6121</v>
      </c>
      <c r="B5547" s="5" t="s">
        <v>6000</v>
      </c>
      <c r="C5547" s="8">
        <v>106</v>
      </c>
      <c r="D5547" s="5" t="s">
        <v>155</v>
      </c>
      <c r="E5547" s="5"/>
      <c r="G5547" s="5"/>
      <c r="H5547" s="5"/>
    </row>
    <row r="5548" spans="1:8" x14ac:dyDescent="0.2">
      <c r="A5548" s="5"/>
      <c r="B5548" s="5" t="s">
        <v>6012</v>
      </c>
      <c r="C5548" s="5"/>
      <c r="D5548" s="5" t="s">
        <v>322</v>
      </c>
      <c r="E5548" s="5"/>
      <c r="G5548" s="5"/>
      <c r="H5548" s="5"/>
    </row>
    <row r="5549" spans="1:8" x14ac:dyDescent="0.2">
      <c r="A5549" s="5" t="s">
        <v>6122</v>
      </c>
      <c r="B5549" s="5" t="s">
        <v>6014</v>
      </c>
      <c r="C5549" s="8">
        <v>13</v>
      </c>
      <c r="D5549" s="5" t="s">
        <v>155</v>
      </c>
      <c r="E5549" s="5"/>
      <c r="G5549" s="5"/>
      <c r="H5549" s="5"/>
    </row>
    <row r="5550" spans="1:8" x14ac:dyDescent="0.2">
      <c r="A5550" s="5" t="s">
        <v>6123</v>
      </c>
      <c r="B5550" s="5" t="s">
        <v>6124</v>
      </c>
      <c r="C5550" s="8">
        <v>17</v>
      </c>
      <c r="D5550" s="5" t="s">
        <v>155</v>
      </c>
      <c r="E5550" s="5"/>
      <c r="G5550" s="5"/>
      <c r="H5550" s="5"/>
    </row>
    <row r="5551" spans="1:8" x14ac:dyDescent="0.2">
      <c r="A5551" s="5" t="s">
        <v>6125</v>
      </c>
      <c r="B5551" s="5" t="s">
        <v>6126</v>
      </c>
      <c r="C5551" s="8">
        <v>13</v>
      </c>
      <c r="D5551" s="5" t="s">
        <v>155</v>
      </c>
      <c r="E5551" s="5"/>
      <c r="G5551" s="5"/>
      <c r="H5551" s="5"/>
    </row>
    <row r="5552" spans="1:8" x14ac:dyDescent="0.2">
      <c r="A5552" s="5"/>
      <c r="B5552" s="5" t="s">
        <v>6017</v>
      </c>
      <c r="C5552" s="5"/>
      <c r="D5552" s="5" t="s">
        <v>322</v>
      </c>
      <c r="E5552" s="5"/>
      <c r="G5552" s="5"/>
      <c r="H5552" s="5"/>
    </row>
    <row r="5553" spans="1:8" x14ac:dyDescent="0.2">
      <c r="A5553" s="5" t="s">
        <v>6127</v>
      </c>
      <c r="B5553" s="5" t="s">
        <v>6019</v>
      </c>
      <c r="C5553" s="8">
        <v>87</v>
      </c>
      <c r="D5553" s="5" t="s">
        <v>42</v>
      </c>
      <c r="E5553" s="5"/>
      <c r="G5553" s="5"/>
      <c r="H5553" s="5"/>
    </row>
    <row r="5554" spans="1:8" x14ac:dyDescent="0.2">
      <c r="A5554" s="5" t="s">
        <v>6128</v>
      </c>
      <c r="B5554" s="5" t="s">
        <v>6021</v>
      </c>
      <c r="C5554" s="8">
        <v>87</v>
      </c>
      <c r="D5554" s="5" t="s">
        <v>42</v>
      </c>
      <c r="E5554" s="5"/>
      <c r="G5554" s="5"/>
      <c r="H5554" s="5"/>
    </row>
    <row r="5555" spans="1:8" x14ac:dyDescent="0.2">
      <c r="A5555" s="5" t="s">
        <v>6129</v>
      </c>
      <c r="B5555" s="5" t="s">
        <v>6023</v>
      </c>
      <c r="C5555" s="8">
        <v>87</v>
      </c>
      <c r="D5555" s="5" t="s">
        <v>42</v>
      </c>
      <c r="E5555" s="5"/>
      <c r="G5555" s="5"/>
      <c r="H5555" s="5"/>
    </row>
    <row r="5556" spans="1:8" x14ac:dyDescent="0.2">
      <c r="A5556" s="5" t="s">
        <v>6130</v>
      </c>
      <c r="B5556" s="5" t="s">
        <v>6025</v>
      </c>
      <c r="C5556" s="8">
        <v>20</v>
      </c>
      <c r="D5556" s="5" t="s">
        <v>155</v>
      </c>
      <c r="E5556" s="5"/>
      <c r="G5556" s="5"/>
      <c r="H5556" s="5"/>
    </row>
    <row r="5557" spans="1:8" x14ac:dyDescent="0.2">
      <c r="A5557" s="5" t="s">
        <v>6131</v>
      </c>
      <c r="B5557" s="5" t="s">
        <v>6027</v>
      </c>
      <c r="C5557" s="8">
        <v>11</v>
      </c>
      <c r="D5557" s="5" t="s">
        <v>42</v>
      </c>
      <c r="E5557" s="5"/>
      <c r="G5557" s="5"/>
      <c r="H5557" s="5"/>
    </row>
    <row r="5558" spans="1:8" x14ac:dyDescent="0.2">
      <c r="A5558" s="5" t="s">
        <v>6132</v>
      </c>
      <c r="B5558" s="5" t="s">
        <v>6029</v>
      </c>
      <c r="C5558" s="8">
        <v>11</v>
      </c>
      <c r="D5558" s="5" t="s">
        <v>42</v>
      </c>
      <c r="E5558" s="5"/>
      <c r="G5558" s="5"/>
      <c r="H5558" s="5"/>
    </row>
    <row r="5559" spans="1:8" x14ac:dyDescent="0.2">
      <c r="A5559" s="5" t="s">
        <v>6133</v>
      </c>
      <c r="B5559" s="5" t="s">
        <v>6031</v>
      </c>
      <c r="C5559" s="8">
        <v>11</v>
      </c>
      <c r="D5559" s="5" t="s">
        <v>42</v>
      </c>
      <c r="E5559" s="5"/>
      <c r="G5559" s="5"/>
      <c r="H5559" s="5"/>
    </row>
    <row r="5560" spans="1:8" x14ac:dyDescent="0.2">
      <c r="A5560" s="5" t="s">
        <v>6134</v>
      </c>
      <c r="B5560" s="5" t="s">
        <v>6011</v>
      </c>
      <c r="C5560" s="8">
        <v>21</v>
      </c>
      <c r="D5560" s="5" t="s">
        <v>155</v>
      </c>
      <c r="E5560" s="5"/>
      <c r="G5560" s="5"/>
      <c r="H5560" s="5"/>
    </row>
    <row r="5561" spans="1:8" x14ac:dyDescent="0.2">
      <c r="A5561" s="5"/>
      <c r="B5561" s="5" t="s">
        <v>6033</v>
      </c>
      <c r="C5561" s="5"/>
      <c r="D5561" s="5" t="s">
        <v>322</v>
      </c>
      <c r="E5561" s="5"/>
      <c r="G5561" s="5"/>
      <c r="H5561" s="5"/>
    </row>
    <row r="5562" spans="1:8" x14ac:dyDescent="0.2">
      <c r="A5562" s="5" t="s">
        <v>6135</v>
      </c>
      <c r="B5562" s="5" t="s">
        <v>6035</v>
      </c>
      <c r="C5562" s="8">
        <v>11</v>
      </c>
      <c r="D5562" s="5" t="s">
        <v>368</v>
      </c>
      <c r="E5562" s="5"/>
      <c r="G5562" s="5"/>
      <c r="H5562" s="5"/>
    </row>
    <row r="5563" spans="1:8" x14ac:dyDescent="0.2">
      <c r="A5563" s="5" t="s">
        <v>6136</v>
      </c>
      <c r="B5563" s="5" t="s">
        <v>6037</v>
      </c>
      <c r="C5563" s="8">
        <v>35</v>
      </c>
      <c r="D5563" s="5" t="s">
        <v>42</v>
      </c>
      <c r="E5563" s="5"/>
      <c r="G5563" s="5"/>
      <c r="H5563" s="5"/>
    </row>
    <row r="5564" spans="1:8" x14ac:dyDescent="0.2">
      <c r="A5564" s="5" t="s">
        <v>6137</v>
      </c>
      <c r="B5564" s="5" t="s">
        <v>6039</v>
      </c>
      <c r="C5564" s="8">
        <v>11</v>
      </c>
      <c r="D5564" s="5" t="s">
        <v>42</v>
      </c>
      <c r="E5564" s="5"/>
      <c r="G5564" s="5"/>
      <c r="H5564" s="5"/>
    </row>
    <row r="5565" spans="1:8" x14ac:dyDescent="0.2">
      <c r="A5565" s="5" t="s">
        <v>6138</v>
      </c>
      <c r="B5565" s="5" t="s">
        <v>6041</v>
      </c>
      <c r="C5565" s="8">
        <v>2</v>
      </c>
      <c r="D5565" s="5" t="s">
        <v>368</v>
      </c>
      <c r="E5565" s="5"/>
      <c r="G5565" s="5"/>
      <c r="H5565" s="5"/>
    </row>
    <row r="5566" spans="1:8" x14ac:dyDescent="0.2">
      <c r="A5566" s="5" t="s">
        <v>6139</v>
      </c>
      <c r="B5566" s="5" t="s">
        <v>6140</v>
      </c>
      <c r="C5566" s="8">
        <v>0.57799999999999996</v>
      </c>
      <c r="D5566" s="5" t="s">
        <v>382</v>
      </c>
      <c r="E5566" s="5"/>
      <c r="G5566" s="5"/>
      <c r="H5566" s="5"/>
    </row>
    <row r="5567" spans="1:8" x14ac:dyDescent="0.2">
      <c r="A5567" s="5" t="s">
        <v>6141</v>
      </c>
      <c r="B5567" s="5" t="s">
        <v>6009</v>
      </c>
      <c r="C5567" s="8">
        <v>11</v>
      </c>
      <c r="D5567" s="5" t="s">
        <v>42</v>
      </c>
      <c r="E5567" s="5"/>
      <c r="G5567" s="5"/>
      <c r="H5567" s="5"/>
    </row>
    <row r="5568" spans="1:8" x14ac:dyDescent="0.2">
      <c r="A5568" s="5" t="s">
        <v>6142</v>
      </c>
      <c r="B5568" s="5" t="s">
        <v>6011</v>
      </c>
      <c r="C5568" s="8">
        <v>56</v>
      </c>
      <c r="D5568" s="5" t="s">
        <v>155</v>
      </c>
      <c r="E5568" s="5"/>
      <c r="G5568" s="5"/>
      <c r="H5568" s="5"/>
    </row>
    <row r="5569" spans="1:8" x14ac:dyDescent="0.2">
      <c r="A5569" s="5"/>
      <c r="B5569" s="5" t="s">
        <v>6046</v>
      </c>
      <c r="C5569" s="5"/>
      <c r="D5569" s="5" t="s">
        <v>322</v>
      </c>
      <c r="E5569" s="5"/>
      <c r="G5569" s="5"/>
      <c r="H5569" s="5"/>
    </row>
    <row r="5570" spans="1:8" x14ac:dyDescent="0.2">
      <c r="A5570" s="5" t="s">
        <v>6143</v>
      </c>
      <c r="B5570" s="5" t="s">
        <v>6144</v>
      </c>
      <c r="C5570" s="8">
        <v>3</v>
      </c>
      <c r="D5570" s="5" t="s">
        <v>162</v>
      </c>
      <c r="E5570" s="5"/>
      <c r="G5570" s="5"/>
      <c r="H5570" s="5"/>
    </row>
    <row r="5571" spans="1:8" x14ac:dyDescent="0.2">
      <c r="A5571" s="5" t="s">
        <v>6145</v>
      </c>
      <c r="B5571" s="5" t="s">
        <v>6146</v>
      </c>
      <c r="C5571" s="8">
        <v>3</v>
      </c>
      <c r="D5571" s="5" t="s">
        <v>162</v>
      </c>
      <c r="E5571" s="5"/>
      <c r="G5571" s="5"/>
      <c r="H5571" s="5"/>
    </row>
    <row r="5572" spans="1:8" x14ac:dyDescent="0.2">
      <c r="A5572" s="5" t="s">
        <v>6147</v>
      </c>
      <c r="B5572" s="5" t="s">
        <v>6148</v>
      </c>
      <c r="C5572" s="8">
        <v>2</v>
      </c>
      <c r="D5572" s="5" t="s">
        <v>162</v>
      </c>
      <c r="E5572" s="5"/>
      <c r="G5572" s="5"/>
      <c r="H5572" s="5"/>
    </row>
    <row r="5573" spans="1:8" x14ac:dyDescent="0.2">
      <c r="A5573" s="5" t="s">
        <v>6149</v>
      </c>
      <c r="B5573" s="5" t="s">
        <v>6058</v>
      </c>
      <c r="C5573" s="8">
        <v>2</v>
      </c>
      <c r="D5573" s="5" t="s">
        <v>162</v>
      </c>
      <c r="E5573" s="5"/>
      <c r="G5573" s="5"/>
      <c r="H5573" s="5"/>
    </row>
    <row r="5574" spans="1:8" x14ac:dyDescent="0.2">
      <c r="A5574" s="5" t="s">
        <v>6150</v>
      </c>
      <c r="B5574" s="5" t="s">
        <v>6062</v>
      </c>
      <c r="C5574" s="8">
        <v>65</v>
      </c>
      <c r="D5574" s="5" t="s">
        <v>155</v>
      </c>
      <c r="E5574" s="5"/>
      <c r="G5574" s="5"/>
      <c r="H5574" s="5"/>
    </row>
    <row r="5575" spans="1:8" x14ac:dyDescent="0.2">
      <c r="A5575" s="5"/>
      <c r="B5575" s="5" t="s">
        <v>6063</v>
      </c>
      <c r="C5575" s="5"/>
      <c r="D5575" s="5" t="s">
        <v>322</v>
      </c>
      <c r="E5575" s="5"/>
      <c r="G5575" s="5"/>
      <c r="H5575" s="5"/>
    </row>
    <row r="5576" spans="1:8" x14ac:dyDescent="0.2">
      <c r="A5576" s="5" t="s">
        <v>6151</v>
      </c>
      <c r="B5576" s="5" t="s">
        <v>6065</v>
      </c>
      <c r="C5576" s="8">
        <v>117</v>
      </c>
      <c r="D5576" s="5" t="s">
        <v>155</v>
      </c>
      <c r="E5576" s="5"/>
      <c r="G5576" s="5"/>
      <c r="H5576" s="5"/>
    </row>
    <row r="5577" spans="1:8" x14ac:dyDescent="0.2">
      <c r="A5577" s="5" t="s">
        <v>6152</v>
      </c>
      <c r="B5577" s="5" t="s">
        <v>6067</v>
      </c>
      <c r="C5577" s="8">
        <v>80</v>
      </c>
      <c r="D5577" s="5" t="s">
        <v>155</v>
      </c>
      <c r="E5577" s="5"/>
      <c r="G5577" s="5"/>
      <c r="H5577" s="5"/>
    </row>
    <row r="5578" spans="1:8" x14ac:dyDescent="0.2">
      <c r="A5578" s="5" t="s">
        <v>6153</v>
      </c>
      <c r="B5578" s="5" t="s">
        <v>6154</v>
      </c>
      <c r="C5578" s="8">
        <v>7</v>
      </c>
      <c r="D5578" s="5" t="s">
        <v>162</v>
      </c>
      <c r="E5578" s="5"/>
      <c r="G5578" s="5"/>
      <c r="H5578" s="5"/>
    </row>
    <row r="5579" spans="1:8" x14ac:dyDescent="0.2">
      <c r="A5579" s="5" t="s">
        <v>6155</v>
      </c>
      <c r="B5579" s="5" t="s">
        <v>6156</v>
      </c>
      <c r="C5579" s="8">
        <v>2</v>
      </c>
      <c r="D5579" s="5" t="s">
        <v>162</v>
      </c>
      <c r="E5579" s="5"/>
      <c r="G5579" s="5"/>
      <c r="H5579" s="5"/>
    </row>
    <row r="5580" spans="1:8" x14ac:dyDescent="0.2">
      <c r="A5580" s="5" t="s">
        <v>6157</v>
      </c>
      <c r="B5580" s="5" t="s">
        <v>6158</v>
      </c>
      <c r="C5580" s="8">
        <v>4</v>
      </c>
      <c r="D5580" s="5" t="s">
        <v>42</v>
      </c>
      <c r="E5580" s="5"/>
      <c r="G5580" s="5"/>
      <c r="H5580" s="5"/>
    </row>
    <row r="5581" spans="1:8" x14ac:dyDescent="0.2">
      <c r="A5581" s="5" t="s">
        <v>6159</v>
      </c>
      <c r="B5581" s="5" t="s">
        <v>6069</v>
      </c>
      <c r="C5581" s="8">
        <v>7</v>
      </c>
      <c r="D5581" s="5" t="s">
        <v>155</v>
      </c>
      <c r="E5581" s="5"/>
      <c r="G5581" s="5"/>
      <c r="H5581" s="5"/>
    </row>
    <row r="5582" spans="1:8" x14ac:dyDescent="0.2">
      <c r="A5582" s="5"/>
      <c r="B5582" s="5" t="s">
        <v>6070</v>
      </c>
      <c r="C5582" s="5"/>
      <c r="D5582" s="5" t="s">
        <v>15</v>
      </c>
      <c r="E5582" s="5"/>
      <c r="G5582" s="5"/>
      <c r="H5582" s="5"/>
    </row>
    <row r="5583" spans="1:8" x14ac:dyDescent="0.2">
      <c r="A5583" s="5"/>
      <c r="B5583" s="5" t="s">
        <v>6071</v>
      </c>
      <c r="C5583" s="5"/>
      <c r="D5583" s="5" t="s">
        <v>322</v>
      </c>
      <c r="E5583" s="5"/>
      <c r="G5583" s="5"/>
      <c r="H5583" s="5"/>
    </row>
    <row r="5584" spans="1:8" x14ac:dyDescent="0.2">
      <c r="A5584" s="5" t="s">
        <v>6160</v>
      </c>
      <c r="B5584" s="5" t="s">
        <v>6161</v>
      </c>
      <c r="C5584" s="8">
        <v>90</v>
      </c>
      <c r="D5584" s="5" t="s">
        <v>162</v>
      </c>
      <c r="E5584" s="5"/>
      <c r="G5584" s="5"/>
      <c r="H5584" s="5"/>
    </row>
    <row r="5585" spans="1:8" x14ac:dyDescent="0.2">
      <c r="A5585" s="5" t="s">
        <v>6162</v>
      </c>
      <c r="B5585" s="5" t="s">
        <v>6075</v>
      </c>
      <c r="C5585" s="8">
        <v>6</v>
      </c>
      <c r="D5585" s="5" t="s">
        <v>162</v>
      </c>
      <c r="E5585" s="5"/>
      <c r="G5585" s="5"/>
      <c r="H5585" s="5"/>
    </row>
    <row r="5586" spans="1:8" x14ac:dyDescent="0.2">
      <c r="A5586" s="5" t="s">
        <v>6163</v>
      </c>
      <c r="B5586" s="5" t="s">
        <v>6164</v>
      </c>
      <c r="C5586" s="8">
        <v>40</v>
      </c>
      <c r="D5586" s="5" t="s">
        <v>162</v>
      </c>
      <c r="E5586" s="5"/>
      <c r="G5586" s="5"/>
      <c r="H5586" s="5"/>
    </row>
    <row r="5587" spans="1:8" x14ac:dyDescent="0.2">
      <c r="A5587" s="5" t="s">
        <v>6165</v>
      </c>
      <c r="B5587" s="5" t="s">
        <v>6079</v>
      </c>
      <c r="C5587" s="8">
        <v>30</v>
      </c>
      <c r="D5587" s="5" t="s">
        <v>162</v>
      </c>
      <c r="E5587" s="5"/>
      <c r="G5587" s="5"/>
      <c r="H5587" s="5"/>
    </row>
    <row r="5588" spans="1:8" x14ac:dyDescent="0.2">
      <c r="A5588" s="5" t="s">
        <v>6166</v>
      </c>
      <c r="B5588" s="5" t="s">
        <v>6167</v>
      </c>
      <c r="C5588" s="8">
        <v>80</v>
      </c>
      <c r="D5588" s="5" t="s">
        <v>162</v>
      </c>
      <c r="E5588" s="5"/>
      <c r="G5588" s="5"/>
      <c r="H5588" s="5"/>
    </row>
    <row r="5589" spans="1:8" x14ac:dyDescent="0.2">
      <c r="A5589" s="5" t="s">
        <v>6168</v>
      </c>
      <c r="B5589" s="5" t="s">
        <v>6169</v>
      </c>
      <c r="C5589" s="8">
        <v>90</v>
      </c>
      <c r="D5589" s="5" t="s">
        <v>162</v>
      </c>
      <c r="E5589" s="5"/>
      <c r="G5589" s="5"/>
      <c r="H5589" s="5"/>
    </row>
    <row r="5590" spans="1:8" x14ac:dyDescent="0.2">
      <c r="A5590" s="5" t="s">
        <v>6170</v>
      </c>
      <c r="B5590" s="5" t="s">
        <v>6081</v>
      </c>
      <c r="C5590" s="8">
        <v>50</v>
      </c>
      <c r="D5590" s="5" t="s">
        <v>162</v>
      </c>
      <c r="E5590" s="5"/>
      <c r="G5590" s="5"/>
      <c r="H5590" s="5"/>
    </row>
    <row r="5591" spans="1:8" x14ac:dyDescent="0.2">
      <c r="A5591" s="5" t="s">
        <v>6171</v>
      </c>
      <c r="B5591" s="5" t="s">
        <v>6083</v>
      </c>
      <c r="C5591" s="8">
        <v>130</v>
      </c>
      <c r="D5591" s="5" t="s">
        <v>162</v>
      </c>
      <c r="E5591" s="5"/>
      <c r="G5591" s="5"/>
      <c r="H5591" s="5"/>
    </row>
    <row r="5592" spans="1:8" x14ac:dyDescent="0.2">
      <c r="A5592" s="5" t="s">
        <v>6172</v>
      </c>
      <c r="B5592" s="5" t="s">
        <v>6173</v>
      </c>
      <c r="C5592" s="8">
        <v>58</v>
      </c>
      <c r="D5592" s="5" t="s">
        <v>162</v>
      </c>
      <c r="E5592" s="5"/>
      <c r="G5592" s="5"/>
      <c r="H5592" s="5"/>
    </row>
    <row r="5593" spans="1:8" x14ac:dyDescent="0.2">
      <c r="A5593" s="5" t="s">
        <v>6174</v>
      </c>
      <c r="B5593" s="5" t="s">
        <v>6175</v>
      </c>
      <c r="C5593" s="8">
        <v>30</v>
      </c>
      <c r="D5593" s="5" t="s">
        <v>162</v>
      </c>
      <c r="E5593" s="5"/>
      <c r="G5593" s="5"/>
      <c r="H5593" s="5"/>
    </row>
    <row r="5594" spans="1:8" x14ac:dyDescent="0.2">
      <c r="A5594" s="5" t="s">
        <v>6176</v>
      </c>
      <c r="B5594" s="5" t="s">
        <v>6177</v>
      </c>
      <c r="C5594" s="8">
        <v>50</v>
      </c>
      <c r="D5594" s="5" t="s">
        <v>162</v>
      </c>
      <c r="E5594" s="5"/>
      <c r="G5594" s="5"/>
      <c r="H5594" s="5"/>
    </row>
    <row r="5595" spans="1:8" x14ac:dyDescent="0.2">
      <c r="A5595" s="5" t="s">
        <v>6178</v>
      </c>
      <c r="B5595" s="5" t="s">
        <v>6087</v>
      </c>
      <c r="C5595" s="8">
        <v>521</v>
      </c>
      <c r="D5595" s="5" t="s">
        <v>162</v>
      </c>
      <c r="E5595" s="5"/>
      <c r="G5595" s="5"/>
      <c r="H5595" s="5"/>
    </row>
    <row r="5596" spans="1:8" ht="45" x14ac:dyDescent="0.2">
      <c r="A5596" s="5" t="s">
        <v>6179</v>
      </c>
      <c r="B5596" s="10" t="s">
        <v>6180</v>
      </c>
      <c r="C5596" s="8">
        <v>20</v>
      </c>
      <c r="D5596" s="5" t="s">
        <v>162</v>
      </c>
      <c r="E5596" s="5"/>
      <c r="G5596" s="5"/>
      <c r="H5596" s="5"/>
    </row>
    <row r="5597" spans="1:8" ht="56.25" x14ac:dyDescent="0.2">
      <c r="A5597" s="5" t="s">
        <v>6181</v>
      </c>
      <c r="B5597" s="10" t="s">
        <v>6093</v>
      </c>
      <c r="C5597" s="8">
        <v>193</v>
      </c>
      <c r="D5597" s="5" t="s">
        <v>162</v>
      </c>
      <c r="E5597" s="5"/>
      <c r="G5597" s="5"/>
      <c r="H5597" s="5"/>
    </row>
    <row r="5598" spans="1:8" x14ac:dyDescent="0.2">
      <c r="A5598" s="5"/>
      <c r="B5598" s="5" t="s">
        <v>6098</v>
      </c>
      <c r="C5598" s="5"/>
      <c r="D5598" s="5" t="s">
        <v>322</v>
      </c>
      <c r="E5598" s="5"/>
      <c r="G5598" s="5"/>
      <c r="H5598" s="5"/>
    </row>
    <row r="5599" spans="1:8" x14ac:dyDescent="0.2">
      <c r="A5599" s="5" t="s">
        <v>6182</v>
      </c>
      <c r="B5599" s="5" t="s">
        <v>6183</v>
      </c>
      <c r="C5599" s="8">
        <v>1</v>
      </c>
      <c r="D5599" s="5" t="s">
        <v>162</v>
      </c>
      <c r="E5599" s="5"/>
      <c r="G5599" s="5"/>
      <c r="H5599" s="5"/>
    </row>
    <row r="5600" spans="1:8" x14ac:dyDescent="0.2">
      <c r="A5600" s="5" t="s">
        <v>6184</v>
      </c>
      <c r="B5600" s="5" t="s">
        <v>6185</v>
      </c>
      <c r="C5600" s="8">
        <v>1</v>
      </c>
      <c r="D5600" s="5" t="s">
        <v>162</v>
      </c>
      <c r="E5600" s="5"/>
      <c r="G5600" s="5"/>
      <c r="H5600" s="5"/>
    </row>
    <row r="5601" spans="1:9" x14ac:dyDescent="0.2">
      <c r="A5601" s="5"/>
      <c r="B5601" s="5" t="s">
        <v>6103</v>
      </c>
      <c r="C5601" s="5"/>
      <c r="D5601" s="5" t="s">
        <v>15</v>
      </c>
      <c r="E5601" s="5"/>
      <c r="G5601" s="5"/>
      <c r="H5601" s="5"/>
    </row>
    <row r="5602" spans="1:9" x14ac:dyDescent="0.2">
      <c r="A5602" s="5" t="s">
        <v>6186</v>
      </c>
      <c r="B5602" s="5" t="s">
        <v>6105</v>
      </c>
      <c r="C5602" s="8">
        <v>164</v>
      </c>
      <c r="D5602" s="5" t="s">
        <v>155</v>
      </c>
      <c r="E5602" s="5"/>
      <c r="G5602" s="5"/>
      <c r="H5602" s="5"/>
    </row>
    <row r="5603" spans="1:9" x14ac:dyDescent="0.2">
      <c r="A5603" s="5" t="s">
        <v>6187</v>
      </c>
      <c r="B5603" s="5" t="s">
        <v>6107</v>
      </c>
      <c r="C5603" s="8">
        <v>25</v>
      </c>
      <c r="D5603" s="5" t="s">
        <v>42</v>
      </c>
      <c r="E5603" s="5"/>
      <c r="G5603" s="5"/>
      <c r="H5603" s="5"/>
    </row>
    <row r="5604" spans="1:9" x14ac:dyDescent="0.2">
      <c r="A5604" s="5" t="s">
        <v>6188</v>
      </c>
      <c r="B5604" s="5" t="s">
        <v>6109</v>
      </c>
      <c r="C5604" s="8">
        <v>195</v>
      </c>
      <c r="D5604" s="5" t="s">
        <v>42</v>
      </c>
      <c r="E5604" s="5"/>
      <c r="G5604" s="5"/>
      <c r="H5604" s="5"/>
    </row>
    <row r="5605" spans="1:9" x14ac:dyDescent="0.2">
      <c r="A5605" s="5" t="s">
        <v>6189</v>
      </c>
      <c r="B5605" s="5" t="s">
        <v>6111</v>
      </c>
      <c r="C5605" s="8">
        <v>29</v>
      </c>
      <c r="D5605" s="5" t="s">
        <v>42</v>
      </c>
      <c r="E5605" s="5"/>
      <c r="G5605" s="5"/>
      <c r="H5605" s="5"/>
    </row>
    <row r="5606" spans="1:9" x14ac:dyDescent="0.2">
      <c r="A5606" s="5" t="s">
        <v>6190</v>
      </c>
      <c r="B5606" s="5" t="s">
        <v>6113</v>
      </c>
      <c r="C5606" s="8">
        <v>32</v>
      </c>
      <c r="D5606" s="5" t="s">
        <v>42</v>
      </c>
      <c r="E5606" s="5"/>
      <c r="G5606" s="5"/>
      <c r="H5606" s="5"/>
    </row>
    <row r="5607" spans="1:9" x14ac:dyDescent="0.2">
      <c r="A5607" s="5" t="s">
        <v>6191</v>
      </c>
      <c r="B5607" s="5" t="s">
        <v>6115</v>
      </c>
      <c r="C5607" s="8">
        <v>255</v>
      </c>
      <c r="D5607" s="5" t="s">
        <v>42</v>
      </c>
      <c r="E5607" s="5"/>
      <c r="G5607" s="5"/>
      <c r="H5607" s="5"/>
    </row>
    <row r="5608" spans="1:9" x14ac:dyDescent="0.2">
      <c r="A5608" s="5"/>
      <c r="B5608" s="5" t="s">
        <v>6116</v>
      </c>
      <c r="C5608" s="5"/>
      <c r="D5608" s="5" t="s">
        <v>15</v>
      </c>
      <c r="E5608" s="5"/>
      <c r="G5608" s="5"/>
      <c r="H5608" s="5"/>
    </row>
    <row r="5609" spans="1:9" x14ac:dyDescent="0.2">
      <c r="A5609" s="5" t="s">
        <v>6192</v>
      </c>
      <c r="B5609" s="5" t="s">
        <v>6118</v>
      </c>
      <c r="C5609" s="8">
        <v>240</v>
      </c>
      <c r="D5609" s="5" t="s">
        <v>42</v>
      </c>
      <c r="E5609" s="5"/>
      <c r="G5609" s="5"/>
      <c r="H5609" s="5"/>
    </row>
    <row r="5610" spans="1:9" x14ac:dyDescent="0.2">
      <c r="B5610" s="6" t="s">
        <v>6193</v>
      </c>
      <c r="C5610" s="6"/>
      <c r="D5610" s="6"/>
      <c r="E5610" s="6"/>
      <c r="F5610" s="9">
        <f>ROUNDUP(SUM(H5412:H5610),0)</f>
        <v>0</v>
      </c>
      <c r="G5610" s="6"/>
      <c r="I5610" s="9">
        <f>PRODUCT(F5610,G5610)</f>
        <v>0</v>
      </c>
    </row>
    <row r="5612" spans="1:9" x14ac:dyDescent="0.2">
      <c r="A5612" s="6" t="s">
        <v>6194</v>
      </c>
      <c r="B5612" s="6" t="s">
        <v>6195</v>
      </c>
    </row>
    <row r="5613" spans="1:9" x14ac:dyDescent="0.2">
      <c r="A5613" s="5"/>
      <c r="B5613" s="5" t="s">
        <v>64</v>
      </c>
      <c r="C5613" s="5"/>
      <c r="D5613" s="5" t="s">
        <v>13</v>
      </c>
      <c r="E5613" s="5"/>
      <c r="G5613" s="5"/>
      <c r="H5613" s="5"/>
    </row>
    <row r="5614" spans="1:9" x14ac:dyDescent="0.2">
      <c r="A5614" s="5" t="s">
        <v>6196</v>
      </c>
      <c r="B5614" s="5" t="s">
        <v>5922</v>
      </c>
      <c r="C5614" s="5"/>
      <c r="D5614" s="5" t="s">
        <v>18</v>
      </c>
      <c r="E5614" s="5"/>
      <c r="G5614" s="5"/>
      <c r="H5614" s="5"/>
    </row>
    <row r="5615" spans="1:9" x14ac:dyDescent="0.2">
      <c r="A5615" s="5" t="s">
        <v>6197</v>
      </c>
      <c r="B5615" s="5" t="s">
        <v>68</v>
      </c>
      <c r="C5615" s="5"/>
      <c r="D5615" s="5" t="s">
        <v>18</v>
      </c>
      <c r="E5615" s="5"/>
      <c r="G5615" s="5"/>
      <c r="H5615" s="5"/>
    </row>
    <row r="5616" spans="1:9" x14ac:dyDescent="0.2">
      <c r="A5616" s="5"/>
      <c r="B5616" s="5" t="s">
        <v>71</v>
      </c>
      <c r="C5616" s="5"/>
      <c r="D5616" s="5" t="s">
        <v>13</v>
      </c>
      <c r="E5616" s="5"/>
      <c r="G5616" s="5"/>
      <c r="H5616" s="5"/>
    </row>
    <row r="5617" spans="1:8" x14ac:dyDescent="0.2">
      <c r="A5617" s="5" t="s">
        <v>6198</v>
      </c>
      <c r="B5617" s="5" t="s">
        <v>6199</v>
      </c>
      <c r="C5617" s="5"/>
      <c r="D5617" s="5" t="s">
        <v>18</v>
      </c>
      <c r="E5617" s="5"/>
      <c r="G5617" s="5"/>
      <c r="H5617" s="5"/>
    </row>
    <row r="5618" spans="1:8" x14ac:dyDescent="0.2">
      <c r="A5618" s="5" t="s">
        <v>6200</v>
      </c>
      <c r="B5618" s="5" t="s">
        <v>75</v>
      </c>
      <c r="C5618" s="5"/>
      <c r="D5618" s="5" t="s">
        <v>18</v>
      </c>
      <c r="E5618" s="5"/>
      <c r="G5618" s="5"/>
      <c r="H5618" s="5"/>
    </row>
    <row r="5619" spans="1:8" x14ac:dyDescent="0.2">
      <c r="A5619" s="5"/>
      <c r="B5619" s="5" t="s">
        <v>76</v>
      </c>
      <c r="C5619" s="5"/>
      <c r="D5619" s="5" t="s">
        <v>13</v>
      </c>
      <c r="E5619" s="5"/>
      <c r="G5619" s="5"/>
      <c r="H5619" s="5"/>
    </row>
    <row r="5620" spans="1:8" x14ac:dyDescent="0.2">
      <c r="A5620" s="5"/>
      <c r="B5620" s="5" t="s">
        <v>77</v>
      </c>
      <c r="C5620" s="5"/>
      <c r="D5620" s="5" t="s">
        <v>15</v>
      </c>
      <c r="E5620" s="5"/>
      <c r="G5620" s="5"/>
      <c r="H5620" s="5"/>
    </row>
    <row r="5621" spans="1:8" x14ac:dyDescent="0.2">
      <c r="A5621" s="5" t="s">
        <v>6201</v>
      </c>
      <c r="B5621" s="5" t="s">
        <v>5934</v>
      </c>
      <c r="C5621" s="5"/>
      <c r="D5621" s="5" t="s">
        <v>18</v>
      </c>
      <c r="E5621" s="5"/>
      <c r="G5621" s="5"/>
      <c r="H5621" s="5"/>
    </row>
    <row r="5622" spans="1:8" x14ac:dyDescent="0.2">
      <c r="A5622" s="5" t="s">
        <v>6202</v>
      </c>
      <c r="B5622" s="5" t="s">
        <v>191</v>
      </c>
      <c r="C5622" s="5"/>
      <c r="D5622" s="5" t="s">
        <v>18</v>
      </c>
      <c r="E5622" s="5"/>
      <c r="G5622" s="5"/>
      <c r="H5622" s="5"/>
    </row>
    <row r="5623" spans="1:8" x14ac:dyDescent="0.2">
      <c r="A5623" s="5" t="s">
        <v>6203</v>
      </c>
      <c r="B5623" s="5" t="s">
        <v>5937</v>
      </c>
      <c r="C5623" s="5"/>
      <c r="D5623" s="5" t="s">
        <v>18</v>
      </c>
      <c r="E5623" s="5"/>
      <c r="G5623" s="5"/>
      <c r="H5623" s="5"/>
    </row>
    <row r="5624" spans="1:8" x14ac:dyDescent="0.2">
      <c r="A5624" s="5" t="s">
        <v>6204</v>
      </c>
      <c r="B5624" s="5" t="s">
        <v>5939</v>
      </c>
      <c r="C5624" s="5"/>
      <c r="D5624" s="5" t="s">
        <v>18</v>
      </c>
      <c r="E5624" s="5"/>
      <c r="G5624" s="5"/>
      <c r="H5624" s="5"/>
    </row>
    <row r="5625" spans="1:8" x14ac:dyDescent="0.2">
      <c r="A5625" s="5" t="s">
        <v>6205</v>
      </c>
      <c r="B5625" s="5" t="s">
        <v>199</v>
      </c>
      <c r="C5625" s="5"/>
      <c r="D5625" s="5" t="s">
        <v>18</v>
      </c>
      <c r="E5625" s="5"/>
      <c r="G5625" s="5"/>
      <c r="H5625" s="5"/>
    </row>
    <row r="5626" spans="1:8" x14ac:dyDescent="0.2">
      <c r="A5626" s="5" t="s">
        <v>6206</v>
      </c>
      <c r="B5626" s="5" t="s">
        <v>203</v>
      </c>
      <c r="C5626" s="5"/>
      <c r="D5626" s="5" t="s">
        <v>18</v>
      </c>
      <c r="E5626" s="5"/>
      <c r="G5626" s="5"/>
      <c r="H5626" s="5"/>
    </row>
    <row r="5627" spans="1:8" x14ac:dyDescent="0.2">
      <c r="A5627" s="5" t="s">
        <v>6207</v>
      </c>
      <c r="B5627" s="5" t="s">
        <v>208</v>
      </c>
      <c r="C5627" s="5"/>
      <c r="D5627" s="5" t="s">
        <v>18</v>
      </c>
      <c r="E5627" s="5"/>
      <c r="G5627" s="5"/>
      <c r="H5627" s="5"/>
    </row>
    <row r="5628" spans="1:8" x14ac:dyDescent="0.2">
      <c r="A5628" s="5" t="s">
        <v>6208</v>
      </c>
      <c r="B5628" s="5" t="s">
        <v>299</v>
      </c>
      <c r="C5628" s="5"/>
      <c r="D5628" s="5" t="s">
        <v>18</v>
      </c>
      <c r="E5628" s="5"/>
      <c r="G5628" s="5"/>
      <c r="H5628" s="5"/>
    </row>
    <row r="5629" spans="1:8" x14ac:dyDescent="0.2">
      <c r="A5629" s="5"/>
      <c r="B5629" s="5" t="s">
        <v>94</v>
      </c>
      <c r="C5629" s="5"/>
      <c r="D5629" s="5" t="s">
        <v>13</v>
      </c>
      <c r="E5629" s="5"/>
      <c r="G5629" s="5"/>
      <c r="H5629" s="5"/>
    </row>
    <row r="5630" spans="1:8" x14ac:dyDescent="0.2">
      <c r="A5630" s="5" t="s">
        <v>6209</v>
      </c>
      <c r="B5630" s="5" t="s">
        <v>111</v>
      </c>
      <c r="C5630" s="8">
        <v>1</v>
      </c>
      <c r="D5630" s="5" t="s">
        <v>97</v>
      </c>
      <c r="E5630" s="5"/>
      <c r="G5630" s="5"/>
      <c r="H5630" s="5"/>
    </row>
    <row r="5631" spans="1:8" x14ac:dyDescent="0.2">
      <c r="A5631" s="5" t="s">
        <v>6210</v>
      </c>
      <c r="B5631" s="5" t="s">
        <v>113</v>
      </c>
      <c r="C5631" s="8">
        <v>1</v>
      </c>
      <c r="D5631" s="5" t="s">
        <v>97</v>
      </c>
      <c r="E5631" s="5"/>
      <c r="G5631" s="5"/>
      <c r="H5631" s="5"/>
    </row>
    <row r="5632" spans="1:8" x14ac:dyDescent="0.2">
      <c r="A5632" s="5" t="s">
        <v>6211</v>
      </c>
      <c r="B5632" s="5" t="s">
        <v>220</v>
      </c>
      <c r="C5632" s="8">
        <v>1</v>
      </c>
      <c r="D5632" s="5" t="s">
        <v>97</v>
      </c>
      <c r="E5632" s="5"/>
      <c r="G5632" s="5"/>
      <c r="H5632" s="5"/>
    </row>
    <row r="5633" spans="1:8" x14ac:dyDescent="0.2">
      <c r="A5633" s="5" t="s">
        <v>6212</v>
      </c>
      <c r="B5633" s="5" t="s">
        <v>214</v>
      </c>
      <c r="C5633" s="8">
        <v>1</v>
      </c>
      <c r="D5633" s="5" t="s">
        <v>97</v>
      </c>
      <c r="E5633" s="5"/>
      <c r="G5633" s="5"/>
      <c r="H5633" s="5"/>
    </row>
    <row r="5634" spans="1:8" x14ac:dyDescent="0.2">
      <c r="A5634" s="5" t="s">
        <v>6213</v>
      </c>
      <c r="B5634" s="5" t="s">
        <v>587</v>
      </c>
      <c r="C5634" s="8">
        <v>1</v>
      </c>
      <c r="D5634" s="5" t="s">
        <v>97</v>
      </c>
      <c r="E5634" s="5"/>
      <c r="G5634" s="5"/>
      <c r="H5634" s="5"/>
    </row>
    <row r="5635" spans="1:8" x14ac:dyDescent="0.2">
      <c r="A5635" s="5" t="s">
        <v>6214</v>
      </c>
      <c r="B5635" s="5" t="s">
        <v>589</v>
      </c>
      <c r="C5635" s="8">
        <v>1</v>
      </c>
      <c r="D5635" s="5" t="s">
        <v>97</v>
      </c>
      <c r="E5635" s="5"/>
      <c r="G5635" s="5"/>
      <c r="H5635" s="5"/>
    </row>
    <row r="5636" spans="1:8" x14ac:dyDescent="0.2">
      <c r="A5636" s="5" t="s">
        <v>6215</v>
      </c>
      <c r="B5636" s="5" t="s">
        <v>5952</v>
      </c>
      <c r="C5636" s="8">
        <v>1</v>
      </c>
      <c r="D5636" s="5" t="s">
        <v>97</v>
      </c>
      <c r="E5636" s="5"/>
      <c r="G5636" s="5"/>
      <c r="H5636" s="5"/>
    </row>
    <row r="5637" spans="1:8" x14ac:dyDescent="0.2">
      <c r="A5637" s="5" t="s">
        <v>6216</v>
      </c>
      <c r="B5637" s="5" t="s">
        <v>591</v>
      </c>
      <c r="C5637" s="8">
        <v>1</v>
      </c>
      <c r="D5637" s="5" t="s">
        <v>97</v>
      </c>
      <c r="E5637" s="5"/>
      <c r="G5637" s="5"/>
      <c r="H5637" s="5"/>
    </row>
    <row r="5638" spans="1:8" x14ac:dyDescent="0.2">
      <c r="A5638" s="5" t="s">
        <v>6217</v>
      </c>
      <c r="B5638" s="5" t="s">
        <v>6218</v>
      </c>
      <c r="C5638" s="8">
        <v>1</v>
      </c>
      <c r="D5638" s="5" t="s">
        <v>97</v>
      </c>
      <c r="E5638" s="5"/>
      <c r="G5638" s="5"/>
      <c r="H5638" s="5"/>
    </row>
    <row r="5639" spans="1:8" x14ac:dyDescent="0.2">
      <c r="A5639" s="5"/>
      <c r="B5639" s="5" t="s">
        <v>38</v>
      </c>
      <c r="C5639" s="5"/>
      <c r="D5639" s="5" t="s">
        <v>13</v>
      </c>
      <c r="E5639" s="5"/>
      <c r="G5639" s="5"/>
      <c r="H5639" s="5"/>
    </row>
    <row r="5640" spans="1:8" x14ac:dyDescent="0.2">
      <c r="A5640" s="5"/>
      <c r="B5640" s="5" t="s">
        <v>6219</v>
      </c>
      <c r="C5640" s="5"/>
      <c r="D5640" s="5" t="s">
        <v>15</v>
      </c>
      <c r="E5640" s="5"/>
      <c r="G5640" s="5"/>
      <c r="H5640" s="5"/>
    </row>
    <row r="5641" spans="1:8" x14ac:dyDescent="0.2">
      <c r="A5641" s="5"/>
      <c r="B5641" s="5" t="s">
        <v>6220</v>
      </c>
      <c r="C5641" s="5"/>
      <c r="D5641" s="5" t="s">
        <v>322</v>
      </c>
      <c r="E5641" s="5"/>
      <c r="G5641" s="5"/>
      <c r="H5641" s="5"/>
    </row>
    <row r="5642" spans="1:8" x14ac:dyDescent="0.2">
      <c r="A5642" s="5" t="s">
        <v>6221</v>
      </c>
      <c r="B5642" s="5" t="s">
        <v>6222</v>
      </c>
      <c r="C5642" s="8">
        <v>141</v>
      </c>
      <c r="D5642" s="5" t="s">
        <v>368</v>
      </c>
      <c r="E5642" s="5"/>
      <c r="G5642" s="5"/>
      <c r="H5642" s="5"/>
    </row>
    <row r="5643" spans="1:8" x14ac:dyDescent="0.2">
      <c r="A5643" s="5" t="s">
        <v>6223</v>
      </c>
      <c r="B5643" s="5" t="s">
        <v>6224</v>
      </c>
      <c r="C5643" s="8">
        <v>558</v>
      </c>
      <c r="D5643" s="5" t="s">
        <v>155</v>
      </c>
      <c r="E5643" s="5"/>
      <c r="G5643" s="5"/>
      <c r="H5643" s="5"/>
    </row>
    <row r="5644" spans="1:8" x14ac:dyDescent="0.2">
      <c r="A5644" s="5" t="s">
        <v>6225</v>
      </c>
      <c r="B5644" s="5" t="s">
        <v>6226</v>
      </c>
      <c r="C5644" s="8">
        <v>1300</v>
      </c>
      <c r="D5644" s="5" t="s">
        <v>42</v>
      </c>
      <c r="E5644" s="5"/>
      <c r="G5644" s="5"/>
      <c r="H5644" s="5"/>
    </row>
    <row r="5645" spans="1:8" x14ac:dyDescent="0.2">
      <c r="A5645" s="5" t="s">
        <v>6227</v>
      </c>
      <c r="B5645" s="5" t="s">
        <v>6228</v>
      </c>
      <c r="C5645" s="8">
        <v>1300</v>
      </c>
      <c r="D5645" s="5" t="s">
        <v>42</v>
      </c>
      <c r="E5645" s="5"/>
      <c r="G5645" s="5"/>
      <c r="H5645" s="5"/>
    </row>
    <row r="5646" spans="1:8" x14ac:dyDescent="0.2">
      <c r="A5646" s="5" t="s">
        <v>6229</v>
      </c>
      <c r="B5646" s="5" t="s">
        <v>6230</v>
      </c>
      <c r="C5646" s="8">
        <v>1300</v>
      </c>
      <c r="D5646" s="5" t="s">
        <v>42</v>
      </c>
      <c r="E5646" s="5"/>
      <c r="G5646" s="5"/>
      <c r="H5646" s="5"/>
    </row>
    <row r="5647" spans="1:8" x14ac:dyDescent="0.2">
      <c r="A5647" s="5" t="s">
        <v>6231</v>
      </c>
      <c r="B5647" s="5" t="s">
        <v>6232</v>
      </c>
      <c r="C5647" s="8">
        <v>1300</v>
      </c>
      <c r="D5647" s="5" t="s">
        <v>42</v>
      </c>
      <c r="E5647" s="5"/>
      <c r="G5647" s="5"/>
      <c r="H5647" s="5"/>
    </row>
    <row r="5648" spans="1:8" x14ac:dyDescent="0.2">
      <c r="A5648" s="5" t="s">
        <v>6233</v>
      </c>
      <c r="B5648" s="5" t="s">
        <v>6234</v>
      </c>
      <c r="C5648" s="8">
        <v>1300</v>
      </c>
      <c r="D5648" s="5" t="s">
        <v>42</v>
      </c>
      <c r="E5648" s="5"/>
      <c r="G5648" s="5"/>
      <c r="H5648" s="5"/>
    </row>
    <row r="5649" spans="1:8" x14ac:dyDescent="0.2">
      <c r="A5649" s="5" t="s">
        <v>6235</v>
      </c>
      <c r="B5649" s="5" t="s">
        <v>6236</v>
      </c>
      <c r="C5649" s="8">
        <v>1300</v>
      </c>
      <c r="D5649" s="5" t="s">
        <v>42</v>
      </c>
      <c r="E5649" s="5"/>
      <c r="G5649" s="5"/>
      <c r="H5649" s="5"/>
    </row>
    <row r="5650" spans="1:8" x14ac:dyDescent="0.2">
      <c r="A5650" s="5" t="s">
        <v>6237</v>
      </c>
      <c r="B5650" s="5" t="s">
        <v>6238</v>
      </c>
      <c r="C5650" s="8">
        <v>1300</v>
      </c>
      <c r="D5650" s="5" t="s">
        <v>42</v>
      </c>
      <c r="E5650" s="5"/>
      <c r="G5650" s="5"/>
      <c r="H5650" s="5"/>
    </row>
    <row r="5651" spans="1:8" x14ac:dyDescent="0.2">
      <c r="A5651" s="5" t="s">
        <v>6239</v>
      </c>
      <c r="B5651" s="5" t="s">
        <v>6240</v>
      </c>
      <c r="C5651" s="8">
        <v>24</v>
      </c>
      <c r="D5651" s="5" t="s">
        <v>368</v>
      </c>
      <c r="E5651" s="5"/>
      <c r="G5651" s="5"/>
      <c r="H5651" s="5"/>
    </row>
    <row r="5652" spans="1:8" x14ac:dyDescent="0.2">
      <c r="A5652" s="5" t="s">
        <v>6241</v>
      </c>
      <c r="B5652" s="5" t="s">
        <v>6224</v>
      </c>
      <c r="C5652" s="8">
        <v>155</v>
      </c>
      <c r="D5652" s="5" t="s">
        <v>155</v>
      </c>
      <c r="E5652" s="5"/>
      <c r="G5652" s="5"/>
      <c r="H5652" s="5"/>
    </row>
    <row r="5653" spans="1:8" x14ac:dyDescent="0.2">
      <c r="A5653" s="5" t="s">
        <v>6242</v>
      </c>
      <c r="B5653" s="5" t="s">
        <v>6226</v>
      </c>
      <c r="C5653" s="8">
        <v>216</v>
      </c>
      <c r="D5653" s="5" t="s">
        <v>42</v>
      </c>
      <c r="E5653" s="5"/>
      <c r="G5653" s="5"/>
      <c r="H5653" s="5"/>
    </row>
    <row r="5654" spans="1:8" x14ac:dyDescent="0.2">
      <c r="A5654" s="5" t="s">
        <v>6243</v>
      </c>
      <c r="B5654" s="5" t="s">
        <v>6244</v>
      </c>
      <c r="C5654" s="8">
        <v>216</v>
      </c>
      <c r="D5654" s="5" t="s">
        <v>42</v>
      </c>
      <c r="E5654" s="5"/>
      <c r="G5654" s="5"/>
      <c r="H5654" s="5"/>
    </row>
    <row r="5655" spans="1:8" x14ac:dyDescent="0.2">
      <c r="A5655" s="5" t="s">
        <v>6245</v>
      </c>
      <c r="B5655" s="5" t="s">
        <v>6230</v>
      </c>
      <c r="C5655" s="8">
        <v>216</v>
      </c>
      <c r="D5655" s="5" t="s">
        <v>42</v>
      </c>
      <c r="E5655" s="5"/>
      <c r="G5655" s="5"/>
      <c r="H5655" s="5"/>
    </row>
    <row r="5656" spans="1:8" x14ac:dyDescent="0.2">
      <c r="A5656" s="5" t="s">
        <v>6246</v>
      </c>
      <c r="B5656" s="5" t="s">
        <v>6232</v>
      </c>
      <c r="C5656" s="8">
        <v>216</v>
      </c>
      <c r="D5656" s="5" t="s">
        <v>42</v>
      </c>
      <c r="E5656" s="5"/>
      <c r="G5656" s="5"/>
      <c r="H5656" s="5"/>
    </row>
    <row r="5657" spans="1:8" x14ac:dyDescent="0.2">
      <c r="A5657" s="5" t="s">
        <v>6247</v>
      </c>
      <c r="B5657" s="5" t="s">
        <v>6234</v>
      </c>
      <c r="C5657" s="8">
        <v>216</v>
      </c>
      <c r="D5657" s="5" t="s">
        <v>42</v>
      </c>
      <c r="E5657" s="5"/>
      <c r="G5657" s="5"/>
      <c r="H5657" s="5"/>
    </row>
    <row r="5658" spans="1:8" x14ac:dyDescent="0.2">
      <c r="A5658" s="5" t="s">
        <v>6248</v>
      </c>
      <c r="B5658" s="5" t="s">
        <v>6236</v>
      </c>
      <c r="C5658" s="8">
        <v>216</v>
      </c>
      <c r="D5658" s="5" t="s">
        <v>42</v>
      </c>
      <c r="E5658" s="5"/>
      <c r="G5658" s="5"/>
      <c r="H5658" s="5"/>
    </row>
    <row r="5659" spans="1:8" x14ac:dyDescent="0.2">
      <c r="A5659" s="5" t="s">
        <v>6249</v>
      </c>
      <c r="B5659" s="5" t="s">
        <v>6238</v>
      </c>
      <c r="C5659" s="8">
        <v>216</v>
      </c>
      <c r="D5659" s="5" t="s">
        <v>42</v>
      </c>
      <c r="E5659" s="5"/>
      <c r="G5659" s="5"/>
      <c r="H5659" s="5"/>
    </row>
    <row r="5660" spans="1:8" x14ac:dyDescent="0.2">
      <c r="A5660" s="5" t="s">
        <v>6250</v>
      </c>
      <c r="B5660" s="5" t="s">
        <v>6251</v>
      </c>
      <c r="C5660" s="8">
        <v>432</v>
      </c>
      <c r="D5660" s="5" t="s">
        <v>42</v>
      </c>
      <c r="E5660" s="5"/>
      <c r="G5660" s="5"/>
      <c r="H5660" s="5"/>
    </row>
    <row r="5661" spans="1:8" x14ac:dyDescent="0.2">
      <c r="A5661" s="5" t="s">
        <v>6252</v>
      </c>
      <c r="B5661" s="5" t="s">
        <v>6253</v>
      </c>
      <c r="C5661" s="8">
        <v>432</v>
      </c>
      <c r="D5661" s="5" t="s">
        <v>42</v>
      </c>
      <c r="E5661" s="5"/>
      <c r="G5661" s="5"/>
      <c r="H5661" s="5"/>
    </row>
    <row r="5662" spans="1:8" x14ac:dyDescent="0.2">
      <c r="A5662" s="5" t="s">
        <v>6254</v>
      </c>
      <c r="B5662" s="5" t="s">
        <v>6255</v>
      </c>
      <c r="C5662" s="8">
        <v>432</v>
      </c>
      <c r="D5662" s="5" t="s">
        <v>42</v>
      </c>
      <c r="E5662" s="5"/>
      <c r="G5662" s="5"/>
      <c r="H5662" s="5"/>
    </row>
    <row r="5663" spans="1:8" x14ac:dyDescent="0.2">
      <c r="A5663" s="5"/>
      <c r="B5663" s="5" t="s">
        <v>6256</v>
      </c>
      <c r="C5663" s="5"/>
      <c r="D5663" s="5" t="s">
        <v>322</v>
      </c>
      <c r="E5663" s="5"/>
      <c r="G5663" s="5"/>
      <c r="H5663" s="5"/>
    </row>
    <row r="5664" spans="1:8" x14ac:dyDescent="0.2">
      <c r="A5664" s="5" t="s">
        <v>6257</v>
      </c>
      <c r="B5664" s="5" t="s">
        <v>6258</v>
      </c>
      <c r="C5664" s="8">
        <v>1</v>
      </c>
      <c r="D5664" s="5" t="s">
        <v>368</v>
      </c>
      <c r="E5664" s="5"/>
      <c r="G5664" s="5"/>
      <c r="H5664" s="5"/>
    </row>
    <row r="5665" spans="1:8" x14ac:dyDescent="0.2">
      <c r="A5665" s="5" t="s">
        <v>6259</v>
      </c>
      <c r="B5665" s="5" t="s">
        <v>6260</v>
      </c>
      <c r="C5665" s="8">
        <v>1</v>
      </c>
      <c r="D5665" s="5" t="s">
        <v>368</v>
      </c>
      <c r="E5665" s="5"/>
      <c r="G5665" s="5"/>
      <c r="H5665" s="5"/>
    </row>
    <row r="5666" spans="1:8" x14ac:dyDescent="0.2">
      <c r="A5666" s="5" t="s">
        <v>6261</v>
      </c>
      <c r="B5666" s="5" t="s">
        <v>6262</v>
      </c>
      <c r="C5666" s="8">
        <v>3</v>
      </c>
      <c r="D5666" s="5" t="s">
        <v>42</v>
      </c>
      <c r="E5666" s="5"/>
      <c r="G5666" s="5"/>
      <c r="H5666" s="5"/>
    </row>
    <row r="5667" spans="1:8" x14ac:dyDescent="0.2">
      <c r="A5667" s="5" t="s">
        <v>6263</v>
      </c>
      <c r="B5667" s="5" t="s">
        <v>6226</v>
      </c>
      <c r="C5667" s="8">
        <v>3</v>
      </c>
      <c r="D5667" s="5" t="s">
        <v>42</v>
      </c>
      <c r="E5667" s="5"/>
      <c r="G5667" s="5"/>
      <c r="H5667" s="5"/>
    </row>
    <row r="5668" spans="1:8" x14ac:dyDescent="0.2">
      <c r="A5668" s="5" t="s">
        <v>6264</v>
      </c>
      <c r="B5668" s="5" t="s">
        <v>6265</v>
      </c>
      <c r="C5668" s="8">
        <v>0.05</v>
      </c>
      <c r="D5668" s="5" t="s">
        <v>382</v>
      </c>
      <c r="E5668" s="5"/>
      <c r="G5668" s="5"/>
      <c r="H5668" s="5"/>
    </row>
    <row r="5669" spans="1:8" x14ac:dyDescent="0.2">
      <c r="A5669" s="5"/>
      <c r="B5669" s="5" t="s">
        <v>6266</v>
      </c>
      <c r="C5669" s="5"/>
      <c r="D5669" s="5" t="s">
        <v>322</v>
      </c>
      <c r="E5669" s="5"/>
      <c r="G5669" s="5"/>
      <c r="H5669" s="5"/>
    </row>
    <row r="5670" spans="1:8" x14ac:dyDescent="0.2">
      <c r="A5670" s="5" t="s">
        <v>6267</v>
      </c>
      <c r="B5670" s="5" t="s">
        <v>6035</v>
      </c>
      <c r="C5670" s="8">
        <v>22</v>
      </c>
      <c r="D5670" s="5" t="s">
        <v>368</v>
      </c>
      <c r="E5670" s="5"/>
      <c r="G5670" s="5"/>
      <c r="H5670" s="5"/>
    </row>
    <row r="5671" spans="1:8" x14ac:dyDescent="0.2">
      <c r="A5671" s="5" t="s">
        <v>6268</v>
      </c>
      <c r="B5671" s="5" t="s">
        <v>6037</v>
      </c>
      <c r="C5671" s="8">
        <v>62</v>
      </c>
      <c r="D5671" s="5" t="s">
        <v>42</v>
      </c>
      <c r="E5671" s="5"/>
      <c r="G5671" s="5"/>
      <c r="H5671" s="5"/>
    </row>
    <row r="5672" spans="1:8" x14ac:dyDescent="0.2">
      <c r="A5672" s="5" t="s">
        <v>6269</v>
      </c>
      <c r="B5672" s="5" t="s">
        <v>6270</v>
      </c>
      <c r="C5672" s="8">
        <v>71</v>
      </c>
      <c r="D5672" s="5" t="s">
        <v>42</v>
      </c>
      <c r="E5672" s="5"/>
      <c r="G5672" s="5"/>
      <c r="H5672" s="5"/>
    </row>
    <row r="5673" spans="1:8" x14ac:dyDescent="0.2">
      <c r="A5673" s="5" t="s">
        <v>6271</v>
      </c>
      <c r="B5673" s="5" t="s">
        <v>6272</v>
      </c>
      <c r="C5673" s="8">
        <v>2.62</v>
      </c>
      <c r="D5673" s="5" t="s">
        <v>382</v>
      </c>
      <c r="E5673" s="5"/>
      <c r="G5673" s="5"/>
      <c r="H5673" s="5"/>
    </row>
    <row r="5674" spans="1:8" x14ac:dyDescent="0.2">
      <c r="A5674" s="5" t="s">
        <v>6273</v>
      </c>
      <c r="B5674" s="5" t="s">
        <v>6041</v>
      </c>
      <c r="C5674" s="8">
        <v>9</v>
      </c>
      <c r="D5674" s="5" t="s">
        <v>368</v>
      </c>
      <c r="E5674" s="5"/>
      <c r="G5674" s="5"/>
      <c r="H5674" s="5"/>
    </row>
    <row r="5675" spans="1:8" x14ac:dyDescent="0.2">
      <c r="A5675" s="5" t="s">
        <v>6274</v>
      </c>
      <c r="B5675" s="5" t="s">
        <v>6009</v>
      </c>
      <c r="C5675" s="8">
        <v>71</v>
      </c>
      <c r="D5675" s="5" t="s">
        <v>42</v>
      </c>
      <c r="E5675" s="5"/>
      <c r="G5675" s="5"/>
      <c r="H5675" s="5"/>
    </row>
    <row r="5676" spans="1:8" x14ac:dyDescent="0.2">
      <c r="A5676" s="5" t="s">
        <v>6275</v>
      </c>
      <c r="B5676" s="5" t="s">
        <v>6011</v>
      </c>
      <c r="C5676" s="8">
        <v>100</v>
      </c>
      <c r="D5676" s="5" t="s">
        <v>155</v>
      </c>
      <c r="E5676" s="5"/>
      <c r="G5676" s="5"/>
      <c r="H5676" s="5"/>
    </row>
    <row r="5677" spans="1:8" x14ac:dyDescent="0.2">
      <c r="A5677" s="5"/>
      <c r="B5677" s="5" t="s">
        <v>6276</v>
      </c>
      <c r="C5677" s="5"/>
      <c r="D5677" s="5" t="s">
        <v>15</v>
      </c>
      <c r="E5677" s="5"/>
      <c r="G5677" s="5"/>
      <c r="H5677" s="5"/>
    </row>
    <row r="5678" spans="1:8" x14ac:dyDescent="0.2">
      <c r="A5678" s="5"/>
      <c r="B5678" s="5" t="s">
        <v>6277</v>
      </c>
      <c r="C5678" s="5"/>
      <c r="D5678" s="5" t="s">
        <v>322</v>
      </c>
      <c r="E5678" s="5"/>
      <c r="G5678" s="5"/>
      <c r="H5678" s="5"/>
    </row>
    <row r="5679" spans="1:8" x14ac:dyDescent="0.2">
      <c r="A5679" s="5"/>
      <c r="B5679" s="5" t="s">
        <v>6278</v>
      </c>
      <c r="C5679" s="5"/>
      <c r="D5679" s="5" t="s">
        <v>366</v>
      </c>
      <c r="E5679" s="5"/>
      <c r="G5679" s="5"/>
      <c r="H5679" s="5"/>
    </row>
    <row r="5680" spans="1:8" x14ac:dyDescent="0.2">
      <c r="A5680" s="5" t="s">
        <v>6279</v>
      </c>
      <c r="B5680" s="5" t="s">
        <v>6280</v>
      </c>
      <c r="C5680" s="8">
        <v>2</v>
      </c>
      <c r="D5680" s="5" t="s">
        <v>162</v>
      </c>
      <c r="E5680" s="5"/>
      <c r="G5680" s="5"/>
      <c r="H5680" s="5"/>
    </row>
    <row r="5681" spans="1:8" x14ac:dyDescent="0.2">
      <c r="A5681" s="5" t="s">
        <v>6281</v>
      </c>
      <c r="B5681" s="5" t="s">
        <v>6282</v>
      </c>
      <c r="C5681" s="8">
        <v>5</v>
      </c>
      <c r="D5681" s="5" t="s">
        <v>162</v>
      </c>
      <c r="E5681" s="5"/>
      <c r="G5681" s="5"/>
      <c r="H5681" s="5"/>
    </row>
    <row r="5682" spans="1:8" x14ac:dyDescent="0.2">
      <c r="A5682" s="5"/>
      <c r="B5682" s="5" t="s">
        <v>6283</v>
      </c>
      <c r="C5682" s="5"/>
      <c r="D5682" s="5" t="s">
        <v>366</v>
      </c>
      <c r="E5682" s="5"/>
      <c r="G5682" s="5"/>
      <c r="H5682" s="5"/>
    </row>
    <row r="5683" spans="1:8" x14ac:dyDescent="0.2">
      <c r="A5683" s="5" t="s">
        <v>6284</v>
      </c>
      <c r="B5683" s="5" t="s">
        <v>6285</v>
      </c>
      <c r="C5683" s="8">
        <v>2</v>
      </c>
      <c r="D5683" s="5" t="s">
        <v>162</v>
      </c>
      <c r="E5683" s="5"/>
      <c r="G5683" s="5"/>
      <c r="H5683" s="5"/>
    </row>
    <row r="5684" spans="1:8" x14ac:dyDescent="0.2">
      <c r="A5684" s="5" t="s">
        <v>6286</v>
      </c>
      <c r="B5684" s="5" t="s">
        <v>6287</v>
      </c>
      <c r="C5684" s="8">
        <v>1</v>
      </c>
      <c r="D5684" s="5" t="s">
        <v>162</v>
      </c>
      <c r="E5684" s="5"/>
      <c r="G5684" s="5"/>
      <c r="H5684" s="5"/>
    </row>
    <row r="5685" spans="1:8" x14ac:dyDescent="0.2">
      <c r="A5685" s="5"/>
      <c r="B5685" s="5" t="s">
        <v>6288</v>
      </c>
      <c r="C5685" s="5"/>
      <c r="D5685" s="5" t="s">
        <v>15</v>
      </c>
      <c r="E5685" s="5"/>
      <c r="G5685" s="5"/>
      <c r="H5685" s="5"/>
    </row>
    <row r="5686" spans="1:8" x14ac:dyDescent="0.2">
      <c r="A5686" s="5"/>
      <c r="B5686" s="5" t="s">
        <v>6289</v>
      </c>
      <c r="C5686" s="5"/>
      <c r="D5686" s="5" t="s">
        <v>322</v>
      </c>
      <c r="E5686" s="5"/>
      <c r="G5686" s="5"/>
      <c r="H5686" s="5"/>
    </row>
    <row r="5687" spans="1:8" x14ac:dyDescent="0.2">
      <c r="A5687" s="5" t="s">
        <v>6290</v>
      </c>
      <c r="B5687" s="5" t="s">
        <v>6291</v>
      </c>
      <c r="C5687" s="8">
        <v>145</v>
      </c>
      <c r="D5687" s="5" t="s">
        <v>155</v>
      </c>
      <c r="E5687" s="5"/>
      <c r="G5687" s="5"/>
      <c r="H5687" s="5"/>
    </row>
    <row r="5688" spans="1:8" x14ac:dyDescent="0.2">
      <c r="A5688" s="5" t="s">
        <v>6292</v>
      </c>
      <c r="B5688" s="5" t="s">
        <v>6293</v>
      </c>
      <c r="C5688" s="8">
        <v>83</v>
      </c>
      <c r="D5688" s="5" t="s">
        <v>155</v>
      </c>
      <c r="E5688" s="5"/>
      <c r="G5688" s="5"/>
      <c r="H5688" s="5"/>
    </row>
    <row r="5689" spans="1:8" x14ac:dyDescent="0.2">
      <c r="A5689" s="5"/>
      <c r="B5689" s="5" t="s">
        <v>6294</v>
      </c>
      <c r="C5689" s="5"/>
      <c r="D5689" s="5" t="s">
        <v>322</v>
      </c>
      <c r="E5689" s="5"/>
      <c r="G5689" s="5"/>
      <c r="H5689" s="5"/>
    </row>
    <row r="5690" spans="1:8" x14ac:dyDescent="0.2">
      <c r="A5690" s="5" t="s">
        <v>6295</v>
      </c>
      <c r="B5690" s="5" t="s">
        <v>6291</v>
      </c>
      <c r="C5690" s="8">
        <v>19</v>
      </c>
      <c r="D5690" s="5" t="s">
        <v>155</v>
      </c>
      <c r="E5690" s="5"/>
      <c r="G5690" s="5"/>
      <c r="H5690" s="5"/>
    </row>
    <row r="5691" spans="1:8" x14ac:dyDescent="0.2">
      <c r="A5691" s="5" t="s">
        <v>6296</v>
      </c>
      <c r="B5691" s="5" t="s">
        <v>6293</v>
      </c>
      <c r="C5691" s="8">
        <v>48</v>
      </c>
      <c r="D5691" s="5" t="s">
        <v>155</v>
      </c>
      <c r="E5691" s="5"/>
      <c r="G5691" s="5"/>
      <c r="H5691" s="5"/>
    </row>
    <row r="5692" spans="1:8" x14ac:dyDescent="0.2">
      <c r="A5692" s="5" t="s">
        <v>6297</v>
      </c>
      <c r="B5692" s="5" t="s">
        <v>6298</v>
      </c>
      <c r="C5692" s="8">
        <v>15</v>
      </c>
      <c r="D5692" s="5" t="s">
        <v>155</v>
      </c>
      <c r="E5692" s="5"/>
      <c r="G5692" s="5"/>
      <c r="H5692" s="5"/>
    </row>
    <row r="5693" spans="1:8" x14ac:dyDescent="0.2">
      <c r="A5693" s="5"/>
      <c r="B5693" s="5" t="s">
        <v>6299</v>
      </c>
      <c r="C5693" s="5"/>
      <c r="D5693" s="5" t="s">
        <v>15</v>
      </c>
      <c r="E5693" s="5"/>
      <c r="G5693" s="5"/>
      <c r="H5693" s="5"/>
    </row>
    <row r="5694" spans="1:8" x14ac:dyDescent="0.2">
      <c r="A5694" s="5" t="s">
        <v>6300</v>
      </c>
      <c r="B5694" s="5" t="s">
        <v>6301</v>
      </c>
      <c r="C5694" s="8">
        <v>187</v>
      </c>
      <c r="D5694" s="5" t="s">
        <v>155</v>
      </c>
      <c r="E5694" s="5"/>
      <c r="G5694" s="5"/>
      <c r="H5694" s="5"/>
    </row>
    <row r="5695" spans="1:8" x14ac:dyDescent="0.2">
      <c r="A5695" s="5"/>
      <c r="B5695" s="5" t="s">
        <v>6302</v>
      </c>
      <c r="C5695" s="5"/>
      <c r="D5695" s="5" t="s">
        <v>15</v>
      </c>
      <c r="E5695" s="5"/>
      <c r="G5695" s="5"/>
      <c r="H5695" s="5"/>
    </row>
    <row r="5696" spans="1:8" x14ac:dyDescent="0.2">
      <c r="A5696" s="5"/>
      <c r="B5696" s="5" t="s">
        <v>6303</v>
      </c>
      <c r="C5696" s="5"/>
      <c r="D5696" s="5" t="s">
        <v>322</v>
      </c>
      <c r="E5696" s="5"/>
      <c r="G5696" s="5"/>
      <c r="H5696" s="5"/>
    </row>
    <row r="5697" spans="1:8" x14ac:dyDescent="0.2">
      <c r="A5697" s="5" t="s">
        <v>6304</v>
      </c>
      <c r="B5697" s="5" t="s">
        <v>6305</v>
      </c>
      <c r="C5697" s="8">
        <v>4</v>
      </c>
      <c r="D5697" s="5" t="s">
        <v>368</v>
      </c>
      <c r="E5697" s="5"/>
      <c r="G5697" s="5"/>
      <c r="H5697" s="5"/>
    </row>
    <row r="5698" spans="1:8" x14ac:dyDescent="0.2">
      <c r="A5698" s="5" t="s">
        <v>6306</v>
      </c>
      <c r="B5698" s="5" t="s">
        <v>6224</v>
      </c>
      <c r="C5698" s="8">
        <v>0</v>
      </c>
      <c r="D5698" s="5" t="s">
        <v>155</v>
      </c>
      <c r="E5698" s="5"/>
      <c r="G5698" s="5"/>
      <c r="H5698" s="5"/>
    </row>
    <row r="5699" spans="1:8" x14ac:dyDescent="0.2">
      <c r="A5699" s="5" t="s">
        <v>6307</v>
      </c>
      <c r="B5699" s="5" t="s">
        <v>6308</v>
      </c>
      <c r="C5699" s="8">
        <v>0.35</v>
      </c>
      <c r="D5699" s="5" t="s">
        <v>382</v>
      </c>
      <c r="E5699" s="5"/>
      <c r="G5699" s="5"/>
      <c r="H5699" s="5"/>
    </row>
    <row r="5700" spans="1:8" x14ac:dyDescent="0.2">
      <c r="A5700" s="5" t="s">
        <v>6309</v>
      </c>
      <c r="B5700" s="5" t="s">
        <v>6310</v>
      </c>
      <c r="C5700" s="8">
        <v>44</v>
      </c>
      <c r="D5700" s="5" t="s">
        <v>42</v>
      </c>
      <c r="E5700" s="5"/>
      <c r="G5700" s="5"/>
      <c r="H5700" s="5"/>
    </row>
    <row r="5701" spans="1:8" x14ac:dyDescent="0.2">
      <c r="A5701" s="5" t="s">
        <v>6311</v>
      </c>
      <c r="B5701" s="5" t="s">
        <v>6041</v>
      </c>
      <c r="C5701" s="8">
        <v>6</v>
      </c>
      <c r="D5701" s="5" t="s">
        <v>42</v>
      </c>
      <c r="E5701" s="5"/>
      <c r="G5701" s="5"/>
      <c r="H5701" s="5"/>
    </row>
    <row r="5702" spans="1:8" x14ac:dyDescent="0.2">
      <c r="A5702" s="5" t="s">
        <v>6312</v>
      </c>
      <c r="B5702" s="5" t="s">
        <v>6313</v>
      </c>
      <c r="C5702" s="8">
        <v>0.65</v>
      </c>
      <c r="D5702" s="5" t="s">
        <v>382</v>
      </c>
      <c r="E5702" s="5"/>
      <c r="G5702" s="5"/>
      <c r="H5702" s="5"/>
    </row>
    <row r="5703" spans="1:8" x14ac:dyDescent="0.2">
      <c r="A5703" s="5" t="s">
        <v>6314</v>
      </c>
      <c r="B5703" s="5" t="s">
        <v>6315</v>
      </c>
      <c r="C5703" s="8">
        <v>5</v>
      </c>
      <c r="D5703" s="5" t="s">
        <v>162</v>
      </c>
      <c r="E5703" s="5"/>
      <c r="G5703" s="5"/>
      <c r="H5703" s="5"/>
    </row>
    <row r="5704" spans="1:8" x14ac:dyDescent="0.2">
      <c r="A5704" s="5" t="s">
        <v>6316</v>
      </c>
      <c r="B5704" s="5" t="s">
        <v>6317</v>
      </c>
      <c r="C5704" s="8">
        <v>3</v>
      </c>
      <c r="D5704" s="5" t="s">
        <v>162</v>
      </c>
      <c r="E5704" s="5"/>
      <c r="G5704" s="5"/>
      <c r="H5704" s="5"/>
    </row>
    <row r="5705" spans="1:8" x14ac:dyDescent="0.2">
      <c r="A5705" s="5" t="s">
        <v>6318</v>
      </c>
      <c r="B5705" s="5" t="s">
        <v>6319</v>
      </c>
      <c r="C5705" s="8">
        <v>1</v>
      </c>
      <c r="D5705" s="5" t="s">
        <v>162</v>
      </c>
      <c r="E5705" s="5"/>
      <c r="G5705" s="5"/>
      <c r="H5705" s="5"/>
    </row>
    <row r="5706" spans="1:8" x14ac:dyDescent="0.2">
      <c r="A5706" s="5" t="s">
        <v>6320</v>
      </c>
      <c r="B5706" s="5" t="s">
        <v>6321</v>
      </c>
      <c r="C5706" s="8">
        <v>4</v>
      </c>
      <c r="D5706" s="5" t="s">
        <v>42</v>
      </c>
      <c r="E5706" s="5"/>
      <c r="G5706" s="5"/>
      <c r="H5706" s="5"/>
    </row>
    <row r="5707" spans="1:8" x14ac:dyDescent="0.2">
      <c r="A5707" s="5" t="s">
        <v>6322</v>
      </c>
      <c r="B5707" s="5" t="s">
        <v>6323</v>
      </c>
      <c r="C5707" s="8">
        <v>1</v>
      </c>
      <c r="D5707" s="5" t="s">
        <v>162</v>
      </c>
      <c r="E5707" s="5"/>
      <c r="G5707" s="5"/>
      <c r="H5707" s="5"/>
    </row>
    <row r="5708" spans="1:8" x14ac:dyDescent="0.2">
      <c r="A5708" s="5"/>
      <c r="B5708" s="5" t="s">
        <v>6324</v>
      </c>
      <c r="C5708" s="5"/>
      <c r="D5708" s="5" t="s">
        <v>15</v>
      </c>
      <c r="E5708" s="5"/>
      <c r="G5708" s="5"/>
      <c r="H5708" s="5"/>
    </row>
    <row r="5709" spans="1:8" x14ac:dyDescent="0.2">
      <c r="A5709" s="5"/>
      <c r="B5709" s="5" t="s">
        <v>6325</v>
      </c>
      <c r="C5709" s="5"/>
      <c r="D5709" s="5" t="s">
        <v>366</v>
      </c>
      <c r="E5709" s="5"/>
      <c r="G5709" s="5"/>
      <c r="H5709" s="5"/>
    </row>
    <row r="5710" spans="1:8" x14ac:dyDescent="0.2">
      <c r="A5710" s="5" t="s">
        <v>6326</v>
      </c>
      <c r="B5710" s="5" t="s">
        <v>5965</v>
      </c>
      <c r="C5710" s="8">
        <v>2</v>
      </c>
      <c r="D5710" s="5" t="s">
        <v>368</v>
      </c>
      <c r="E5710" s="5"/>
      <c r="G5710" s="5"/>
      <c r="H5710" s="5"/>
    </row>
    <row r="5711" spans="1:8" x14ac:dyDescent="0.2">
      <c r="A5711" s="5" t="s">
        <v>6327</v>
      </c>
      <c r="B5711" s="5" t="s">
        <v>1712</v>
      </c>
      <c r="C5711" s="8">
        <v>1</v>
      </c>
      <c r="D5711" s="5" t="s">
        <v>42</v>
      </c>
      <c r="E5711" s="5"/>
      <c r="G5711" s="5"/>
      <c r="H5711" s="5"/>
    </row>
    <row r="5712" spans="1:8" x14ac:dyDescent="0.2">
      <c r="A5712" s="5" t="s">
        <v>6328</v>
      </c>
      <c r="B5712" s="5" t="s">
        <v>6329</v>
      </c>
      <c r="C5712" s="8">
        <v>24</v>
      </c>
      <c r="D5712" s="5" t="s">
        <v>155</v>
      </c>
      <c r="E5712" s="5"/>
      <c r="G5712" s="5"/>
      <c r="H5712" s="5"/>
    </row>
    <row r="5713" spans="1:8" x14ac:dyDescent="0.2">
      <c r="A5713" s="5" t="s">
        <v>6330</v>
      </c>
      <c r="B5713" s="5" t="s">
        <v>5970</v>
      </c>
      <c r="C5713" s="8">
        <v>0.13</v>
      </c>
      <c r="D5713" s="5" t="s">
        <v>382</v>
      </c>
      <c r="E5713" s="5"/>
      <c r="G5713" s="5"/>
      <c r="H5713" s="5"/>
    </row>
    <row r="5714" spans="1:8" x14ac:dyDescent="0.2">
      <c r="A5714" s="5" t="s">
        <v>6331</v>
      </c>
      <c r="B5714" s="5" t="s">
        <v>6332</v>
      </c>
      <c r="C5714" s="8">
        <v>8</v>
      </c>
      <c r="D5714" s="5" t="s">
        <v>42</v>
      </c>
      <c r="E5714" s="5"/>
      <c r="G5714" s="5"/>
      <c r="H5714" s="5"/>
    </row>
    <row r="5715" spans="1:8" x14ac:dyDescent="0.2">
      <c r="A5715" s="5" t="s">
        <v>6333</v>
      </c>
      <c r="B5715" s="5" t="s">
        <v>6334</v>
      </c>
      <c r="C5715" s="8">
        <v>8</v>
      </c>
      <c r="D5715" s="5" t="s">
        <v>42</v>
      </c>
      <c r="E5715" s="5"/>
      <c r="G5715" s="5"/>
      <c r="H5715" s="5"/>
    </row>
    <row r="5716" spans="1:8" x14ac:dyDescent="0.2">
      <c r="A5716" s="5"/>
      <c r="B5716" s="5" t="s">
        <v>6335</v>
      </c>
      <c r="C5716" s="5"/>
      <c r="D5716" s="5" t="s">
        <v>366</v>
      </c>
      <c r="E5716" s="5"/>
      <c r="G5716" s="5"/>
      <c r="H5716" s="5"/>
    </row>
    <row r="5717" spans="1:8" x14ac:dyDescent="0.2">
      <c r="A5717" s="5" t="s">
        <v>6336</v>
      </c>
      <c r="B5717" s="5" t="s">
        <v>5965</v>
      </c>
      <c r="C5717" s="8">
        <v>2</v>
      </c>
      <c r="D5717" s="5" t="s">
        <v>368</v>
      </c>
      <c r="E5717" s="5"/>
      <c r="G5717" s="5"/>
      <c r="H5717" s="5"/>
    </row>
    <row r="5718" spans="1:8" x14ac:dyDescent="0.2">
      <c r="A5718" s="5" t="s">
        <v>6337</v>
      </c>
      <c r="B5718" s="5" t="s">
        <v>1712</v>
      </c>
      <c r="C5718" s="8">
        <v>1</v>
      </c>
      <c r="D5718" s="5" t="s">
        <v>42</v>
      </c>
      <c r="E5718" s="5"/>
      <c r="G5718" s="5"/>
      <c r="H5718" s="5"/>
    </row>
    <row r="5719" spans="1:8" x14ac:dyDescent="0.2">
      <c r="A5719" s="5" t="s">
        <v>6338</v>
      </c>
      <c r="B5719" s="5" t="s">
        <v>6329</v>
      </c>
      <c r="C5719" s="8">
        <v>26</v>
      </c>
      <c r="D5719" s="5" t="s">
        <v>155</v>
      </c>
      <c r="E5719" s="5"/>
      <c r="G5719" s="5"/>
      <c r="H5719" s="5"/>
    </row>
    <row r="5720" spans="1:8" x14ac:dyDescent="0.2">
      <c r="A5720" s="5" t="s">
        <v>6339</v>
      </c>
      <c r="B5720" s="5" t="s">
        <v>5970</v>
      </c>
      <c r="C5720" s="8">
        <v>0.15</v>
      </c>
      <c r="D5720" s="5" t="s">
        <v>382</v>
      </c>
      <c r="E5720" s="5"/>
      <c r="G5720" s="5"/>
      <c r="H5720" s="5"/>
    </row>
    <row r="5721" spans="1:8" x14ac:dyDescent="0.2">
      <c r="A5721" s="5" t="s">
        <v>6340</v>
      </c>
      <c r="B5721" s="5" t="s">
        <v>6332</v>
      </c>
      <c r="C5721" s="8">
        <v>9</v>
      </c>
      <c r="D5721" s="5" t="s">
        <v>42</v>
      </c>
      <c r="E5721" s="5"/>
      <c r="G5721" s="5"/>
      <c r="H5721" s="5"/>
    </row>
    <row r="5722" spans="1:8" x14ac:dyDescent="0.2">
      <c r="A5722" s="5" t="s">
        <v>6341</v>
      </c>
      <c r="B5722" s="5" t="s">
        <v>6334</v>
      </c>
      <c r="C5722" s="8">
        <v>9</v>
      </c>
      <c r="D5722" s="5" t="s">
        <v>42</v>
      </c>
      <c r="E5722" s="5"/>
      <c r="G5722" s="5"/>
      <c r="H5722" s="5"/>
    </row>
    <row r="5723" spans="1:8" x14ac:dyDescent="0.2">
      <c r="A5723" s="5"/>
      <c r="B5723" s="5" t="s">
        <v>6342</v>
      </c>
      <c r="C5723" s="5"/>
      <c r="D5723" s="5" t="s">
        <v>366</v>
      </c>
      <c r="E5723" s="5"/>
      <c r="G5723" s="5"/>
      <c r="H5723" s="5"/>
    </row>
    <row r="5724" spans="1:8" x14ac:dyDescent="0.2">
      <c r="A5724" s="5" t="s">
        <v>6343</v>
      </c>
      <c r="B5724" s="5" t="s">
        <v>5965</v>
      </c>
      <c r="C5724" s="8">
        <v>3</v>
      </c>
      <c r="D5724" s="5" t="s">
        <v>368</v>
      </c>
      <c r="E5724" s="5"/>
      <c r="G5724" s="5"/>
      <c r="H5724" s="5"/>
    </row>
    <row r="5725" spans="1:8" x14ac:dyDescent="0.2">
      <c r="A5725" s="5" t="s">
        <v>6344</v>
      </c>
      <c r="B5725" s="5" t="s">
        <v>1712</v>
      </c>
      <c r="C5725" s="8">
        <v>1</v>
      </c>
      <c r="D5725" s="5" t="s">
        <v>42</v>
      </c>
      <c r="E5725" s="5"/>
      <c r="G5725" s="5"/>
      <c r="H5725" s="5"/>
    </row>
    <row r="5726" spans="1:8" x14ac:dyDescent="0.2">
      <c r="A5726" s="5" t="s">
        <v>6345</v>
      </c>
      <c r="B5726" s="5" t="s">
        <v>6329</v>
      </c>
      <c r="C5726" s="8">
        <v>27</v>
      </c>
      <c r="D5726" s="5" t="s">
        <v>155</v>
      </c>
      <c r="E5726" s="5"/>
      <c r="G5726" s="5"/>
      <c r="H5726" s="5"/>
    </row>
    <row r="5727" spans="1:8" x14ac:dyDescent="0.2">
      <c r="A5727" s="5" t="s">
        <v>6346</v>
      </c>
      <c r="B5727" s="5" t="s">
        <v>1718</v>
      </c>
      <c r="C5727" s="8">
        <v>9</v>
      </c>
      <c r="D5727" s="5" t="s">
        <v>155</v>
      </c>
      <c r="E5727" s="5"/>
      <c r="G5727" s="5"/>
      <c r="H5727" s="5"/>
    </row>
    <row r="5728" spans="1:8" x14ac:dyDescent="0.2">
      <c r="A5728" s="5" t="s">
        <v>6347</v>
      </c>
      <c r="B5728" s="5" t="s">
        <v>5970</v>
      </c>
      <c r="C5728" s="8">
        <v>0.27</v>
      </c>
      <c r="D5728" s="5" t="s">
        <v>382</v>
      </c>
      <c r="E5728" s="5"/>
      <c r="G5728" s="5"/>
      <c r="H5728" s="5"/>
    </row>
    <row r="5729" spans="1:8" x14ac:dyDescent="0.2">
      <c r="A5729" s="5" t="s">
        <v>6348</v>
      </c>
      <c r="B5729" s="5" t="s">
        <v>6332</v>
      </c>
      <c r="C5729" s="8">
        <v>13</v>
      </c>
      <c r="D5729" s="5" t="s">
        <v>42</v>
      </c>
      <c r="E5729" s="5"/>
      <c r="G5729" s="5"/>
      <c r="H5729" s="5"/>
    </row>
    <row r="5730" spans="1:8" x14ac:dyDescent="0.2">
      <c r="A5730" s="5" t="s">
        <v>6349</v>
      </c>
      <c r="B5730" s="5" t="s">
        <v>6334</v>
      </c>
      <c r="C5730" s="8">
        <v>13</v>
      </c>
      <c r="D5730" s="5" t="s">
        <v>42</v>
      </c>
      <c r="E5730" s="5"/>
      <c r="G5730" s="5"/>
      <c r="H5730" s="5"/>
    </row>
    <row r="5731" spans="1:8" x14ac:dyDescent="0.2">
      <c r="A5731" s="5"/>
      <c r="B5731" s="5" t="s">
        <v>6350</v>
      </c>
      <c r="C5731" s="5"/>
      <c r="D5731" s="5" t="s">
        <v>366</v>
      </c>
      <c r="E5731" s="5"/>
      <c r="G5731" s="5"/>
      <c r="H5731" s="5"/>
    </row>
    <row r="5732" spans="1:8" x14ac:dyDescent="0.2">
      <c r="A5732" s="5" t="s">
        <v>6351</v>
      </c>
      <c r="B5732" s="5" t="s">
        <v>5965</v>
      </c>
      <c r="C5732" s="8">
        <v>2</v>
      </c>
      <c r="D5732" s="5" t="s">
        <v>368</v>
      </c>
      <c r="E5732" s="5"/>
      <c r="G5732" s="5"/>
      <c r="H5732" s="5"/>
    </row>
    <row r="5733" spans="1:8" x14ac:dyDescent="0.2">
      <c r="A5733" s="5" t="s">
        <v>6352</v>
      </c>
      <c r="B5733" s="5" t="s">
        <v>5987</v>
      </c>
      <c r="C5733" s="8">
        <v>2</v>
      </c>
      <c r="D5733" s="5" t="s">
        <v>42</v>
      </c>
      <c r="E5733" s="5"/>
      <c r="G5733" s="5"/>
      <c r="H5733" s="5"/>
    </row>
    <row r="5734" spans="1:8" x14ac:dyDescent="0.2">
      <c r="A5734" s="5" t="s">
        <v>6353</v>
      </c>
      <c r="B5734" s="5" t="s">
        <v>6329</v>
      </c>
      <c r="C5734" s="8">
        <v>8</v>
      </c>
      <c r="D5734" s="5" t="s">
        <v>155</v>
      </c>
      <c r="E5734" s="5"/>
      <c r="G5734" s="5"/>
      <c r="H5734" s="5"/>
    </row>
    <row r="5735" spans="1:8" x14ac:dyDescent="0.2">
      <c r="A5735" s="5" t="s">
        <v>6354</v>
      </c>
      <c r="B5735" s="5" t="s">
        <v>5970</v>
      </c>
      <c r="C5735" s="8">
        <v>0.05</v>
      </c>
      <c r="D5735" s="5" t="s">
        <v>382</v>
      </c>
      <c r="E5735" s="5"/>
      <c r="G5735" s="5"/>
      <c r="H5735" s="5"/>
    </row>
    <row r="5736" spans="1:8" x14ac:dyDescent="0.2">
      <c r="A5736" s="5" t="s">
        <v>6355</v>
      </c>
      <c r="B5736" s="5" t="s">
        <v>6332</v>
      </c>
      <c r="C5736" s="8">
        <v>3</v>
      </c>
      <c r="D5736" s="5" t="s">
        <v>42</v>
      </c>
      <c r="E5736" s="5"/>
      <c r="G5736" s="5"/>
      <c r="H5736" s="5"/>
    </row>
    <row r="5737" spans="1:8" x14ac:dyDescent="0.2">
      <c r="A5737" s="5" t="s">
        <v>6356</v>
      </c>
      <c r="B5737" s="5" t="s">
        <v>6334</v>
      </c>
      <c r="C5737" s="8">
        <v>3</v>
      </c>
      <c r="D5737" s="5" t="s">
        <v>42</v>
      </c>
      <c r="E5737" s="5"/>
      <c r="G5737" s="5"/>
      <c r="H5737" s="5"/>
    </row>
    <row r="5738" spans="1:8" x14ac:dyDescent="0.2">
      <c r="A5738" s="5"/>
      <c r="B5738" s="5" t="s">
        <v>6357</v>
      </c>
      <c r="C5738" s="5"/>
      <c r="D5738" s="5" t="s">
        <v>366</v>
      </c>
      <c r="E5738" s="5"/>
      <c r="G5738" s="5"/>
      <c r="H5738" s="5"/>
    </row>
    <row r="5739" spans="1:8" x14ac:dyDescent="0.2">
      <c r="A5739" s="5" t="s">
        <v>6358</v>
      </c>
      <c r="B5739" s="5" t="s">
        <v>5965</v>
      </c>
      <c r="C5739" s="8">
        <v>1</v>
      </c>
      <c r="D5739" s="5" t="s">
        <v>368</v>
      </c>
      <c r="E5739" s="5"/>
      <c r="G5739" s="5"/>
      <c r="H5739" s="5"/>
    </row>
    <row r="5740" spans="1:8" x14ac:dyDescent="0.2">
      <c r="A5740" s="5" t="s">
        <v>6359</v>
      </c>
      <c r="B5740" s="5" t="s">
        <v>1712</v>
      </c>
      <c r="C5740" s="8">
        <v>1</v>
      </c>
      <c r="D5740" s="5" t="s">
        <v>42</v>
      </c>
      <c r="E5740" s="5"/>
      <c r="G5740" s="5"/>
      <c r="H5740" s="5"/>
    </row>
    <row r="5741" spans="1:8" x14ac:dyDescent="0.2">
      <c r="A5741" s="5" t="s">
        <v>6360</v>
      </c>
      <c r="B5741" s="5" t="s">
        <v>6329</v>
      </c>
      <c r="C5741" s="8">
        <v>11</v>
      </c>
      <c r="D5741" s="5" t="s">
        <v>155</v>
      </c>
      <c r="E5741" s="5"/>
      <c r="G5741" s="5"/>
      <c r="H5741" s="5"/>
    </row>
    <row r="5742" spans="1:8" x14ac:dyDescent="0.2">
      <c r="A5742" s="5" t="s">
        <v>6361</v>
      </c>
      <c r="B5742" s="5" t="s">
        <v>5970</v>
      </c>
      <c r="C5742" s="8">
        <v>0.09</v>
      </c>
      <c r="D5742" s="5" t="s">
        <v>382</v>
      </c>
      <c r="E5742" s="5"/>
      <c r="G5742" s="5"/>
      <c r="H5742" s="5"/>
    </row>
    <row r="5743" spans="1:8" x14ac:dyDescent="0.2">
      <c r="A5743" s="5" t="s">
        <v>6362</v>
      </c>
      <c r="B5743" s="5" t="s">
        <v>6332</v>
      </c>
      <c r="C5743" s="8">
        <v>4</v>
      </c>
      <c r="D5743" s="5" t="s">
        <v>42</v>
      </c>
      <c r="E5743" s="5"/>
      <c r="G5743" s="5"/>
      <c r="H5743" s="5"/>
    </row>
    <row r="5744" spans="1:8" x14ac:dyDescent="0.2">
      <c r="A5744" s="5" t="s">
        <v>6363</v>
      </c>
      <c r="B5744" s="5" t="s">
        <v>6334</v>
      </c>
      <c r="C5744" s="8">
        <v>4</v>
      </c>
      <c r="D5744" s="5" t="s">
        <v>42</v>
      </c>
      <c r="E5744" s="5"/>
      <c r="G5744" s="5"/>
      <c r="H5744" s="5"/>
    </row>
    <row r="5745" spans="1:8" x14ac:dyDescent="0.2">
      <c r="A5745" s="5"/>
      <c r="B5745" s="5" t="s">
        <v>6364</v>
      </c>
      <c r="C5745" s="5"/>
      <c r="D5745" s="5" t="s">
        <v>366</v>
      </c>
      <c r="E5745" s="5"/>
      <c r="G5745" s="5"/>
      <c r="H5745" s="5"/>
    </row>
    <row r="5746" spans="1:8" x14ac:dyDescent="0.2">
      <c r="A5746" s="5" t="s">
        <v>6365</v>
      </c>
      <c r="B5746" s="5" t="s">
        <v>5965</v>
      </c>
      <c r="C5746" s="8">
        <v>3</v>
      </c>
      <c r="D5746" s="5" t="s">
        <v>368</v>
      </c>
      <c r="E5746" s="5"/>
      <c r="G5746" s="5"/>
      <c r="H5746" s="5"/>
    </row>
    <row r="5747" spans="1:8" x14ac:dyDescent="0.2">
      <c r="A5747" s="5" t="s">
        <v>6366</v>
      </c>
      <c r="B5747" s="5" t="s">
        <v>1712</v>
      </c>
      <c r="C5747" s="8">
        <v>1</v>
      </c>
      <c r="D5747" s="5" t="s">
        <v>42</v>
      </c>
      <c r="E5747" s="5"/>
      <c r="G5747" s="5"/>
      <c r="H5747" s="5"/>
    </row>
    <row r="5748" spans="1:8" x14ac:dyDescent="0.2">
      <c r="A5748" s="5" t="s">
        <v>6367</v>
      </c>
      <c r="B5748" s="5" t="s">
        <v>6329</v>
      </c>
      <c r="C5748" s="8">
        <v>26</v>
      </c>
      <c r="D5748" s="5" t="s">
        <v>155</v>
      </c>
      <c r="E5748" s="5"/>
      <c r="G5748" s="5"/>
      <c r="H5748" s="5"/>
    </row>
    <row r="5749" spans="1:8" x14ac:dyDescent="0.2">
      <c r="A5749" s="5" t="s">
        <v>6368</v>
      </c>
      <c r="B5749" s="5" t="s">
        <v>5970</v>
      </c>
      <c r="C5749" s="8">
        <v>0.17</v>
      </c>
      <c r="D5749" s="5" t="s">
        <v>382</v>
      </c>
      <c r="E5749" s="5"/>
      <c r="G5749" s="5"/>
      <c r="H5749" s="5"/>
    </row>
    <row r="5750" spans="1:8" x14ac:dyDescent="0.2">
      <c r="A5750" s="5" t="s">
        <v>6369</v>
      </c>
      <c r="B5750" s="5" t="s">
        <v>6332</v>
      </c>
      <c r="C5750" s="8">
        <v>9</v>
      </c>
      <c r="D5750" s="5" t="s">
        <v>42</v>
      </c>
      <c r="E5750" s="5"/>
      <c r="G5750" s="5"/>
      <c r="H5750" s="5"/>
    </row>
    <row r="5751" spans="1:8" x14ac:dyDescent="0.2">
      <c r="A5751" s="5" t="s">
        <v>6370</v>
      </c>
      <c r="B5751" s="5" t="s">
        <v>6334</v>
      </c>
      <c r="C5751" s="8">
        <v>9</v>
      </c>
      <c r="D5751" s="5" t="s">
        <v>42</v>
      </c>
      <c r="E5751" s="5"/>
      <c r="G5751" s="5"/>
      <c r="H5751" s="5"/>
    </row>
    <row r="5752" spans="1:8" x14ac:dyDescent="0.2">
      <c r="A5752" s="5"/>
      <c r="B5752" s="5" t="s">
        <v>53</v>
      </c>
      <c r="C5752" s="5"/>
      <c r="D5752" s="5" t="s">
        <v>13</v>
      </c>
      <c r="E5752" s="5"/>
      <c r="G5752" s="5"/>
      <c r="H5752" s="5"/>
    </row>
    <row r="5753" spans="1:8" x14ac:dyDescent="0.2">
      <c r="A5753" s="5"/>
      <c r="B5753" s="5" t="s">
        <v>6219</v>
      </c>
      <c r="C5753" s="5"/>
      <c r="D5753" s="5" t="s">
        <v>15</v>
      </c>
      <c r="E5753" s="5"/>
      <c r="G5753" s="5"/>
      <c r="H5753" s="5"/>
    </row>
    <row r="5754" spans="1:8" x14ac:dyDescent="0.2">
      <c r="A5754" s="5"/>
      <c r="B5754" s="5" t="s">
        <v>6220</v>
      </c>
      <c r="C5754" s="5"/>
      <c r="D5754" s="5" t="s">
        <v>322</v>
      </c>
      <c r="E5754" s="5"/>
      <c r="G5754" s="5"/>
      <c r="H5754" s="5"/>
    </row>
    <row r="5755" spans="1:8" x14ac:dyDescent="0.2">
      <c r="A5755" s="5" t="s">
        <v>6371</v>
      </c>
      <c r="B5755" s="5" t="s">
        <v>6222</v>
      </c>
      <c r="C5755" s="8">
        <v>37</v>
      </c>
      <c r="D5755" s="5" t="s">
        <v>368</v>
      </c>
      <c r="E5755" s="5"/>
      <c r="G5755" s="5"/>
      <c r="H5755" s="5"/>
    </row>
    <row r="5756" spans="1:8" x14ac:dyDescent="0.2">
      <c r="A5756" s="5" t="s">
        <v>6372</v>
      </c>
      <c r="B5756" s="5" t="s">
        <v>6224</v>
      </c>
      <c r="C5756" s="8">
        <v>266</v>
      </c>
      <c r="D5756" s="5" t="s">
        <v>155</v>
      </c>
      <c r="E5756" s="5"/>
      <c r="G5756" s="5"/>
      <c r="H5756" s="5"/>
    </row>
    <row r="5757" spans="1:8" x14ac:dyDescent="0.2">
      <c r="A5757" s="5" t="s">
        <v>6373</v>
      </c>
      <c r="B5757" s="5" t="s">
        <v>6226</v>
      </c>
      <c r="C5757" s="8">
        <v>328</v>
      </c>
      <c r="D5757" s="5" t="s">
        <v>42</v>
      </c>
      <c r="E5757" s="5"/>
      <c r="G5757" s="5"/>
      <c r="H5757" s="5"/>
    </row>
    <row r="5758" spans="1:8" x14ac:dyDescent="0.2">
      <c r="A5758" s="5" t="s">
        <v>6374</v>
      </c>
      <c r="B5758" s="5" t="s">
        <v>6228</v>
      </c>
      <c r="C5758" s="8">
        <v>328</v>
      </c>
      <c r="D5758" s="5" t="s">
        <v>42</v>
      </c>
      <c r="E5758" s="5"/>
      <c r="G5758" s="5"/>
      <c r="H5758" s="5"/>
    </row>
    <row r="5759" spans="1:8" x14ac:dyDescent="0.2">
      <c r="A5759" s="5" t="s">
        <v>6375</v>
      </c>
      <c r="B5759" s="5" t="s">
        <v>6230</v>
      </c>
      <c r="C5759" s="8">
        <v>328</v>
      </c>
      <c r="D5759" s="5" t="s">
        <v>42</v>
      </c>
      <c r="E5759" s="5"/>
      <c r="G5759" s="5"/>
      <c r="H5759" s="5"/>
    </row>
    <row r="5760" spans="1:8" x14ac:dyDescent="0.2">
      <c r="A5760" s="5" t="s">
        <v>6376</v>
      </c>
      <c r="B5760" s="5" t="s">
        <v>6232</v>
      </c>
      <c r="C5760" s="8">
        <v>328</v>
      </c>
      <c r="D5760" s="5" t="s">
        <v>42</v>
      </c>
      <c r="E5760" s="5"/>
      <c r="G5760" s="5"/>
      <c r="H5760" s="5"/>
    </row>
    <row r="5761" spans="1:8" x14ac:dyDescent="0.2">
      <c r="A5761" s="5" t="s">
        <v>6377</v>
      </c>
      <c r="B5761" s="5" t="s">
        <v>6234</v>
      </c>
      <c r="C5761" s="8">
        <v>328</v>
      </c>
      <c r="D5761" s="5" t="s">
        <v>42</v>
      </c>
      <c r="E5761" s="5"/>
      <c r="G5761" s="5"/>
      <c r="H5761" s="5"/>
    </row>
    <row r="5762" spans="1:8" x14ac:dyDescent="0.2">
      <c r="A5762" s="5" t="s">
        <v>6378</v>
      </c>
      <c r="B5762" s="5" t="s">
        <v>6236</v>
      </c>
      <c r="C5762" s="8">
        <v>328</v>
      </c>
      <c r="D5762" s="5" t="s">
        <v>42</v>
      </c>
      <c r="E5762" s="5"/>
      <c r="G5762" s="5"/>
      <c r="H5762" s="5"/>
    </row>
    <row r="5763" spans="1:8" x14ac:dyDescent="0.2">
      <c r="A5763" s="5" t="s">
        <v>6379</v>
      </c>
      <c r="B5763" s="5" t="s">
        <v>6238</v>
      </c>
      <c r="C5763" s="8">
        <v>328</v>
      </c>
      <c r="D5763" s="5" t="s">
        <v>42</v>
      </c>
      <c r="E5763" s="5"/>
      <c r="G5763" s="5"/>
      <c r="H5763" s="5"/>
    </row>
    <row r="5764" spans="1:8" x14ac:dyDescent="0.2">
      <c r="A5764" s="5" t="s">
        <v>6380</v>
      </c>
      <c r="B5764" s="5" t="s">
        <v>6240</v>
      </c>
      <c r="C5764" s="8">
        <v>30</v>
      </c>
      <c r="D5764" s="5" t="s">
        <v>368</v>
      </c>
      <c r="E5764" s="5"/>
      <c r="G5764" s="5"/>
      <c r="H5764" s="5"/>
    </row>
    <row r="5765" spans="1:8" x14ac:dyDescent="0.2">
      <c r="A5765" s="5" t="s">
        <v>6381</v>
      </c>
      <c r="B5765" s="5" t="s">
        <v>6224</v>
      </c>
      <c r="C5765" s="8">
        <v>213</v>
      </c>
      <c r="D5765" s="5" t="s">
        <v>155</v>
      </c>
      <c r="E5765" s="5"/>
      <c r="G5765" s="5"/>
      <c r="H5765" s="5"/>
    </row>
    <row r="5766" spans="1:8" x14ac:dyDescent="0.2">
      <c r="A5766" s="5" t="s">
        <v>6382</v>
      </c>
      <c r="B5766" s="5" t="s">
        <v>6226</v>
      </c>
      <c r="C5766" s="8">
        <v>271</v>
      </c>
      <c r="D5766" s="5" t="s">
        <v>42</v>
      </c>
      <c r="E5766" s="5"/>
      <c r="G5766" s="5"/>
      <c r="H5766" s="5"/>
    </row>
    <row r="5767" spans="1:8" x14ac:dyDescent="0.2">
      <c r="A5767" s="5" t="s">
        <v>6383</v>
      </c>
      <c r="B5767" s="5" t="s">
        <v>6244</v>
      </c>
      <c r="C5767" s="8">
        <v>271</v>
      </c>
      <c r="D5767" s="5" t="s">
        <v>42</v>
      </c>
      <c r="E5767" s="5"/>
      <c r="G5767" s="5"/>
      <c r="H5767" s="5"/>
    </row>
    <row r="5768" spans="1:8" x14ac:dyDescent="0.2">
      <c r="A5768" s="5" t="s">
        <v>6384</v>
      </c>
      <c r="B5768" s="5" t="s">
        <v>6230</v>
      </c>
      <c r="C5768" s="8">
        <v>271</v>
      </c>
      <c r="D5768" s="5" t="s">
        <v>42</v>
      </c>
      <c r="E5768" s="5"/>
      <c r="G5768" s="5"/>
      <c r="H5768" s="5"/>
    </row>
    <row r="5769" spans="1:8" x14ac:dyDescent="0.2">
      <c r="A5769" s="5" t="s">
        <v>6385</v>
      </c>
      <c r="B5769" s="5" t="s">
        <v>6232</v>
      </c>
      <c r="C5769" s="8">
        <v>271</v>
      </c>
      <c r="D5769" s="5" t="s">
        <v>42</v>
      </c>
      <c r="E5769" s="5"/>
      <c r="G5769" s="5"/>
      <c r="H5769" s="5"/>
    </row>
    <row r="5770" spans="1:8" x14ac:dyDescent="0.2">
      <c r="A5770" s="5" t="s">
        <v>6386</v>
      </c>
      <c r="B5770" s="5" t="s">
        <v>6234</v>
      </c>
      <c r="C5770" s="8">
        <v>271</v>
      </c>
      <c r="D5770" s="5" t="s">
        <v>42</v>
      </c>
      <c r="E5770" s="5"/>
      <c r="G5770" s="5"/>
      <c r="H5770" s="5"/>
    </row>
    <row r="5771" spans="1:8" x14ac:dyDescent="0.2">
      <c r="A5771" s="5" t="s">
        <v>6387</v>
      </c>
      <c r="B5771" s="5" t="s">
        <v>6236</v>
      </c>
      <c r="C5771" s="8">
        <v>271</v>
      </c>
      <c r="D5771" s="5" t="s">
        <v>42</v>
      </c>
      <c r="E5771" s="5"/>
      <c r="G5771" s="5"/>
      <c r="H5771" s="5"/>
    </row>
    <row r="5772" spans="1:8" x14ac:dyDescent="0.2">
      <c r="A5772" s="5" t="s">
        <v>6388</v>
      </c>
      <c r="B5772" s="5" t="s">
        <v>6238</v>
      </c>
      <c r="C5772" s="8">
        <v>271</v>
      </c>
      <c r="D5772" s="5" t="s">
        <v>42</v>
      </c>
      <c r="E5772" s="5"/>
      <c r="G5772" s="5"/>
      <c r="H5772" s="5"/>
    </row>
    <row r="5773" spans="1:8" x14ac:dyDescent="0.2">
      <c r="A5773" s="5" t="s">
        <v>6389</v>
      </c>
      <c r="B5773" s="5" t="s">
        <v>6251</v>
      </c>
      <c r="C5773" s="8">
        <v>77</v>
      </c>
      <c r="D5773" s="5" t="s">
        <v>42</v>
      </c>
      <c r="E5773" s="5"/>
      <c r="G5773" s="5"/>
      <c r="H5773" s="5"/>
    </row>
    <row r="5774" spans="1:8" x14ac:dyDescent="0.2">
      <c r="A5774" s="5" t="s">
        <v>6390</v>
      </c>
      <c r="B5774" s="5" t="s">
        <v>6253</v>
      </c>
      <c r="C5774" s="8">
        <v>77</v>
      </c>
      <c r="D5774" s="5" t="s">
        <v>42</v>
      </c>
      <c r="E5774" s="5"/>
      <c r="G5774" s="5"/>
      <c r="H5774" s="5"/>
    </row>
    <row r="5775" spans="1:8" x14ac:dyDescent="0.2">
      <c r="A5775" s="5" t="s">
        <v>6391</v>
      </c>
      <c r="B5775" s="5" t="s">
        <v>6255</v>
      </c>
      <c r="C5775" s="8">
        <v>77</v>
      </c>
      <c r="D5775" s="5" t="s">
        <v>42</v>
      </c>
      <c r="E5775" s="5"/>
      <c r="G5775" s="5"/>
      <c r="H5775" s="5"/>
    </row>
    <row r="5776" spans="1:8" x14ac:dyDescent="0.2">
      <c r="A5776" s="5"/>
      <c r="B5776" s="5" t="s">
        <v>6266</v>
      </c>
      <c r="C5776" s="5"/>
      <c r="D5776" s="5" t="s">
        <v>322</v>
      </c>
      <c r="E5776" s="5"/>
      <c r="G5776" s="5"/>
      <c r="H5776" s="5"/>
    </row>
    <row r="5777" spans="1:8" x14ac:dyDescent="0.2">
      <c r="A5777" s="5" t="s">
        <v>6392</v>
      </c>
      <c r="B5777" s="5" t="s">
        <v>6035</v>
      </c>
      <c r="C5777" s="8">
        <v>18</v>
      </c>
      <c r="D5777" s="5" t="s">
        <v>368</v>
      </c>
      <c r="E5777" s="5"/>
      <c r="G5777" s="5"/>
      <c r="H5777" s="5"/>
    </row>
    <row r="5778" spans="1:8" x14ac:dyDescent="0.2">
      <c r="A5778" s="5" t="s">
        <v>6393</v>
      </c>
      <c r="B5778" s="5" t="s">
        <v>6037</v>
      </c>
      <c r="C5778" s="8">
        <v>44</v>
      </c>
      <c r="D5778" s="5" t="s">
        <v>42</v>
      </c>
      <c r="E5778" s="5"/>
      <c r="G5778" s="5"/>
      <c r="H5778" s="5"/>
    </row>
    <row r="5779" spans="1:8" x14ac:dyDescent="0.2">
      <c r="A5779" s="5" t="s">
        <v>6394</v>
      </c>
      <c r="B5779" s="5" t="s">
        <v>6270</v>
      </c>
      <c r="C5779" s="8">
        <v>65</v>
      </c>
      <c r="D5779" s="5" t="s">
        <v>42</v>
      </c>
      <c r="E5779" s="5"/>
      <c r="G5779" s="5"/>
      <c r="H5779" s="5"/>
    </row>
    <row r="5780" spans="1:8" x14ac:dyDescent="0.2">
      <c r="A5780" s="5" t="s">
        <v>6395</v>
      </c>
      <c r="B5780" s="5" t="s">
        <v>6272</v>
      </c>
      <c r="C5780" s="8">
        <v>2.23</v>
      </c>
      <c r="D5780" s="5" t="s">
        <v>382</v>
      </c>
      <c r="E5780" s="5"/>
      <c r="G5780" s="5"/>
      <c r="H5780" s="5"/>
    </row>
    <row r="5781" spans="1:8" x14ac:dyDescent="0.2">
      <c r="A5781" s="5" t="s">
        <v>6396</v>
      </c>
      <c r="B5781" s="5" t="s">
        <v>6041</v>
      </c>
      <c r="C5781" s="8">
        <v>8</v>
      </c>
      <c r="D5781" s="5" t="s">
        <v>368</v>
      </c>
      <c r="E5781" s="5"/>
      <c r="G5781" s="5"/>
      <c r="H5781" s="5"/>
    </row>
    <row r="5782" spans="1:8" x14ac:dyDescent="0.2">
      <c r="A5782" s="5" t="s">
        <v>6397</v>
      </c>
      <c r="B5782" s="5" t="s">
        <v>6009</v>
      </c>
      <c r="C5782" s="8">
        <v>65</v>
      </c>
      <c r="D5782" s="5" t="s">
        <v>42</v>
      </c>
      <c r="E5782" s="5"/>
      <c r="G5782" s="5"/>
      <c r="H5782" s="5"/>
    </row>
    <row r="5783" spans="1:8" x14ac:dyDescent="0.2">
      <c r="A5783" s="5" t="s">
        <v>6398</v>
      </c>
      <c r="B5783" s="5" t="s">
        <v>6011</v>
      </c>
      <c r="C5783" s="8">
        <v>69</v>
      </c>
      <c r="D5783" s="5" t="s">
        <v>155</v>
      </c>
      <c r="E5783" s="5"/>
      <c r="G5783" s="5"/>
      <c r="H5783" s="5"/>
    </row>
    <row r="5784" spans="1:8" x14ac:dyDescent="0.2">
      <c r="A5784" s="5"/>
      <c r="B5784" s="5" t="s">
        <v>6276</v>
      </c>
      <c r="C5784" s="5"/>
      <c r="D5784" s="5" t="s">
        <v>15</v>
      </c>
      <c r="E5784" s="5"/>
      <c r="G5784" s="5"/>
      <c r="H5784" s="5"/>
    </row>
    <row r="5785" spans="1:8" x14ac:dyDescent="0.2">
      <c r="A5785" s="5"/>
      <c r="B5785" s="5" t="s">
        <v>6277</v>
      </c>
      <c r="C5785" s="5"/>
      <c r="D5785" s="5" t="s">
        <v>322</v>
      </c>
      <c r="E5785" s="5"/>
      <c r="G5785" s="5"/>
      <c r="H5785" s="5"/>
    </row>
    <row r="5786" spans="1:8" x14ac:dyDescent="0.2">
      <c r="A5786" s="5"/>
      <c r="B5786" s="5" t="s">
        <v>6399</v>
      </c>
      <c r="C5786" s="5"/>
      <c r="D5786" s="5" t="s">
        <v>366</v>
      </c>
      <c r="E5786" s="5"/>
      <c r="G5786" s="5"/>
      <c r="H5786" s="5"/>
    </row>
    <row r="5787" spans="1:8" x14ac:dyDescent="0.2">
      <c r="A5787" s="5" t="s">
        <v>6400</v>
      </c>
      <c r="B5787" s="5" t="s">
        <v>6401</v>
      </c>
      <c r="C5787" s="8">
        <v>1</v>
      </c>
      <c r="D5787" s="5" t="s">
        <v>162</v>
      </c>
      <c r="E5787" s="5"/>
      <c r="G5787" s="5"/>
      <c r="H5787" s="5"/>
    </row>
    <row r="5788" spans="1:8" x14ac:dyDescent="0.2">
      <c r="A5788" s="5"/>
      <c r="B5788" s="5" t="s">
        <v>6278</v>
      </c>
      <c r="C5788" s="5"/>
      <c r="D5788" s="5" t="s">
        <v>366</v>
      </c>
      <c r="E5788" s="5"/>
      <c r="G5788" s="5"/>
      <c r="H5788" s="5"/>
    </row>
    <row r="5789" spans="1:8" x14ac:dyDescent="0.2">
      <c r="A5789" s="5" t="s">
        <v>6402</v>
      </c>
      <c r="B5789" s="5" t="s">
        <v>6403</v>
      </c>
      <c r="C5789" s="8">
        <v>1</v>
      </c>
      <c r="D5789" s="5" t="s">
        <v>162</v>
      </c>
      <c r="E5789" s="5"/>
      <c r="G5789" s="5"/>
      <c r="H5789" s="5"/>
    </row>
    <row r="5790" spans="1:8" x14ac:dyDescent="0.2">
      <c r="A5790" s="5" t="s">
        <v>6404</v>
      </c>
      <c r="B5790" s="5" t="s">
        <v>6405</v>
      </c>
      <c r="C5790" s="8">
        <v>1</v>
      </c>
      <c r="D5790" s="5" t="s">
        <v>162</v>
      </c>
      <c r="E5790" s="5"/>
      <c r="G5790" s="5"/>
      <c r="H5790" s="5"/>
    </row>
    <row r="5791" spans="1:8" x14ac:dyDescent="0.2">
      <c r="A5791" s="5" t="s">
        <v>6406</v>
      </c>
      <c r="B5791" s="5" t="s">
        <v>6407</v>
      </c>
      <c r="C5791" s="8">
        <v>1</v>
      </c>
      <c r="D5791" s="5" t="s">
        <v>162</v>
      </c>
      <c r="E5791" s="5"/>
      <c r="G5791" s="5"/>
      <c r="H5791" s="5"/>
    </row>
    <row r="5792" spans="1:8" x14ac:dyDescent="0.2">
      <c r="A5792" s="5" t="s">
        <v>6408</v>
      </c>
      <c r="B5792" s="5" t="s">
        <v>6409</v>
      </c>
      <c r="C5792" s="8">
        <v>1</v>
      </c>
      <c r="D5792" s="5" t="s">
        <v>162</v>
      </c>
      <c r="E5792" s="5"/>
      <c r="G5792" s="5"/>
      <c r="H5792" s="5"/>
    </row>
    <row r="5793" spans="1:8" x14ac:dyDescent="0.2">
      <c r="A5793" s="5" t="s">
        <v>6410</v>
      </c>
      <c r="B5793" s="5" t="s">
        <v>6411</v>
      </c>
      <c r="C5793" s="8">
        <v>1</v>
      </c>
      <c r="D5793" s="5" t="s">
        <v>162</v>
      </c>
      <c r="E5793" s="5"/>
      <c r="G5793" s="5"/>
      <c r="H5793" s="5"/>
    </row>
    <row r="5794" spans="1:8" x14ac:dyDescent="0.2">
      <c r="A5794" s="5"/>
      <c r="B5794" s="5" t="s">
        <v>6288</v>
      </c>
      <c r="C5794" s="5"/>
      <c r="D5794" s="5" t="s">
        <v>15</v>
      </c>
      <c r="E5794" s="5"/>
      <c r="G5794" s="5"/>
      <c r="H5794" s="5"/>
    </row>
    <row r="5795" spans="1:8" x14ac:dyDescent="0.2">
      <c r="A5795" s="5"/>
      <c r="B5795" s="5" t="s">
        <v>6289</v>
      </c>
      <c r="C5795" s="5"/>
      <c r="D5795" s="5" t="s">
        <v>322</v>
      </c>
      <c r="E5795" s="5"/>
      <c r="G5795" s="5"/>
      <c r="H5795" s="5"/>
    </row>
    <row r="5796" spans="1:8" x14ac:dyDescent="0.2">
      <c r="A5796" s="5" t="s">
        <v>6412</v>
      </c>
      <c r="B5796" s="5" t="s">
        <v>6291</v>
      </c>
      <c r="C5796" s="8">
        <v>99</v>
      </c>
      <c r="D5796" s="5" t="s">
        <v>155</v>
      </c>
      <c r="E5796" s="5"/>
      <c r="G5796" s="5"/>
      <c r="H5796" s="5"/>
    </row>
    <row r="5797" spans="1:8" x14ac:dyDescent="0.2">
      <c r="A5797" s="5" t="s">
        <v>6413</v>
      </c>
      <c r="B5797" s="5" t="s">
        <v>6293</v>
      </c>
      <c r="C5797" s="8">
        <v>27</v>
      </c>
      <c r="D5797" s="5" t="s">
        <v>155</v>
      </c>
      <c r="E5797" s="5"/>
      <c r="G5797" s="5"/>
      <c r="H5797" s="5"/>
    </row>
    <row r="5798" spans="1:8" x14ac:dyDescent="0.2">
      <c r="A5798" s="5" t="s">
        <v>6414</v>
      </c>
      <c r="B5798" s="5" t="s">
        <v>6415</v>
      </c>
      <c r="C5798" s="8">
        <v>9</v>
      </c>
      <c r="D5798" s="5" t="s">
        <v>155</v>
      </c>
      <c r="E5798" s="5"/>
      <c r="G5798" s="5"/>
      <c r="H5798" s="5"/>
    </row>
    <row r="5799" spans="1:8" x14ac:dyDescent="0.2">
      <c r="A5799" s="5"/>
      <c r="B5799" s="5" t="s">
        <v>6299</v>
      </c>
      <c r="C5799" s="5"/>
      <c r="D5799" s="5" t="s">
        <v>15</v>
      </c>
      <c r="E5799" s="5"/>
      <c r="G5799" s="5"/>
      <c r="H5799" s="5"/>
    </row>
    <row r="5800" spans="1:8" x14ac:dyDescent="0.2">
      <c r="A5800" s="5" t="s">
        <v>6416</v>
      </c>
      <c r="B5800" s="5" t="s">
        <v>6301</v>
      </c>
      <c r="C5800" s="8">
        <v>102</v>
      </c>
      <c r="D5800" s="5" t="s">
        <v>155</v>
      </c>
      <c r="E5800" s="5"/>
      <c r="G5800" s="5"/>
      <c r="H5800" s="5"/>
    </row>
    <row r="5801" spans="1:8" x14ac:dyDescent="0.2">
      <c r="A5801" s="5"/>
      <c r="B5801" s="5" t="s">
        <v>6302</v>
      </c>
      <c r="C5801" s="5"/>
      <c r="D5801" s="5" t="s">
        <v>15</v>
      </c>
      <c r="E5801" s="5"/>
      <c r="G5801" s="5"/>
      <c r="H5801" s="5"/>
    </row>
    <row r="5802" spans="1:8" x14ac:dyDescent="0.2">
      <c r="A5802" s="5" t="s">
        <v>6417</v>
      </c>
      <c r="B5802" s="5" t="s">
        <v>6418</v>
      </c>
      <c r="C5802" s="8">
        <v>1</v>
      </c>
      <c r="D5802" s="5" t="s">
        <v>162</v>
      </c>
      <c r="E5802" s="5"/>
      <c r="G5802" s="5"/>
      <c r="H5802" s="5"/>
    </row>
    <row r="5803" spans="1:8" x14ac:dyDescent="0.2">
      <c r="A5803" s="5"/>
      <c r="B5803" s="5" t="s">
        <v>6324</v>
      </c>
      <c r="C5803" s="5"/>
      <c r="D5803" s="5" t="s">
        <v>15</v>
      </c>
      <c r="E5803" s="5"/>
      <c r="G5803" s="5"/>
      <c r="H5803" s="5"/>
    </row>
    <row r="5804" spans="1:8" x14ac:dyDescent="0.2">
      <c r="A5804" s="5"/>
      <c r="B5804" s="5" t="s">
        <v>6419</v>
      </c>
      <c r="C5804" s="5"/>
      <c r="D5804" s="5" t="s">
        <v>366</v>
      </c>
      <c r="E5804" s="5"/>
      <c r="G5804" s="5"/>
      <c r="H5804" s="5"/>
    </row>
    <row r="5805" spans="1:8" x14ac:dyDescent="0.2">
      <c r="A5805" s="5" t="s">
        <v>6420</v>
      </c>
      <c r="B5805" s="5" t="s">
        <v>5965</v>
      </c>
      <c r="C5805" s="8">
        <v>2</v>
      </c>
      <c r="D5805" s="5" t="s">
        <v>368</v>
      </c>
      <c r="E5805" s="5"/>
      <c r="G5805" s="5"/>
      <c r="H5805" s="5"/>
    </row>
    <row r="5806" spans="1:8" x14ac:dyDescent="0.2">
      <c r="A5806" s="5" t="s">
        <v>6421</v>
      </c>
      <c r="B5806" s="5" t="s">
        <v>1712</v>
      </c>
      <c r="C5806" s="8">
        <v>1</v>
      </c>
      <c r="D5806" s="5" t="s">
        <v>42</v>
      </c>
      <c r="E5806" s="5"/>
      <c r="G5806" s="5"/>
      <c r="H5806" s="5"/>
    </row>
    <row r="5807" spans="1:8" x14ac:dyDescent="0.2">
      <c r="A5807" s="5" t="s">
        <v>6422</v>
      </c>
      <c r="B5807" s="5" t="s">
        <v>6423</v>
      </c>
      <c r="C5807" s="8">
        <v>21</v>
      </c>
      <c r="D5807" s="5" t="s">
        <v>155</v>
      </c>
      <c r="E5807" s="5"/>
      <c r="G5807" s="5"/>
      <c r="H5807" s="5"/>
    </row>
    <row r="5808" spans="1:8" x14ac:dyDescent="0.2">
      <c r="A5808" s="5" t="s">
        <v>6424</v>
      </c>
      <c r="B5808" s="5" t="s">
        <v>1718</v>
      </c>
      <c r="C5808" s="8">
        <v>13</v>
      </c>
      <c r="D5808" s="5" t="s">
        <v>155</v>
      </c>
      <c r="E5808" s="5"/>
      <c r="G5808" s="5"/>
      <c r="H5808" s="5"/>
    </row>
    <row r="5809" spans="1:8" x14ac:dyDescent="0.2">
      <c r="A5809" s="5" t="s">
        <v>6425</v>
      </c>
      <c r="B5809" s="5" t="s">
        <v>5970</v>
      </c>
      <c r="C5809" s="8">
        <v>0.26</v>
      </c>
      <c r="D5809" s="5" t="s">
        <v>382</v>
      </c>
      <c r="E5809" s="5"/>
      <c r="G5809" s="5"/>
      <c r="H5809" s="5"/>
    </row>
    <row r="5810" spans="1:8" x14ac:dyDescent="0.2">
      <c r="A5810" s="5" t="s">
        <v>6426</v>
      </c>
      <c r="B5810" s="5" t="s">
        <v>6332</v>
      </c>
      <c r="C5810" s="8">
        <v>10</v>
      </c>
      <c r="D5810" s="5" t="s">
        <v>42</v>
      </c>
      <c r="E5810" s="5"/>
      <c r="G5810" s="5"/>
      <c r="H5810" s="5"/>
    </row>
    <row r="5811" spans="1:8" x14ac:dyDescent="0.2">
      <c r="A5811" s="5" t="s">
        <v>6427</v>
      </c>
      <c r="B5811" s="5" t="s">
        <v>6334</v>
      </c>
      <c r="C5811" s="8">
        <v>10</v>
      </c>
      <c r="D5811" s="5" t="s">
        <v>42</v>
      </c>
      <c r="E5811" s="5"/>
      <c r="G5811" s="5"/>
      <c r="H5811" s="5"/>
    </row>
    <row r="5812" spans="1:8" x14ac:dyDescent="0.2">
      <c r="A5812" s="5"/>
      <c r="B5812" s="5" t="s">
        <v>6428</v>
      </c>
      <c r="C5812" s="5"/>
      <c r="D5812" s="5" t="s">
        <v>366</v>
      </c>
      <c r="E5812" s="5"/>
      <c r="G5812" s="5"/>
      <c r="H5812" s="5"/>
    </row>
    <row r="5813" spans="1:8" x14ac:dyDescent="0.2">
      <c r="A5813" s="5" t="s">
        <v>6429</v>
      </c>
      <c r="B5813" s="5" t="s">
        <v>5965</v>
      </c>
      <c r="C5813" s="8">
        <v>1</v>
      </c>
      <c r="D5813" s="5" t="s">
        <v>368</v>
      </c>
      <c r="E5813" s="5"/>
      <c r="G5813" s="5"/>
      <c r="H5813" s="5"/>
    </row>
    <row r="5814" spans="1:8" x14ac:dyDescent="0.2">
      <c r="A5814" s="5" t="s">
        <v>6430</v>
      </c>
      <c r="B5814" s="5" t="s">
        <v>1712</v>
      </c>
      <c r="C5814" s="8">
        <v>1</v>
      </c>
      <c r="D5814" s="5" t="s">
        <v>42</v>
      </c>
      <c r="E5814" s="5"/>
      <c r="G5814" s="5"/>
      <c r="H5814" s="5"/>
    </row>
    <row r="5815" spans="1:8" x14ac:dyDescent="0.2">
      <c r="A5815" s="5" t="s">
        <v>6431</v>
      </c>
      <c r="B5815" s="5" t="s">
        <v>6423</v>
      </c>
      <c r="C5815" s="8">
        <v>10</v>
      </c>
      <c r="D5815" s="5" t="s">
        <v>155</v>
      </c>
      <c r="E5815" s="5"/>
      <c r="G5815" s="5"/>
      <c r="H5815" s="5"/>
    </row>
    <row r="5816" spans="1:8" x14ac:dyDescent="0.2">
      <c r="A5816" s="5" t="s">
        <v>6432</v>
      </c>
      <c r="B5816" s="5" t="s">
        <v>5970</v>
      </c>
      <c r="C5816" s="8">
        <v>0.1</v>
      </c>
      <c r="D5816" s="5" t="s">
        <v>382</v>
      </c>
      <c r="E5816" s="5"/>
      <c r="G5816" s="5"/>
      <c r="H5816" s="5"/>
    </row>
    <row r="5817" spans="1:8" x14ac:dyDescent="0.2">
      <c r="A5817" s="5" t="s">
        <v>6433</v>
      </c>
      <c r="B5817" s="5" t="s">
        <v>6332</v>
      </c>
      <c r="C5817" s="8">
        <v>4</v>
      </c>
      <c r="D5817" s="5" t="s">
        <v>42</v>
      </c>
      <c r="E5817" s="5"/>
      <c r="G5817" s="5"/>
      <c r="H5817" s="5"/>
    </row>
    <row r="5818" spans="1:8" x14ac:dyDescent="0.2">
      <c r="A5818" s="5" t="s">
        <v>6434</v>
      </c>
      <c r="B5818" s="5" t="s">
        <v>6334</v>
      </c>
      <c r="C5818" s="8">
        <v>4</v>
      </c>
      <c r="D5818" s="5" t="s">
        <v>42</v>
      </c>
      <c r="E5818" s="5"/>
      <c r="G5818" s="5"/>
      <c r="H5818" s="5"/>
    </row>
    <row r="5819" spans="1:8" x14ac:dyDescent="0.2">
      <c r="A5819" s="5"/>
      <c r="B5819" s="5" t="s">
        <v>6435</v>
      </c>
      <c r="C5819" s="5"/>
      <c r="D5819" s="5" t="s">
        <v>366</v>
      </c>
      <c r="E5819" s="5"/>
      <c r="G5819" s="5"/>
      <c r="H5819" s="5"/>
    </row>
    <row r="5820" spans="1:8" x14ac:dyDescent="0.2">
      <c r="A5820" s="5" t="s">
        <v>6436</v>
      </c>
      <c r="B5820" s="5" t="s">
        <v>5965</v>
      </c>
      <c r="C5820" s="8">
        <v>2</v>
      </c>
      <c r="D5820" s="5" t="s">
        <v>368</v>
      </c>
      <c r="E5820" s="5"/>
      <c r="G5820" s="5"/>
      <c r="H5820" s="5"/>
    </row>
    <row r="5821" spans="1:8" x14ac:dyDescent="0.2">
      <c r="A5821" s="5" t="s">
        <v>6437</v>
      </c>
      <c r="B5821" s="5" t="s">
        <v>1712</v>
      </c>
      <c r="C5821" s="8">
        <v>1</v>
      </c>
      <c r="D5821" s="5" t="s">
        <v>42</v>
      </c>
      <c r="E5821" s="5"/>
      <c r="G5821" s="5"/>
      <c r="H5821" s="5"/>
    </row>
    <row r="5822" spans="1:8" x14ac:dyDescent="0.2">
      <c r="A5822" s="5" t="s">
        <v>6438</v>
      </c>
      <c r="B5822" s="5" t="s">
        <v>6423</v>
      </c>
      <c r="C5822" s="8">
        <v>23</v>
      </c>
      <c r="D5822" s="5" t="s">
        <v>155</v>
      </c>
      <c r="E5822" s="5"/>
      <c r="G5822" s="5"/>
      <c r="H5822" s="5"/>
    </row>
    <row r="5823" spans="1:8" x14ac:dyDescent="0.2">
      <c r="A5823" s="5" t="s">
        <v>6439</v>
      </c>
      <c r="B5823" s="5" t="s">
        <v>5970</v>
      </c>
      <c r="C5823" s="8">
        <v>0.15</v>
      </c>
      <c r="D5823" s="5" t="s">
        <v>382</v>
      </c>
      <c r="E5823" s="5"/>
      <c r="G5823" s="5"/>
      <c r="H5823" s="5"/>
    </row>
    <row r="5824" spans="1:8" x14ac:dyDescent="0.2">
      <c r="A5824" s="5" t="s">
        <v>6440</v>
      </c>
      <c r="B5824" s="5" t="s">
        <v>6332</v>
      </c>
      <c r="C5824" s="8">
        <v>8</v>
      </c>
      <c r="D5824" s="5" t="s">
        <v>42</v>
      </c>
      <c r="E5824" s="5"/>
      <c r="G5824" s="5"/>
      <c r="H5824" s="5"/>
    </row>
    <row r="5825" spans="1:9" x14ac:dyDescent="0.2">
      <c r="A5825" s="5" t="s">
        <v>6441</v>
      </c>
      <c r="B5825" s="5" t="s">
        <v>6334</v>
      </c>
      <c r="C5825" s="8">
        <v>8</v>
      </c>
      <c r="D5825" s="5" t="s">
        <v>42</v>
      </c>
      <c r="E5825" s="5"/>
      <c r="G5825" s="5"/>
      <c r="H5825" s="5"/>
    </row>
    <row r="5826" spans="1:9" x14ac:dyDescent="0.2">
      <c r="B5826" s="6" t="s">
        <v>6442</v>
      </c>
      <c r="C5826" s="6"/>
      <c r="D5826" s="6"/>
      <c r="E5826" s="6"/>
      <c r="F5826" s="9">
        <f>ROUNDUP(SUM(H5613:H5826),0)</f>
        <v>0</v>
      </c>
      <c r="G5826" s="6"/>
      <c r="I5826" s="9">
        <f>PRODUCT(F5826,G5826)</f>
        <v>0</v>
      </c>
    </row>
    <row r="5828" spans="1:9" x14ac:dyDescent="0.2">
      <c r="A5828" s="6" t="s">
        <v>6443</v>
      </c>
      <c r="B5828" s="6" t="s">
        <v>6444</v>
      </c>
    </row>
    <row r="5829" spans="1:9" x14ac:dyDescent="0.2">
      <c r="A5829" s="5"/>
      <c r="B5829" s="5" t="s">
        <v>38</v>
      </c>
      <c r="C5829" s="5"/>
      <c r="D5829" s="5" t="s">
        <v>13</v>
      </c>
      <c r="E5829" s="5"/>
      <c r="G5829" s="5"/>
      <c r="H5829" s="5"/>
    </row>
    <row r="5830" spans="1:9" x14ac:dyDescent="0.2">
      <c r="A5830" s="5"/>
      <c r="B5830" s="5" t="s">
        <v>6445</v>
      </c>
      <c r="C5830" s="5"/>
      <c r="D5830" s="5" t="s">
        <v>15</v>
      </c>
      <c r="E5830" s="5"/>
      <c r="G5830" s="5"/>
      <c r="H5830" s="5"/>
    </row>
    <row r="5831" spans="1:9" x14ac:dyDescent="0.2">
      <c r="A5831" s="5"/>
      <c r="B5831" s="5" t="s">
        <v>6446</v>
      </c>
      <c r="C5831" s="5"/>
      <c r="D5831" s="5" t="s">
        <v>322</v>
      </c>
      <c r="E5831" s="5"/>
      <c r="G5831" s="5"/>
      <c r="H5831" s="5"/>
    </row>
    <row r="5832" spans="1:9" x14ac:dyDescent="0.2">
      <c r="A5832" s="5" t="s">
        <v>6447</v>
      </c>
      <c r="B5832" s="5" t="s">
        <v>3017</v>
      </c>
      <c r="C5832" s="8">
        <v>629</v>
      </c>
      <c r="D5832" s="5" t="s">
        <v>42</v>
      </c>
      <c r="E5832" s="5"/>
      <c r="G5832" s="5"/>
      <c r="H5832" s="5"/>
    </row>
    <row r="5833" spans="1:9" x14ac:dyDescent="0.2">
      <c r="A5833" s="5" t="s">
        <v>6448</v>
      </c>
      <c r="B5833" s="5" t="s">
        <v>2988</v>
      </c>
      <c r="C5833" s="8">
        <v>1599</v>
      </c>
      <c r="D5833" s="5" t="s">
        <v>42</v>
      </c>
      <c r="E5833" s="5"/>
      <c r="G5833" s="5"/>
      <c r="H5833" s="5"/>
    </row>
    <row r="5834" spans="1:9" x14ac:dyDescent="0.2">
      <c r="A5834" s="5" t="s">
        <v>6449</v>
      </c>
      <c r="B5834" s="5" t="s">
        <v>2990</v>
      </c>
      <c r="C5834" s="8">
        <v>1578</v>
      </c>
      <c r="D5834" s="5" t="s">
        <v>42</v>
      </c>
      <c r="E5834" s="5"/>
      <c r="G5834" s="5"/>
      <c r="H5834" s="5"/>
    </row>
    <row r="5835" spans="1:9" x14ac:dyDescent="0.2">
      <c r="A5835" s="5" t="s">
        <v>6450</v>
      </c>
      <c r="B5835" s="5" t="s">
        <v>2992</v>
      </c>
      <c r="C5835" s="8">
        <v>1143</v>
      </c>
      <c r="D5835" s="5" t="s">
        <v>42</v>
      </c>
      <c r="E5835" s="5"/>
      <c r="G5835" s="5"/>
      <c r="H5835" s="5"/>
    </row>
    <row r="5836" spans="1:9" x14ac:dyDescent="0.2">
      <c r="A5836" s="5"/>
      <c r="B5836" s="5" t="s">
        <v>53</v>
      </c>
      <c r="C5836" s="5"/>
      <c r="D5836" s="5" t="s">
        <v>13</v>
      </c>
      <c r="E5836" s="5"/>
      <c r="G5836" s="5"/>
      <c r="H5836" s="5"/>
    </row>
    <row r="5837" spans="1:9" x14ac:dyDescent="0.2">
      <c r="A5837" s="5"/>
      <c r="B5837" s="5" t="s">
        <v>6445</v>
      </c>
      <c r="C5837" s="5"/>
      <c r="D5837" s="5" t="s">
        <v>15</v>
      </c>
      <c r="E5837" s="5"/>
      <c r="G5837" s="5"/>
      <c r="H5837" s="5"/>
    </row>
    <row r="5838" spans="1:9" x14ac:dyDescent="0.2">
      <c r="A5838" s="5"/>
      <c r="B5838" s="5" t="s">
        <v>6446</v>
      </c>
      <c r="C5838" s="5"/>
      <c r="D5838" s="5" t="s">
        <v>322</v>
      </c>
      <c r="E5838" s="5"/>
      <c r="G5838" s="5"/>
      <c r="H5838" s="5"/>
    </row>
    <row r="5839" spans="1:9" x14ac:dyDescent="0.2">
      <c r="A5839" s="5" t="s">
        <v>6451</v>
      </c>
      <c r="B5839" s="5" t="s">
        <v>3017</v>
      </c>
      <c r="C5839" s="8">
        <v>670</v>
      </c>
      <c r="D5839" s="5" t="s">
        <v>42</v>
      </c>
      <c r="E5839" s="5"/>
      <c r="G5839" s="5"/>
      <c r="H5839" s="5"/>
    </row>
    <row r="5840" spans="1:9" x14ac:dyDescent="0.2">
      <c r="A5840" s="5" t="s">
        <v>6452</v>
      </c>
      <c r="B5840" s="5" t="s">
        <v>2988</v>
      </c>
      <c r="C5840" s="8">
        <v>714</v>
      </c>
      <c r="D5840" s="5" t="s">
        <v>42</v>
      </c>
      <c r="E5840" s="5"/>
      <c r="G5840" s="5"/>
      <c r="H5840" s="5"/>
    </row>
    <row r="5841" spans="1:9" x14ac:dyDescent="0.2">
      <c r="A5841" s="5" t="s">
        <v>6453</v>
      </c>
      <c r="B5841" s="5" t="s">
        <v>2990</v>
      </c>
      <c r="C5841" s="8">
        <v>705</v>
      </c>
      <c r="D5841" s="5" t="s">
        <v>42</v>
      </c>
      <c r="E5841" s="5"/>
      <c r="G5841" s="5"/>
      <c r="H5841" s="5"/>
    </row>
    <row r="5842" spans="1:9" x14ac:dyDescent="0.2">
      <c r="A5842" s="5" t="s">
        <v>6454</v>
      </c>
      <c r="B5842" s="5" t="s">
        <v>2992</v>
      </c>
      <c r="C5842" s="8">
        <v>109</v>
      </c>
      <c r="D5842" s="5" t="s">
        <v>42</v>
      </c>
      <c r="E5842" s="5"/>
      <c r="G5842" s="5"/>
      <c r="H5842" s="5"/>
    </row>
    <row r="5843" spans="1:9" x14ac:dyDescent="0.2">
      <c r="B5843" s="6" t="s">
        <v>6455</v>
      </c>
      <c r="C5843" s="6"/>
      <c r="D5843" s="6"/>
      <c r="E5843" s="6"/>
      <c r="F5843" s="9">
        <f>SUM(H5829:H5843)</f>
        <v>0</v>
      </c>
      <c r="G5843" s="6"/>
      <c r="I5843" s="9">
        <f>PRODUCT(F5843,G5843)</f>
        <v>0</v>
      </c>
    </row>
    <row r="5845" spans="1:9" x14ac:dyDescent="0.2">
      <c r="A5845" s="6" t="s">
        <v>6456</v>
      </c>
      <c r="B5845" s="6" t="s">
        <v>6457</v>
      </c>
    </row>
    <row r="5846" spans="1:9" x14ac:dyDescent="0.2">
      <c r="A5846" s="5"/>
      <c r="B5846" s="5" t="s">
        <v>38</v>
      </c>
      <c r="C5846" s="5"/>
      <c r="D5846" s="5" t="s">
        <v>13</v>
      </c>
      <c r="E5846" s="5"/>
      <c r="G5846" s="5"/>
      <c r="H5846" s="5"/>
    </row>
    <row r="5847" spans="1:9" x14ac:dyDescent="0.2">
      <c r="A5847" s="5"/>
      <c r="B5847" s="5" t="s">
        <v>6458</v>
      </c>
      <c r="C5847" s="5"/>
      <c r="D5847" s="5" t="s">
        <v>15</v>
      </c>
      <c r="E5847" s="5"/>
      <c r="G5847" s="5"/>
      <c r="H5847" s="5"/>
    </row>
    <row r="5848" spans="1:9" x14ac:dyDescent="0.2">
      <c r="A5848" s="5" t="s">
        <v>6459</v>
      </c>
      <c r="B5848" s="5" t="s">
        <v>6460</v>
      </c>
      <c r="C5848" s="8">
        <v>135</v>
      </c>
      <c r="D5848" s="5" t="s">
        <v>42</v>
      </c>
      <c r="E5848" s="5"/>
      <c r="G5848" s="5"/>
      <c r="H5848" s="5"/>
    </row>
    <row r="5849" spans="1:9" x14ac:dyDescent="0.2">
      <c r="A5849" s="5" t="s">
        <v>6461</v>
      </c>
      <c r="B5849" s="5" t="s">
        <v>6462</v>
      </c>
      <c r="C5849" s="8">
        <v>133</v>
      </c>
      <c r="D5849" s="5" t="s">
        <v>42</v>
      </c>
      <c r="E5849" s="5"/>
      <c r="G5849" s="5"/>
      <c r="H5849" s="5"/>
    </row>
    <row r="5850" spans="1:9" x14ac:dyDescent="0.2">
      <c r="A5850" s="5" t="s">
        <v>6463</v>
      </c>
      <c r="B5850" s="5" t="s">
        <v>6464</v>
      </c>
      <c r="C5850" s="8">
        <v>35</v>
      </c>
      <c r="D5850" s="5" t="s">
        <v>42</v>
      </c>
      <c r="E5850" s="5"/>
      <c r="G5850" s="5"/>
      <c r="H5850" s="5"/>
    </row>
    <row r="5851" spans="1:9" x14ac:dyDescent="0.2">
      <c r="A5851" s="5" t="s">
        <v>6465</v>
      </c>
      <c r="B5851" s="5" t="s">
        <v>6466</v>
      </c>
      <c r="C5851" s="8">
        <v>29</v>
      </c>
      <c r="D5851" s="5" t="s">
        <v>42</v>
      </c>
      <c r="E5851" s="5"/>
      <c r="G5851" s="5"/>
      <c r="H5851" s="5"/>
    </row>
    <row r="5852" spans="1:9" x14ac:dyDescent="0.2">
      <c r="A5852" s="5" t="s">
        <v>6467</v>
      </c>
      <c r="B5852" s="5" t="s">
        <v>6468</v>
      </c>
      <c r="C5852" s="8">
        <v>40</v>
      </c>
      <c r="D5852" s="5" t="s">
        <v>42</v>
      </c>
      <c r="E5852" s="5"/>
      <c r="G5852" s="5"/>
      <c r="H5852" s="5"/>
    </row>
    <row r="5853" spans="1:9" x14ac:dyDescent="0.2">
      <c r="A5853" s="5"/>
      <c r="B5853" s="5" t="s">
        <v>53</v>
      </c>
      <c r="C5853" s="5"/>
      <c r="D5853" s="5" t="s">
        <v>13</v>
      </c>
      <c r="E5853" s="5"/>
      <c r="G5853" s="5"/>
      <c r="H5853" s="5"/>
    </row>
    <row r="5854" spans="1:9" x14ac:dyDescent="0.2">
      <c r="A5854" s="5"/>
      <c r="B5854" s="5" t="s">
        <v>6458</v>
      </c>
      <c r="C5854" s="5"/>
      <c r="D5854" s="5" t="s">
        <v>15</v>
      </c>
      <c r="E5854" s="5"/>
      <c r="G5854" s="5"/>
      <c r="H5854" s="5"/>
    </row>
    <row r="5855" spans="1:9" x14ac:dyDescent="0.2">
      <c r="A5855" s="5" t="s">
        <v>6469</v>
      </c>
      <c r="B5855" s="5" t="s">
        <v>6460</v>
      </c>
      <c r="C5855" s="8">
        <v>104</v>
      </c>
      <c r="D5855" s="5" t="s">
        <v>42</v>
      </c>
      <c r="E5855" s="5"/>
      <c r="G5855" s="5"/>
      <c r="H5855" s="5"/>
    </row>
    <row r="5856" spans="1:9" x14ac:dyDescent="0.2">
      <c r="A5856" s="5" t="s">
        <v>6470</v>
      </c>
      <c r="B5856" s="5" t="s">
        <v>6471</v>
      </c>
      <c r="C5856" s="8">
        <v>39</v>
      </c>
      <c r="D5856" s="5" t="s">
        <v>42</v>
      </c>
      <c r="E5856" s="5"/>
      <c r="G5856" s="5"/>
      <c r="H5856" s="5"/>
    </row>
    <row r="5857" spans="1:9" x14ac:dyDescent="0.2">
      <c r="B5857" s="6" t="s">
        <v>6472</v>
      </c>
      <c r="C5857" s="6"/>
      <c r="D5857" s="6"/>
      <c r="E5857" s="6"/>
      <c r="F5857" s="9">
        <f>SUM(H5846:H5857)</f>
        <v>0</v>
      </c>
      <c r="G5857" s="6"/>
      <c r="I5857" s="9">
        <f>PRODUCT(F5857,G5857)</f>
        <v>0</v>
      </c>
    </row>
    <row r="5859" spans="1:9" x14ac:dyDescent="0.2">
      <c r="A5859" s="5" t="s">
        <v>6473</v>
      </c>
      <c r="B5859" s="5" t="s">
        <v>6474</v>
      </c>
      <c r="C5859" s="5"/>
      <c r="D5859" s="5"/>
      <c r="E5859" s="5"/>
      <c r="F5859" s="8">
        <v>0</v>
      </c>
      <c r="G5859" s="5"/>
      <c r="I5859" s="8">
        <f>PRODUCT(F5859,G5859)</f>
        <v>0</v>
      </c>
    </row>
    <row r="5860" spans="1:9" x14ac:dyDescent="0.2">
      <c r="A5860" s="5"/>
      <c r="B5860" s="5"/>
      <c r="C5860" s="5"/>
      <c r="D5860" s="5"/>
      <c r="E5860" s="5"/>
      <c r="G5860" s="5"/>
      <c r="I5860" s="5"/>
    </row>
    <row r="5861" spans="1:9" x14ac:dyDescent="0.2">
      <c r="A5861" s="5"/>
      <c r="B5861" s="5" t="s">
        <v>6475</v>
      </c>
      <c r="C5861" s="5"/>
      <c r="D5861" s="5"/>
      <c r="E5861" s="5"/>
      <c r="G5861" s="5"/>
      <c r="I5861" s="5"/>
    </row>
    <row r="5863" spans="1:9" x14ac:dyDescent="0.2">
      <c r="A5863" s="6" t="s">
        <v>6476</v>
      </c>
      <c r="B5863" s="6" t="s">
        <v>6477</v>
      </c>
    </row>
    <row r="5864" spans="1:9" x14ac:dyDescent="0.2">
      <c r="A5864" s="5"/>
      <c r="B5864" s="5" t="s">
        <v>6478</v>
      </c>
      <c r="C5864" s="5"/>
      <c r="D5864" s="5" t="s">
        <v>6479</v>
      </c>
      <c r="E5864" s="5"/>
      <c r="G5864" s="5"/>
      <c r="H5864" s="5"/>
    </row>
    <row r="5865" spans="1:9" x14ac:dyDescent="0.2">
      <c r="A5865" s="5"/>
      <c r="B5865" s="5" t="s">
        <v>53</v>
      </c>
      <c r="C5865" s="5"/>
      <c r="D5865" s="5" t="s">
        <v>13</v>
      </c>
      <c r="E5865" s="5"/>
      <c r="G5865" s="5"/>
      <c r="H5865" s="5"/>
    </row>
    <row r="5866" spans="1:9" x14ac:dyDescent="0.2">
      <c r="A5866" s="5"/>
      <c r="B5866" s="5" t="s">
        <v>6480</v>
      </c>
      <c r="C5866" s="5"/>
      <c r="D5866" s="5" t="s">
        <v>15</v>
      </c>
      <c r="E5866" s="5"/>
      <c r="G5866" s="5"/>
      <c r="H5866" s="5"/>
    </row>
    <row r="5867" spans="1:9" x14ac:dyDescent="0.2">
      <c r="A5867" s="5"/>
      <c r="B5867" s="5" t="s">
        <v>321</v>
      </c>
      <c r="C5867" s="5"/>
      <c r="D5867" s="5" t="s">
        <v>322</v>
      </c>
      <c r="E5867" s="5"/>
      <c r="G5867" s="5"/>
      <c r="H5867" s="5"/>
    </row>
    <row r="5868" spans="1:9" x14ac:dyDescent="0.2">
      <c r="A5868" s="5" t="s">
        <v>6481</v>
      </c>
      <c r="B5868" s="5" t="s">
        <v>345</v>
      </c>
      <c r="C5868" s="8">
        <v>-15</v>
      </c>
      <c r="D5868" s="5" t="s">
        <v>162</v>
      </c>
      <c r="E5868" s="5"/>
      <c r="G5868" s="5"/>
      <c r="H5868" s="5"/>
    </row>
    <row r="5869" spans="1:9" x14ac:dyDescent="0.2">
      <c r="A5869" s="5" t="s">
        <v>6482</v>
      </c>
      <c r="B5869" s="5" t="s">
        <v>351</v>
      </c>
      <c r="C5869" s="8">
        <v>-14</v>
      </c>
      <c r="D5869" s="5" t="s">
        <v>162</v>
      </c>
      <c r="E5869" s="5"/>
      <c r="G5869" s="5"/>
      <c r="H5869" s="5"/>
    </row>
    <row r="5870" spans="1:9" x14ac:dyDescent="0.2">
      <c r="A5870" s="5" t="s">
        <v>6483</v>
      </c>
      <c r="B5870" s="5" t="s">
        <v>347</v>
      </c>
      <c r="C5870" s="8">
        <v>-4</v>
      </c>
      <c r="D5870" s="5" t="s">
        <v>162</v>
      </c>
      <c r="E5870" s="5"/>
      <c r="G5870" s="5"/>
      <c r="H5870" s="5"/>
    </row>
    <row r="5871" spans="1:9" x14ac:dyDescent="0.2">
      <c r="A5871" s="5"/>
      <c r="B5871" s="5" t="s">
        <v>343</v>
      </c>
      <c r="C5871" s="5"/>
      <c r="D5871" s="5" t="s">
        <v>322</v>
      </c>
      <c r="E5871" s="5"/>
      <c r="G5871" s="5"/>
      <c r="H5871" s="5"/>
    </row>
    <row r="5872" spans="1:9" x14ac:dyDescent="0.2">
      <c r="A5872" s="5" t="s">
        <v>6484</v>
      </c>
      <c r="B5872" s="5" t="s">
        <v>345</v>
      </c>
      <c r="C5872" s="8">
        <v>-15</v>
      </c>
      <c r="D5872" s="5" t="s">
        <v>162</v>
      </c>
      <c r="E5872" s="5"/>
      <c r="G5872" s="5"/>
      <c r="H5872" s="5"/>
    </row>
    <row r="5873" spans="1:8" x14ac:dyDescent="0.2">
      <c r="A5873" s="5" t="s">
        <v>6485</v>
      </c>
      <c r="B5873" s="5" t="s">
        <v>351</v>
      </c>
      <c r="C5873" s="8">
        <v>-14</v>
      </c>
      <c r="D5873" s="5" t="s">
        <v>162</v>
      </c>
      <c r="E5873" s="5"/>
      <c r="G5873" s="5"/>
      <c r="H5873" s="5"/>
    </row>
    <row r="5874" spans="1:8" x14ac:dyDescent="0.2">
      <c r="A5874" s="5" t="s">
        <v>6486</v>
      </c>
      <c r="B5874" s="5" t="s">
        <v>347</v>
      </c>
      <c r="C5874" s="8">
        <v>-4</v>
      </c>
      <c r="D5874" s="5" t="s">
        <v>162</v>
      </c>
      <c r="E5874" s="5"/>
      <c r="G5874" s="5"/>
      <c r="H5874" s="5"/>
    </row>
    <row r="5875" spans="1:8" x14ac:dyDescent="0.2">
      <c r="A5875" s="5"/>
      <c r="B5875" s="5" t="s">
        <v>364</v>
      </c>
      <c r="C5875" s="5"/>
      <c r="D5875" s="5" t="s">
        <v>322</v>
      </c>
      <c r="E5875" s="5"/>
      <c r="G5875" s="5"/>
      <c r="H5875" s="5"/>
    </row>
    <row r="5876" spans="1:8" x14ac:dyDescent="0.2">
      <c r="A5876" s="5"/>
      <c r="B5876" s="5" t="s">
        <v>365</v>
      </c>
      <c r="C5876" s="5"/>
      <c r="D5876" s="5" t="s">
        <v>366</v>
      </c>
      <c r="E5876" s="5"/>
      <c r="G5876" s="5"/>
      <c r="H5876" s="5"/>
    </row>
    <row r="5877" spans="1:8" x14ac:dyDescent="0.2">
      <c r="A5877" s="5" t="s">
        <v>6487</v>
      </c>
      <c r="B5877" s="5" t="s">
        <v>345</v>
      </c>
      <c r="C5877" s="8">
        <v>-7</v>
      </c>
      <c r="D5877" s="5" t="s">
        <v>368</v>
      </c>
      <c r="E5877" s="5"/>
      <c r="G5877" s="5"/>
      <c r="H5877" s="5"/>
    </row>
    <row r="5878" spans="1:8" x14ac:dyDescent="0.2">
      <c r="A5878" s="5" t="s">
        <v>6488</v>
      </c>
      <c r="B5878" s="5" t="s">
        <v>351</v>
      </c>
      <c r="C5878" s="8">
        <v>-17</v>
      </c>
      <c r="D5878" s="5" t="s">
        <v>368</v>
      </c>
      <c r="E5878" s="5"/>
      <c r="G5878" s="5"/>
      <c r="H5878" s="5"/>
    </row>
    <row r="5879" spans="1:8" x14ac:dyDescent="0.2">
      <c r="A5879" s="5" t="s">
        <v>6489</v>
      </c>
      <c r="B5879" s="5" t="s">
        <v>347</v>
      </c>
      <c r="C5879" s="8">
        <v>-3</v>
      </c>
      <c r="D5879" s="5" t="s">
        <v>368</v>
      </c>
      <c r="E5879" s="5"/>
      <c r="G5879" s="5"/>
      <c r="H5879" s="5"/>
    </row>
    <row r="5880" spans="1:8" x14ac:dyDescent="0.2">
      <c r="A5880" s="5"/>
      <c r="B5880" s="5" t="s">
        <v>378</v>
      </c>
      <c r="C5880" s="5"/>
      <c r="D5880" s="5" t="s">
        <v>322</v>
      </c>
      <c r="E5880" s="5"/>
      <c r="G5880" s="5"/>
      <c r="H5880" s="5"/>
    </row>
    <row r="5881" spans="1:8" x14ac:dyDescent="0.2">
      <c r="A5881" s="5"/>
      <c r="B5881" s="5" t="s">
        <v>379</v>
      </c>
      <c r="C5881" s="5"/>
      <c r="D5881" s="5" t="s">
        <v>366</v>
      </c>
      <c r="E5881" s="5"/>
      <c r="G5881" s="5"/>
      <c r="H5881" s="5"/>
    </row>
    <row r="5882" spans="1:8" x14ac:dyDescent="0.2">
      <c r="A5882" s="5" t="s">
        <v>6490</v>
      </c>
      <c r="B5882" s="5" t="s">
        <v>381</v>
      </c>
      <c r="C5882" s="8">
        <v>-0.67</v>
      </c>
      <c r="D5882" s="5" t="s">
        <v>382</v>
      </c>
      <c r="E5882" s="5"/>
      <c r="G5882" s="5"/>
      <c r="H5882" s="5"/>
    </row>
    <row r="5883" spans="1:8" x14ac:dyDescent="0.2">
      <c r="A5883" s="5" t="s">
        <v>6491</v>
      </c>
      <c r="B5883" s="5" t="s">
        <v>386</v>
      </c>
      <c r="C5883" s="8">
        <v>-0.05</v>
      </c>
      <c r="D5883" s="5" t="s">
        <v>382</v>
      </c>
      <c r="E5883" s="5"/>
      <c r="G5883" s="5"/>
      <c r="H5883" s="5"/>
    </row>
    <row r="5884" spans="1:8" x14ac:dyDescent="0.2">
      <c r="A5884" s="5" t="s">
        <v>6492</v>
      </c>
      <c r="B5884" s="5" t="s">
        <v>390</v>
      </c>
      <c r="C5884" s="8">
        <v>-0.19</v>
      </c>
      <c r="D5884" s="5" t="s">
        <v>382</v>
      </c>
      <c r="E5884" s="5"/>
      <c r="G5884" s="5"/>
      <c r="H5884" s="5"/>
    </row>
    <row r="5885" spans="1:8" x14ac:dyDescent="0.2">
      <c r="A5885" s="5"/>
      <c r="B5885" s="5" t="s">
        <v>401</v>
      </c>
      <c r="C5885" s="5"/>
      <c r="D5885" s="5" t="s">
        <v>322</v>
      </c>
      <c r="E5885" s="5"/>
      <c r="G5885" s="5"/>
      <c r="H5885" s="5"/>
    </row>
    <row r="5886" spans="1:8" x14ac:dyDescent="0.2">
      <c r="A5886" s="5" t="s">
        <v>6493</v>
      </c>
      <c r="B5886" s="5" t="s">
        <v>403</v>
      </c>
      <c r="C5886" s="8">
        <v>-7</v>
      </c>
      <c r="D5886" s="5" t="s">
        <v>368</v>
      </c>
      <c r="E5886" s="5"/>
      <c r="G5886" s="5"/>
      <c r="H5886" s="5"/>
    </row>
    <row r="5887" spans="1:8" x14ac:dyDescent="0.2">
      <c r="A5887" s="5" t="s">
        <v>6494</v>
      </c>
      <c r="B5887" s="5" t="s">
        <v>409</v>
      </c>
      <c r="C5887" s="8">
        <v>-17</v>
      </c>
      <c r="D5887" s="5" t="s">
        <v>368</v>
      </c>
      <c r="E5887" s="5"/>
      <c r="G5887" s="5"/>
      <c r="H5887" s="5"/>
    </row>
    <row r="5888" spans="1:8" x14ac:dyDescent="0.2">
      <c r="A5888" s="5" t="s">
        <v>6495</v>
      </c>
      <c r="B5888" s="5" t="s">
        <v>405</v>
      </c>
      <c r="C5888" s="8">
        <v>-3</v>
      </c>
      <c r="D5888" s="5" t="s">
        <v>368</v>
      </c>
      <c r="E5888" s="5"/>
      <c r="G5888" s="5"/>
      <c r="H5888" s="5"/>
    </row>
    <row r="5889" spans="1:8" x14ac:dyDescent="0.2">
      <c r="A5889" s="5"/>
      <c r="B5889" s="5" t="s">
        <v>422</v>
      </c>
      <c r="C5889" s="5"/>
      <c r="D5889" s="5" t="s">
        <v>322</v>
      </c>
      <c r="E5889" s="5"/>
      <c r="G5889" s="5"/>
      <c r="H5889" s="5"/>
    </row>
    <row r="5890" spans="1:8" x14ac:dyDescent="0.2">
      <c r="A5890" s="5"/>
      <c r="B5890" s="5" t="s">
        <v>423</v>
      </c>
      <c r="C5890" s="5"/>
      <c r="D5890" s="5" t="s">
        <v>366</v>
      </c>
      <c r="E5890" s="5"/>
      <c r="G5890" s="5"/>
      <c r="H5890" s="5"/>
    </row>
    <row r="5891" spans="1:8" x14ac:dyDescent="0.2">
      <c r="A5891" s="5" t="s">
        <v>6496</v>
      </c>
      <c r="B5891" s="5" t="s">
        <v>345</v>
      </c>
      <c r="C5891" s="8">
        <v>-15</v>
      </c>
      <c r="D5891" s="5" t="s">
        <v>162</v>
      </c>
      <c r="E5891" s="5"/>
      <c r="G5891" s="5"/>
      <c r="H5891" s="5"/>
    </row>
    <row r="5892" spans="1:8" x14ac:dyDescent="0.2">
      <c r="A5892" s="5" t="s">
        <v>6497</v>
      </c>
      <c r="B5892" s="5" t="s">
        <v>351</v>
      </c>
      <c r="C5892" s="8">
        <v>-14</v>
      </c>
      <c r="D5892" s="5" t="s">
        <v>162</v>
      </c>
      <c r="E5892" s="5"/>
      <c r="G5892" s="5"/>
      <c r="H5892" s="5"/>
    </row>
    <row r="5893" spans="1:8" x14ac:dyDescent="0.2">
      <c r="A5893" s="5" t="s">
        <v>6498</v>
      </c>
      <c r="B5893" s="5" t="s">
        <v>347</v>
      </c>
      <c r="C5893" s="8">
        <v>-4</v>
      </c>
      <c r="D5893" s="5" t="s">
        <v>162</v>
      </c>
      <c r="E5893" s="5"/>
      <c r="G5893" s="5"/>
      <c r="H5893" s="5"/>
    </row>
    <row r="5894" spans="1:8" x14ac:dyDescent="0.2">
      <c r="A5894" s="5"/>
      <c r="B5894" s="5" t="s">
        <v>434</v>
      </c>
      <c r="C5894" s="5"/>
      <c r="D5894" s="5" t="s">
        <v>366</v>
      </c>
      <c r="E5894" s="5"/>
      <c r="G5894" s="5"/>
      <c r="H5894" s="5"/>
    </row>
    <row r="5895" spans="1:8" x14ac:dyDescent="0.2">
      <c r="A5895" s="5" t="s">
        <v>6499</v>
      </c>
      <c r="B5895" s="5" t="s">
        <v>345</v>
      </c>
      <c r="C5895" s="8">
        <v>-15</v>
      </c>
      <c r="D5895" s="5" t="s">
        <v>162</v>
      </c>
      <c r="E5895" s="5"/>
      <c r="G5895" s="5"/>
      <c r="H5895" s="5"/>
    </row>
    <row r="5896" spans="1:8" x14ac:dyDescent="0.2">
      <c r="A5896" s="5" t="s">
        <v>6500</v>
      </c>
      <c r="B5896" s="5" t="s">
        <v>351</v>
      </c>
      <c r="C5896" s="8">
        <v>-14</v>
      </c>
      <c r="D5896" s="5" t="s">
        <v>162</v>
      </c>
      <c r="E5896" s="5"/>
      <c r="G5896" s="5"/>
      <c r="H5896" s="5"/>
    </row>
    <row r="5897" spans="1:8" x14ac:dyDescent="0.2">
      <c r="A5897" s="5" t="s">
        <v>6501</v>
      </c>
      <c r="B5897" s="5" t="s">
        <v>347</v>
      </c>
      <c r="C5897" s="8">
        <v>-4</v>
      </c>
      <c r="D5897" s="5" t="s">
        <v>162</v>
      </c>
      <c r="E5897" s="5"/>
      <c r="G5897" s="5"/>
      <c r="H5897" s="5"/>
    </row>
    <row r="5898" spans="1:8" x14ac:dyDescent="0.2">
      <c r="A5898" s="5"/>
      <c r="B5898" s="5" t="s">
        <v>6502</v>
      </c>
      <c r="C5898" s="5"/>
      <c r="D5898" s="5" t="s">
        <v>322</v>
      </c>
      <c r="E5898" s="5"/>
      <c r="G5898" s="5"/>
      <c r="H5898" s="5"/>
    </row>
    <row r="5899" spans="1:8" x14ac:dyDescent="0.2">
      <c r="A5899" s="5"/>
      <c r="B5899" s="5" t="s">
        <v>321</v>
      </c>
      <c r="C5899" s="5"/>
      <c r="D5899" s="5" t="s">
        <v>366</v>
      </c>
      <c r="E5899" s="5"/>
      <c r="G5899" s="5"/>
      <c r="H5899" s="5"/>
    </row>
    <row r="5900" spans="1:8" x14ac:dyDescent="0.2">
      <c r="A5900" s="5" t="s">
        <v>6503</v>
      </c>
      <c r="B5900" s="5" t="s">
        <v>353</v>
      </c>
      <c r="C5900" s="8">
        <v>-4</v>
      </c>
      <c r="D5900" s="5" t="s">
        <v>162</v>
      </c>
      <c r="E5900" s="5"/>
      <c r="G5900" s="5"/>
      <c r="H5900" s="5"/>
    </row>
    <row r="5901" spans="1:8" x14ac:dyDescent="0.2">
      <c r="A5901" s="5" t="s">
        <v>6504</v>
      </c>
      <c r="B5901" s="5" t="s">
        <v>355</v>
      </c>
      <c r="C5901" s="8">
        <v>-1</v>
      </c>
      <c r="D5901" s="5" t="s">
        <v>162</v>
      </c>
      <c r="E5901" s="5"/>
      <c r="G5901" s="5"/>
      <c r="H5901" s="5"/>
    </row>
    <row r="5902" spans="1:8" x14ac:dyDescent="0.2">
      <c r="A5902" s="5"/>
      <c r="B5902" s="5" t="s">
        <v>343</v>
      </c>
      <c r="C5902" s="5"/>
      <c r="D5902" s="5" t="s">
        <v>366</v>
      </c>
      <c r="E5902" s="5"/>
      <c r="G5902" s="5"/>
      <c r="H5902" s="5"/>
    </row>
    <row r="5903" spans="1:8" x14ac:dyDescent="0.2">
      <c r="A5903" s="5" t="s">
        <v>6505</v>
      </c>
      <c r="B5903" s="5" t="s">
        <v>353</v>
      </c>
      <c r="C5903" s="8">
        <v>-4</v>
      </c>
      <c r="D5903" s="5" t="s">
        <v>162</v>
      </c>
      <c r="E5903" s="5"/>
      <c r="G5903" s="5"/>
      <c r="H5903" s="5"/>
    </row>
    <row r="5904" spans="1:8" x14ac:dyDescent="0.2">
      <c r="A5904" s="5" t="s">
        <v>6506</v>
      </c>
      <c r="B5904" s="5" t="s">
        <v>355</v>
      </c>
      <c r="C5904" s="8">
        <v>-1</v>
      </c>
      <c r="D5904" s="5" t="s">
        <v>162</v>
      </c>
      <c r="E5904" s="5"/>
      <c r="G5904" s="5"/>
      <c r="H5904" s="5"/>
    </row>
    <row r="5905" spans="1:8" x14ac:dyDescent="0.2">
      <c r="A5905" s="5"/>
      <c r="B5905" s="5" t="s">
        <v>364</v>
      </c>
      <c r="C5905" s="5"/>
      <c r="D5905" s="5" t="s">
        <v>366</v>
      </c>
      <c r="E5905" s="5"/>
      <c r="G5905" s="5"/>
      <c r="H5905" s="5"/>
    </row>
    <row r="5906" spans="1:8" x14ac:dyDescent="0.2">
      <c r="A5906" s="5" t="s">
        <v>6507</v>
      </c>
      <c r="B5906" s="5" t="s">
        <v>365</v>
      </c>
      <c r="C5906" s="5"/>
      <c r="D5906" s="5" t="s">
        <v>654</v>
      </c>
      <c r="E5906" s="5"/>
      <c r="G5906" s="5"/>
      <c r="H5906" s="5"/>
    </row>
    <row r="5907" spans="1:8" x14ac:dyDescent="0.2">
      <c r="A5907" s="5" t="s">
        <v>6508</v>
      </c>
      <c r="B5907" s="5" t="s">
        <v>353</v>
      </c>
      <c r="C5907" s="8">
        <v>-9</v>
      </c>
      <c r="D5907" s="5" t="s">
        <v>368</v>
      </c>
      <c r="E5907" s="5"/>
      <c r="G5907" s="5"/>
      <c r="H5907" s="5"/>
    </row>
    <row r="5908" spans="1:8" x14ac:dyDescent="0.2">
      <c r="A5908" s="5" t="s">
        <v>6509</v>
      </c>
      <c r="B5908" s="5" t="s">
        <v>355</v>
      </c>
      <c r="C5908" s="8">
        <v>-4</v>
      </c>
      <c r="D5908" s="5" t="s">
        <v>368</v>
      </c>
      <c r="E5908" s="5"/>
      <c r="G5908" s="5"/>
      <c r="H5908" s="5"/>
    </row>
    <row r="5909" spans="1:8" x14ac:dyDescent="0.2">
      <c r="A5909" s="5"/>
      <c r="B5909" s="5" t="s">
        <v>378</v>
      </c>
      <c r="C5909" s="5"/>
      <c r="D5909" s="5" t="s">
        <v>366</v>
      </c>
      <c r="E5909" s="5"/>
      <c r="G5909" s="5"/>
      <c r="H5909" s="5"/>
    </row>
    <row r="5910" spans="1:8" x14ac:dyDescent="0.2">
      <c r="A5910" s="5" t="s">
        <v>6510</v>
      </c>
      <c r="B5910" s="5" t="s">
        <v>379</v>
      </c>
      <c r="C5910" s="5"/>
      <c r="D5910" s="5" t="s">
        <v>654</v>
      </c>
      <c r="E5910" s="5"/>
      <c r="G5910" s="5"/>
      <c r="H5910" s="5"/>
    </row>
    <row r="5911" spans="1:8" x14ac:dyDescent="0.2">
      <c r="A5911" s="5" t="s">
        <v>6511</v>
      </c>
      <c r="B5911" s="5" t="s">
        <v>392</v>
      </c>
      <c r="C5911" s="8">
        <v>-0.46</v>
      </c>
      <c r="D5911" s="5" t="s">
        <v>382</v>
      </c>
      <c r="E5911" s="5"/>
      <c r="G5911" s="5"/>
      <c r="H5911" s="5"/>
    </row>
    <row r="5912" spans="1:8" x14ac:dyDescent="0.2">
      <c r="A5912" s="5" t="s">
        <v>6512</v>
      </c>
      <c r="B5912" s="5" t="s">
        <v>394</v>
      </c>
      <c r="C5912" s="8">
        <v>-0.16</v>
      </c>
      <c r="D5912" s="5" t="s">
        <v>382</v>
      </c>
      <c r="E5912" s="5"/>
      <c r="G5912" s="5"/>
      <c r="H5912" s="5"/>
    </row>
    <row r="5913" spans="1:8" x14ac:dyDescent="0.2">
      <c r="A5913" s="5"/>
      <c r="B5913" s="5" t="s">
        <v>401</v>
      </c>
      <c r="C5913" s="5"/>
      <c r="D5913" s="5" t="s">
        <v>366</v>
      </c>
      <c r="E5913" s="5"/>
      <c r="G5913" s="5"/>
      <c r="H5913" s="5"/>
    </row>
    <row r="5914" spans="1:8" x14ac:dyDescent="0.2">
      <c r="A5914" s="5" t="s">
        <v>6513</v>
      </c>
      <c r="B5914" s="5" t="s">
        <v>353</v>
      </c>
      <c r="C5914" s="8">
        <v>-9</v>
      </c>
      <c r="D5914" s="5" t="s">
        <v>368</v>
      </c>
      <c r="E5914" s="5"/>
      <c r="G5914" s="5"/>
      <c r="H5914" s="5"/>
    </row>
    <row r="5915" spans="1:8" x14ac:dyDescent="0.2">
      <c r="A5915" s="5" t="s">
        <v>6514</v>
      </c>
      <c r="B5915" s="5" t="s">
        <v>355</v>
      </c>
      <c r="C5915" s="8">
        <v>-4</v>
      </c>
      <c r="D5915" s="5" t="s">
        <v>368</v>
      </c>
      <c r="E5915" s="5"/>
      <c r="G5915" s="5"/>
      <c r="H5915" s="5"/>
    </row>
    <row r="5916" spans="1:8" x14ac:dyDescent="0.2">
      <c r="A5916" s="5"/>
      <c r="B5916" s="5" t="s">
        <v>422</v>
      </c>
      <c r="C5916" s="5"/>
      <c r="D5916" s="5" t="s">
        <v>366</v>
      </c>
      <c r="E5916" s="5"/>
      <c r="G5916" s="5"/>
      <c r="H5916" s="5"/>
    </row>
    <row r="5917" spans="1:8" x14ac:dyDescent="0.2">
      <c r="A5917" s="5" t="s">
        <v>6515</v>
      </c>
      <c r="B5917" s="5" t="s">
        <v>423</v>
      </c>
      <c r="C5917" s="5"/>
      <c r="D5917" s="5" t="s">
        <v>654</v>
      </c>
      <c r="E5917" s="5"/>
      <c r="G5917" s="5"/>
      <c r="H5917" s="5"/>
    </row>
    <row r="5918" spans="1:8" x14ac:dyDescent="0.2">
      <c r="A5918" s="5" t="s">
        <v>6516</v>
      </c>
      <c r="B5918" s="5" t="s">
        <v>353</v>
      </c>
      <c r="C5918" s="8">
        <v>-4</v>
      </c>
      <c r="D5918" s="5" t="s">
        <v>162</v>
      </c>
      <c r="E5918" s="5"/>
      <c r="G5918" s="5"/>
      <c r="H5918" s="5"/>
    </row>
    <row r="5919" spans="1:8" x14ac:dyDescent="0.2">
      <c r="A5919" s="5" t="s">
        <v>6517</v>
      </c>
      <c r="B5919" s="5" t="s">
        <v>355</v>
      </c>
      <c r="C5919" s="8">
        <v>-1</v>
      </c>
      <c r="D5919" s="5" t="s">
        <v>162</v>
      </c>
      <c r="E5919" s="5"/>
      <c r="G5919" s="5"/>
      <c r="H5919" s="5"/>
    </row>
    <row r="5920" spans="1:8" x14ac:dyDescent="0.2">
      <c r="A5920" s="5" t="s">
        <v>6518</v>
      </c>
      <c r="B5920" s="5" t="s">
        <v>434</v>
      </c>
      <c r="C5920" s="5"/>
      <c r="D5920" s="5" t="s">
        <v>654</v>
      </c>
      <c r="E5920" s="5"/>
      <c r="G5920" s="5"/>
      <c r="H5920" s="5"/>
    </row>
    <row r="5921" spans="1:9" x14ac:dyDescent="0.2">
      <c r="A5921" s="5" t="s">
        <v>6519</v>
      </c>
      <c r="B5921" s="5" t="s">
        <v>353</v>
      </c>
      <c r="C5921" s="8">
        <v>-4</v>
      </c>
      <c r="D5921" s="5" t="s">
        <v>162</v>
      </c>
      <c r="E5921" s="5"/>
      <c r="G5921" s="5"/>
      <c r="H5921" s="5"/>
    </row>
    <row r="5922" spans="1:9" x14ac:dyDescent="0.2">
      <c r="A5922" s="5" t="s">
        <v>6520</v>
      </c>
      <c r="B5922" s="5" t="s">
        <v>355</v>
      </c>
      <c r="C5922" s="8">
        <v>-1</v>
      </c>
      <c r="D5922" s="5" t="s">
        <v>162</v>
      </c>
      <c r="E5922" s="5"/>
      <c r="G5922" s="5"/>
      <c r="H5922" s="5"/>
    </row>
    <row r="5923" spans="1:9" x14ac:dyDescent="0.2">
      <c r="A5923" s="5"/>
      <c r="B5923" s="5" t="s">
        <v>6521</v>
      </c>
      <c r="C5923" s="5"/>
      <c r="D5923" s="5" t="s">
        <v>6479</v>
      </c>
      <c r="E5923" s="5"/>
      <c r="G5923" s="5"/>
      <c r="H5923" s="5"/>
    </row>
    <row r="5924" spans="1:9" x14ac:dyDescent="0.2">
      <c r="A5924" s="5"/>
      <c r="B5924" s="5" t="s">
        <v>6522</v>
      </c>
      <c r="C5924" s="5"/>
      <c r="D5924" s="5" t="s">
        <v>15</v>
      </c>
      <c r="E5924" s="5"/>
      <c r="G5924" s="5"/>
      <c r="H5924" s="5"/>
    </row>
    <row r="5925" spans="1:9" x14ac:dyDescent="0.2">
      <c r="A5925" s="5"/>
      <c r="B5925" s="5" t="s">
        <v>6523</v>
      </c>
      <c r="C5925" s="5"/>
      <c r="D5925" s="5" t="s">
        <v>322</v>
      </c>
      <c r="E5925" s="5"/>
      <c r="G5925" s="5"/>
      <c r="H5925" s="5"/>
    </row>
    <row r="5926" spans="1:9" x14ac:dyDescent="0.2">
      <c r="A5926" s="5" t="s">
        <v>6524</v>
      </c>
      <c r="B5926" s="5" t="s">
        <v>620</v>
      </c>
      <c r="C5926" s="8">
        <v>6</v>
      </c>
      <c r="D5926" s="5" t="s">
        <v>368</v>
      </c>
      <c r="E5926" s="5"/>
      <c r="G5926" s="5"/>
      <c r="H5926" s="5"/>
    </row>
    <row r="5927" spans="1:9" x14ac:dyDescent="0.2">
      <c r="A5927" s="5" t="s">
        <v>6525</v>
      </c>
      <c r="B5927" s="5" t="s">
        <v>6526</v>
      </c>
      <c r="C5927" s="8">
        <v>17</v>
      </c>
      <c r="D5927" s="5" t="s">
        <v>42</v>
      </c>
      <c r="E5927" s="5"/>
      <c r="G5927" s="5"/>
      <c r="H5927" s="5"/>
    </row>
    <row r="5928" spans="1:9" x14ac:dyDescent="0.2">
      <c r="A5928" s="5" t="s">
        <v>6527</v>
      </c>
      <c r="B5928" s="5" t="s">
        <v>378</v>
      </c>
      <c r="C5928" s="8">
        <v>0.52</v>
      </c>
      <c r="D5928" s="5" t="s">
        <v>382</v>
      </c>
      <c r="E5928" s="5"/>
      <c r="G5928" s="5"/>
      <c r="H5928" s="5"/>
    </row>
    <row r="5929" spans="1:9" x14ac:dyDescent="0.2">
      <c r="B5929" s="6" t="s">
        <v>6528</v>
      </c>
      <c r="C5929" s="6"/>
      <c r="D5929" s="6"/>
      <c r="E5929" s="6"/>
      <c r="F5929" s="9">
        <f>SUM(H5860:H5929)</f>
        <v>0</v>
      </c>
      <c r="G5929" s="6"/>
      <c r="I5929" s="9">
        <f>PRODUCT(F5929,G5929)</f>
        <v>0</v>
      </c>
    </row>
    <row r="5931" spans="1:9" x14ac:dyDescent="0.2">
      <c r="A5931" s="5"/>
      <c r="B5931" s="5"/>
      <c r="C5931" s="5"/>
      <c r="D5931" s="5"/>
      <c r="E5931" s="5"/>
      <c r="G5931" s="5"/>
      <c r="I5931" s="5"/>
    </row>
    <row r="5932" spans="1:9" x14ac:dyDescent="0.2">
      <c r="A5932" s="5"/>
      <c r="B5932" s="5" t="s">
        <v>6529</v>
      </c>
      <c r="C5932" s="5"/>
      <c r="D5932" s="5"/>
      <c r="E5932" s="5"/>
      <c r="G5932" s="5"/>
      <c r="I5932" s="5"/>
    </row>
    <row r="5934" spans="1:9" x14ac:dyDescent="0.2">
      <c r="A5934" s="6" t="s">
        <v>6530</v>
      </c>
      <c r="B5934" s="6" t="s">
        <v>2717</v>
      </c>
    </row>
    <row r="5935" spans="1:9" x14ac:dyDescent="0.2">
      <c r="A5935" s="5"/>
      <c r="B5935" s="5" t="s">
        <v>6478</v>
      </c>
      <c r="C5935" s="5"/>
      <c r="D5935" s="5" t="s">
        <v>6479</v>
      </c>
      <c r="E5935" s="5"/>
      <c r="G5935" s="5"/>
      <c r="H5935" s="5"/>
    </row>
    <row r="5936" spans="1:9" x14ac:dyDescent="0.2">
      <c r="A5936" s="5"/>
      <c r="B5936" s="5" t="s">
        <v>38</v>
      </c>
      <c r="C5936" s="5"/>
      <c r="D5936" s="5" t="s">
        <v>13</v>
      </c>
      <c r="E5936" s="5"/>
      <c r="G5936" s="5"/>
      <c r="H5936" s="5"/>
    </row>
    <row r="5937" spans="1:8" x14ac:dyDescent="0.2">
      <c r="A5937" s="5"/>
      <c r="B5937" s="5" t="s">
        <v>2762</v>
      </c>
      <c r="C5937" s="5"/>
      <c r="D5937" s="5" t="s">
        <v>15</v>
      </c>
      <c r="E5937" s="5"/>
      <c r="G5937" s="5"/>
      <c r="H5937" s="5"/>
    </row>
    <row r="5938" spans="1:8" x14ac:dyDescent="0.2">
      <c r="A5938" s="5"/>
      <c r="B5938" s="5" t="s">
        <v>48</v>
      </c>
      <c r="C5938" s="5"/>
      <c r="D5938" s="5" t="s">
        <v>322</v>
      </c>
      <c r="E5938" s="5"/>
      <c r="G5938" s="5"/>
      <c r="H5938" s="5"/>
    </row>
    <row r="5939" spans="1:8" x14ac:dyDescent="0.2">
      <c r="A5939" s="5"/>
      <c r="B5939" s="5" t="s">
        <v>2763</v>
      </c>
      <c r="C5939" s="5"/>
      <c r="D5939" s="5" t="s">
        <v>366</v>
      </c>
      <c r="E5939" s="5"/>
      <c r="G5939" s="5"/>
      <c r="H5939" s="5"/>
    </row>
    <row r="5940" spans="1:8" x14ac:dyDescent="0.2">
      <c r="A5940" s="5" t="s">
        <v>6531</v>
      </c>
      <c r="B5940" s="5" t="s">
        <v>2846</v>
      </c>
      <c r="C5940" s="8">
        <v>-6</v>
      </c>
      <c r="D5940" s="5" t="s">
        <v>162</v>
      </c>
      <c r="E5940" s="5"/>
      <c r="G5940" s="5"/>
      <c r="H5940" s="5"/>
    </row>
    <row r="5941" spans="1:8" x14ac:dyDescent="0.2">
      <c r="A5941" s="5" t="s">
        <v>6532</v>
      </c>
      <c r="B5941" s="5" t="s">
        <v>6533</v>
      </c>
      <c r="C5941" s="8">
        <v>-3</v>
      </c>
      <c r="D5941" s="5" t="s">
        <v>162</v>
      </c>
      <c r="E5941" s="5"/>
      <c r="G5941" s="5"/>
      <c r="H5941" s="5"/>
    </row>
    <row r="5942" spans="1:8" x14ac:dyDescent="0.2">
      <c r="A5942" s="5" t="s">
        <v>6534</v>
      </c>
      <c r="B5942" s="5" t="s">
        <v>2788</v>
      </c>
      <c r="C5942" s="8">
        <v>-2</v>
      </c>
      <c r="D5942" s="5" t="s">
        <v>162</v>
      </c>
      <c r="E5942" s="5"/>
      <c r="G5942" s="5"/>
      <c r="H5942" s="5"/>
    </row>
    <row r="5943" spans="1:8" x14ac:dyDescent="0.2">
      <c r="A5943" s="5"/>
      <c r="B5943" s="5" t="s">
        <v>2766</v>
      </c>
      <c r="C5943" s="5"/>
      <c r="D5943" s="5" t="s">
        <v>366</v>
      </c>
      <c r="E5943" s="5"/>
      <c r="G5943" s="5"/>
      <c r="H5943" s="5"/>
    </row>
    <row r="5944" spans="1:8" x14ac:dyDescent="0.2">
      <c r="A5944" s="5" t="s">
        <v>6535</v>
      </c>
      <c r="B5944" s="5" t="s">
        <v>2851</v>
      </c>
      <c r="C5944" s="8">
        <v>-5</v>
      </c>
      <c r="D5944" s="5" t="s">
        <v>162</v>
      </c>
      <c r="E5944" s="5"/>
      <c r="G5944" s="5"/>
      <c r="H5944" s="5"/>
    </row>
    <row r="5945" spans="1:8" x14ac:dyDescent="0.2">
      <c r="A5945" s="5" t="s">
        <v>6536</v>
      </c>
      <c r="B5945" s="5" t="s">
        <v>6537</v>
      </c>
      <c r="C5945" s="8">
        <v>-3</v>
      </c>
      <c r="D5945" s="5" t="s">
        <v>162</v>
      </c>
      <c r="E5945" s="5"/>
      <c r="G5945" s="5"/>
      <c r="H5945" s="5"/>
    </row>
    <row r="5946" spans="1:8" x14ac:dyDescent="0.2">
      <c r="A5946" s="5" t="s">
        <v>6538</v>
      </c>
      <c r="B5946" s="5" t="s">
        <v>2855</v>
      </c>
      <c r="C5946" s="8">
        <v>-2</v>
      </c>
      <c r="D5946" s="5" t="s">
        <v>162</v>
      </c>
      <c r="E5946" s="5"/>
      <c r="G5946" s="5"/>
      <c r="H5946" s="5"/>
    </row>
    <row r="5947" spans="1:8" x14ac:dyDescent="0.2">
      <c r="A5947" s="5" t="s">
        <v>6539</v>
      </c>
      <c r="B5947" s="5" t="s">
        <v>2857</v>
      </c>
      <c r="C5947" s="8">
        <v>-1</v>
      </c>
      <c r="D5947" s="5" t="s">
        <v>162</v>
      </c>
      <c r="E5947" s="5"/>
      <c r="G5947" s="5"/>
      <c r="H5947" s="5"/>
    </row>
    <row r="5948" spans="1:8" x14ac:dyDescent="0.2">
      <c r="A5948" s="5"/>
      <c r="B5948" s="5" t="s">
        <v>2858</v>
      </c>
      <c r="C5948" s="5"/>
      <c r="D5948" s="5" t="s">
        <v>15</v>
      </c>
      <c r="E5948" s="5"/>
      <c r="G5948" s="5"/>
      <c r="H5948" s="5"/>
    </row>
    <row r="5949" spans="1:8" x14ac:dyDescent="0.2">
      <c r="A5949" s="5"/>
      <c r="B5949" s="5" t="s">
        <v>48</v>
      </c>
      <c r="C5949" s="5"/>
      <c r="D5949" s="5" t="s">
        <v>322</v>
      </c>
      <c r="E5949" s="5"/>
      <c r="G5949" s="5"/>
      <c r="H5949" s="5"/>
    </row>
    <row r="5950" spans="1:8" x14ac:dyDescent="0.2">
      <c r="A5950" s="5"/>
      <c r="B5950" s="5" t="s">
        <v>2871</v>
      </c>
      <c r="C5950" s="5"/>
      <c r="D5950" s="5" t="s">
        <v>366</v>
      </c>
      <c r="E5950" s="5"/>
      <c r="G5950" s="5"/>
      <c r="H5950" s="5"/>
    </row>
    <row r="5951" spans="1:8" x14ac:dyDescent="0.2">
      <c r="A5951" s="5" t="s">
        <v>6540</v>
      </c>
      <c r="B5951" s="5" t="s">
        <v>2873</v>
      </c>
      <c r="C5951" s="8">
        <v>-1</v>
      </c>
      <c r="D5951" s="5" t="s">
        <v>162</v>
      </c>
      <c r="E5951" s="5"/>
      <c r="G5951" s="5"/>
      <c r="H5951" s="5"/>
    </row>
    <row r="5952" spans="1:8" x14ac:dyDescent="0.2">
      <c r="A5952" s="5"/>
      <c r="B5952" s="5" t="s">
        <v>2874</v>
      </c>
      <c r="C5952" s="5"/>
      <c r="D5952" s="5" t="s">
        <v>15</v>
      </c>
      <c r="E5952" s="5"/>
      <c r="G5952" s="5"/>
      <c r="H5952" s="5"/>
    </row>
    <row r="5953" spans="1:8" x14ac:dyDescent="0.2">
      <c r="A5953" s="5"/>
      <c r="B5953" s="5" t="s">
        <v>48</v>
      </c>
      <c r="C5953" s="5"/>
      <c r="D5953" s="5" t="s">
        <v>322</v>
      </c>
      <c r="E5953" s="5"/>
      <c r="G5953" s="5"/>
      <c r="H5953" s="5"/>
    </row>
    <row r="5954" spans="1:8" x14ac:dyDescent="0.2">
      <c r="A5954" s="5" t="s">
        <v>6541</v>
      </c>
      <c r="B5954" s="5" t="s">
        <v>2876</v>
      </c>
      <c r="C5954" s="8">
        <v>-1</v>
      </c>
      <c r="D5954" s="5" t="s">
        <v>155</v>
      </c>
      <c r="E5954" s="5"/>
      <c r="G5954" s="5"/>
      <c r="H5954" s="5"/>
    </row>
    <row r="5955" spans="1:8" x14ac:dyDescent="0.2">
      <c r="A5955" s="5"/>
      <c r="B5955" s="5" t="s">
        <v>2878</v>
      </c>
      <c r="C5955" s="5"/>
      <c r="D5955" s="5" t="s">
        <v>15</v>
      </c>
      <c r="E5955" s="5"/>
      <c r="G5955" s="5"/>
      <c r="H5955" s="5"/>
    </row>
    <row r="5956" spans="1:8" x14ac:dyDescent="0.2">
      <c r="A5956" s="5"/>
      <c r="B5956" s="5" t="s">
        <v>2879</v>
      </c>
      <c r="C5956" s="5"/>
      <c r="D5956" s="5" t="s">
        <v>322</v>
      </c>
      <c r="E5956" s="5"/>
      <c r="G5956" s="5"/>
      <c r="H5956" s="5"/>
    </row>
    <row r="5957" spans="1:8" x14ac:dyDescent="0.2">
      <c r="A5957" s="5"/>
      <c r="B5957" s="5" t="s">
        <v>48</v>
      </c>
      <c r="C5957" s="5"/>
      <c r="D5957" s="5" t="s">
        <v>366</v>
      </c>
      <c r="E5957" s="5"/>
      <c r="G5957" s="5"/>
      <c r="H5957" s="5"/>
    </row>
    <row r="5958" spans="1:8" x14ac:dyDescent="0.2">
      <c r="A5958" s="5" t="s">
        <v>6542</v>
      </c>
      <c r="B5958" s="5" t="s">
        <v>4110</v>
      </c>
      <c r="C5958" s="8">
        <v>-1</v>
      </c>
      <c r="D5958" s="5" t="s">
        <v>162</v>
      </c>
      <c r="E5958" s="5"/>
      <c r="G5958" s="5"/>
      <c r="H5958" s="5"/>
    </row>
    <row r="5959" spans="1:8" x14ac:dyDescent="0.2">
      <c r="A5959" s="5"/>
      <c r="B5959" s="5" t="s">
        <v>53</v>
      </c>
      <c r="C5959" s="5"/>
      <c r="D5959" s="5" t="s">
        <v>13</v>
      </c>
      <c r="E5959" s="5"/>
      <c r="G5959" s="5"/>
      <c r="H5959" s="5"/>
    </row>
    <row r="5960" spans="1:8" x14ac:dyDescent="0.2">
      <c r="A5960" s="5"/>
      <c r="B5960" s="5" t="s">
        <v>2762</v>
      </c>
      <c r="C5960" s="5"/>
      <c r="D5960" s="5" t="s">
        <v>15</v>
      </c>
      <c r="E5960" s="5"/>
      <c r="G5960" s="5"/>
      <c r="H5960" s="5"/>
    </row>
    <row r="5961" spans="1:8" x14ac:dyDescent="0.2">
      <c r="A5961" s="5"/>
      <c r="B5961" s="5" t="s">
        <v>48</v>
      </c>
      <c r="C5961" s="5"/>
      <c r="D5961" s="5" t="s">
        <v>322</v>
      </c>
      <c r="E5961" s="5"/>
      <c r="G5961" s="5"/>
      <c r="H5961" s="5"/>
    </row>
    <row r="5962" spans="1:8" x14ac:dyDescent="0.2">
      <c r="A5962" s="5"/>
      <c r="B5962" s="5" t="s">
        <v>2763</v>
      </c>
      <c r="C5962" s="5"/>
      <c r="D5962" s="5" t="s">
        <v>366</v>
      </c>
      <c r="E5962" s="5"/>
      <c r="G5962" s="5"/>
      <c r="H5962" s="5"/>
    </row>
    <row r="5963" spans="1:8" x14ac:dyDescent="0.2">
      <c r="A5963" s="5" t="s">
        <v>6543</v>
      </c>
      <c r="B5963" s="5" t="s">
        <v>2846</v>
      </c>
      <c r="C5963" s="8">
        <v>-2</v>
      </c>
      <c r="D5963" s="5" t="s">
        <v>162</v>
      </c>
      <c r="E5963" s="5"/>
      <c r="G5963" s="5"/>
      <c r="H5963" s="5"/>
    </row>
    <row r="5964" spans="1:8" x14ac:dyDescent="0.2">
      <c r="A5964" s="5" t="s">
        <v>6544</v>
      </c>
      <c r="B5964" s="5" t="s">
        <v>6533</v>
      </c>
      <c r="C5964" s="8">
        <v>-4</v>
      </c>
      <c r="D5964" s="5" t="s">
        <v>162</v>
      </c>
      <c r="E5964" s="5"/>
      <c r="G5964" s="5"/>
      <c r="H5964" s="5"/>
    </row>
    <row r="5965" spans="1:8" x14ac:dyDescent="0.2">
      <c r="A5965" s="5"/>
      <c r="B5965" s="5" t="s">
        <v>2878</v>
      </c>
      <c r="C5965" s="5"/>
      <c r="D5965" s="5" t="s">
        <v>15</v>
      </c>
      <c r="E5965" s="5"/>
      <c r="G5965" s="5"/>
      <c r="H5965" s="5"/>
    </row>
    <row r="5966" spans="1:8" x14ac:dyDescent="0.2">
      <c r="A5966" s="5"/>
      <c r="B5966" s="5" t="s">
        <v>2879</v>
      </c>
      <c r="C5966" s="5"/>
      <c r="D5966" s="5" t="s">
        <v>322</v>
      </c>
      <c r="E5966" s="5"/>
      <c r="G5966" s="5"/>
      <c r="H5966" s="5"/>
    </row>
    <row r="5967" spans="1:8" x14ac:dyDescent="0.2">
      <c r="A5967" s="5"/>
      <c r="B5967" s="5" t="s">
        <v>48</v>
      </c>
      <c r="C5967" s="5"/>
      <c r="D5967" s="5" t="s">
        <v>366</v>
      </c>
      <c r="E5967" s="5"/>
      <c r="G5967" s="5"/>
      <c r="H5967" s="5"/>
    </row>
    <row r="5968" spans="1:8" x14ac:dyDescent="0.2">
      <c r="A5968" s="5" t="s">
        <v>6545</v>
      </c>
      <c r="B5968" s="5" t="s">
        <v>2883</v>
      </c>
      <c r="C5968" s="8">
        <v>-2</v>
      </c>
      <c r="D5968" s="5" t="s">
        <v>162</v>
      </c>
      <c r="E5968" s="5"/>
      <c r="G5968" s="5"/>
      <c r="H5968" s="5"/>
    </row>
    <row r="5969" spans="1:9" x14ac:dyDescent="0.2">
      <c r="A5969" s="5" t="s">
        <v>6546</v>
      </c>
      <c r="B5969" s="5"/>
      <c r="C5969" s="5"/>
      <c r="D5969" s="5" t="s">
        <v>6547</v>
      </c>
      <c r="E5969" s="5"/>
      <c r="G5969" s="5"/>
      <c r="H5969" s="5"/>
    </row>
    <row r="5970" spans="1:9" x14ac:dyDescent="0.2">
      <c r="B5970" s="6" t="s">
        <v>2957</v>
      </c>
      <c r="C5970" s="6"/>
      <c r="D5970" s="6"/>
      <c r="E5970" s="6"/>
      <c r="F5970" s="9">
        <f>SUM(H5932:H5970)</f>
        <v>0</v>
      </c>
      <c r="G5970" s="6"/>
      <c r="I5970" s="9">
        <f>PRODUCT(F5970,G5970)</f>
        <v>0</v>
      </c>
    </row>
    <row r="5972" spans="1:9" x14ac:dyDescent="0.2">
      <c r="A5972" s="6" t="s">
        <v>6548</v>
      </c>
      <c r="B5972" s="6" t="s">
        <v>3128</v>
      </c>
    </row>
    <row r="5973" spans="1:9" x14ac:dyDescent="0.2">
      <c r="A5973" s="5"/>
      <c r="B5973" s="5" t="s">
        <v>6478</v>
      </c>
      <c r="C5973" s="5"/>
      <c r="D5973" s="5" t="s">
        <v>6479</v>
      </c>
      <c r="E5973" s="5"/>
      <c r="G5973" s="5"/>
      <c r="H5973" s="5"/>
    </row>
    <row r="5974" spans="1:9" x14ac:dyDescent="0.2">
      <c r="A5974" s="5"/>
      <c r="B5974" s="5" t="s">
        <v>38</v>
      </c>
      <c r="C5974" s="5"/>
      <c r="D5974" s="5" t="s">
        <v>13</v>
      </c>
      <c r="E5974" s="5"/>
      <c r="G5974" s="5"/>
      <c r="H5974" s="5"/>
    </row>
    <row r="5975" spans="1:9" x14ac:dyDescent="0.2">
      <c r="A5975" s="5"/>
      <c r="B5975" s="5" t="s">
        <v>3137</v>
      </c>
      <c r="C5975" s="5"/>
      <c r="D5975" s="5" t="s">
        <v>15</v>
      </c>
      <c r="E5975" s="5"/>
      <c r="G5975" s="5"/>
      <c r="H5975" s="5"/>
    </row>
    <row r="5976" spans="1:9" x14ac:dyDescent="0.2">
      <c r="A5976" s="5"/>
      <c r="B5976" s="5" t="s">
        <v>3138</v>
      </c>
      <c r="C5976" s="5"/>
      <c r="D5976" s="5" t="s">
        <v>322</v>
      </c>
      <c r="E5976" s="5"/>
      <c r="G5976" s="5"/>
      <c r="H5976" s="5"/>
    </row>
    <row r="5977" spans="1:9" x14ac:dyDescent="0.2">
      <c r="A5977" s="5" t="s">
        <v>6549</v>
      </c>
      <c r="B5977" s="5" t="s">
        <v>6550</v>
      </c>
      <c r="C5977" s="8">
        <v>-139</v>
      </c>
      <c r="D5977" s="5" t="s">
        <v>42</v>
      </c>
      <c r="E5977" s="5"/>
      <c r="G5977" s="5"/>
      <c r="H5977" s="5"/>
    </row>
    <row r="5978" spans="1:9" x14ac:dyDescent="0.2">
      <c r="A5978" s="5" t="s">
        <v>6551</v>
      </c>
      <c r="B5978" s="5" t="s">
        <v>3146</v>
      </c>
      <c r="C5978" s="8">
        <v>-9</v>
      </c>
      <c r="D5978" s="5" t="s">
        <v>155</v>
      </c>
      <c r="E5978" s="5"/>
      <c r="G5978" s="5"/>
      <c r="H5978" s="5"/>
    </row>
    <row r="5979" spans="1:9" x14ac:dyDescent="0.2">
      <c r="A5979" s="5"/>
      <c r="B5979" s="5" t="s">
        <v>53</v>
      </c>
      <c r="C5979" s="5"/>
      <c r="D5979" s="5" t="s">
        <v>13</v>
      </c>
      <c r="E5979" s="5"/>
      <c r="G5979" s="5"/>
      <c r="H5979" s="5"/>
    </row>
    <row r="5980" spans="1:9" x14ac:dyDescent="0.2">
      <c r="A5980" s="5"/>
      <c r="B5980" s="5" t="s">
        <v>3137</v>
      </c>
      <c r="C5980" s="5"/>
      <c r="D5980" s="5" t="s">
        <v>15</v>
      </c>
      <c r="E5980" s="5"/>
      <c r="G5980" s="5"/>
      <c r="H5980" s="5"/>
    </row>
    <row r="5981" spans="1:9" x14ac:dyDescent="0.2">
      <c r="A5981" s="5"/>
      <c r="B5981" s="5" t="s">
        <v>3138</v>
      </c>
      <c r="C5981" s="5"/>
      <c r="D5981" s="5" t="s">
        <v>322</v>
      </c>
      <c r="E5981" s="5"/>
      <c r="G5981" s="5"/>
      <c r="H5981" s="5"/>
    </row>
    <row r="5982" spans="1:9" x14ac:dyDescent="0.2">
      <c r="A5982" s="5" t="s">
        <v>6552</v>
      </c>
      <c r="B5982" s="5" t="s">
        <v>3239</v>
      </c>
      <c r="C5982" s="8">
        <v>-83</v>
      </c>
      <c r="D5982" s="5" t="s">
        <v>42</v>
      </c>
      <c r="E5982" s="5"/>
      <c r="G5982" s="5"/>
      <c r="H5982" s="5"/>
    </row>
    <row r="5983" spans="1:9" x14ac:dyDescent="0.2">
      <c r="A5983" s="5" t="s">
        <v>6553</v>
      </c>
      <c r="B5983" s="5" t="s">
        <v>3146</v>
      </c>
      <c r="C5983" s="8">
        <v>-9</v>
      </c>
      <c r="D5983" s="5" t="s">
        <v>155</v>
      </c>
      <c r="E5983" s="5"/>
      <c r="G5983" s="5"/>
      <c r="H5983" s="5"/>
    </row>
    <row r="5984" spans="1:9" x14ac:dyDescent="0.2">
      <c r="A5984" s="5" t="s">
        <v>6554</v>
      </c>
      <c r="B5984" s="5"/>
      <c r="C5984" s="5"/>
      <c r="D5984" s="5" t="s">
        <v>6547</v>
      </c>
      <c r="E5984" s="5"/>
      <c r="G5984" s="5"/>
      <c r="H5984" s="5"/>
    </row>
    <row r="5985" spans="1:9" x14ac:dyDescent="0.2">
      <c r="B5985" s="6" t="s">
        <v>3296</v>
      </c>
      <c r="C5985" s="6"/>
      <c r="D5985" s="6"/>
      <c r="E5985" s="6"/>
      <c r="F5985" s="9">
        <f>SUM(H5973:H5985)</f>
        <v>0</v>
      </c>
      <c r="G5985" s="6"/>
      <c r="I5985" s="9">
        <f>PRODUCT(F5985,G5985)</f>
        <v>0</v>
      </c>
    </row>
    <row r="5987" spans="1:9" x14ac:dyDescent="0.2">
      <c r="A5987" s="6" t="s">
        <v>6555</v>
      </c>
      <c r="B5987" s="6" t="s">
        <v>3300</v>
      </c>
    </row>
    <row r="5988" spans="1:9" x14ac:dyDescent="0.2">
      <c r="A5988" s="5"/>
      <c r="B5988" s="5" t="s">
        <v>6478</v>
      </c>
      <c r="C5988" s="5"/>
      <c r="D5988" s="5" t="s">
        <v>6479</v>
      </c>
      <c r="E5988" s="5"/>
      <c r="G5988" s="5"/>
      <c r="H5988" s="5"/>
    </row>
    <row r="5989" spans="1:9" x14ac:dyDescent="0.2">
      <c r="A5989" s="5"/>
      <c r="B5989" s="5" t="s">
        <v>38</v>
      </c>
      <c r="C5989" s="5"/>
      <c r="D5989" s="5" t="s">
        <v>13</v>
      </c>
      <c r="E5989" s="5"/>
      <c r="G5989" s="5"/>
      <c r="H5989" s="5"/>
    </row>
    <row r="5990" spans="1:9" x14ac:dyDescent="0.2">
      <c r="A5990" s="5"/>
      <c r="B5990" s="5" t="s">
        <v>3504</v>
      </c>
      <c r="C5990" s="5"/>
      <c r="D5990" s="5" t="s">
        <v>15</v>
      </c>
      <c r="E5990" s="5"/>
      <c r="G5990" s="5"/>
      <c r="H5990" s="5"/>
    </row>
    <row r="5991" spans="1:9" x14ac:dyDescent="0.2">
      <c r="A5991" s="5"/>
      <c r="B5991" s="5" t="s">
        <v>48</v>
      </c>
      <c r="C5991" s="5"/>
      <c r="D5991" s="5" t="s">
        <v>322</v>
      </c>
      <c r="E5991" s="5"/>
      <c r="G5991" s="5"/>
      <c r="H5991" s="5"/>
    </row>
    <row r="5992" spans="1:9" x14ac:dyDescent="0.2">
      <c r="A5992" s="5" t="s">
        <v>6556</v>
      </c>
      <c r="B5992" s="5" t="s">
        <v>3506</v>
      </c>
      <c r="C5992" s="8">
        <v>-1</v>
      </c>
      <c r="D5992" s="5" t="s">
        <v>162</v>
      </c>
      <c r="E5992" s="5"/>
      <c r="G5992" s="5"/>
      <c r="H5992" s="5"/>
    </row>
    <row r="5993" spans="1:9" x14ac:dyDescent="0.2">
      <c r="A5993" s="5"/>
      <c r="B5993" s="5" t="s">
        <v>53</v>
      </c>
      <c r="C5993" s="5"/>
      <c r="D5993" s="5" t="s">
        <v>13</v>
      </c>
      <c r="E5993" s="5"/>
      <c r="G5993" s="5"/>
      <c r="H5993" s="5"/>
    </row>
    <row r="5994" spans="1:9" x14ac:dyDescent="0.2">
      <c r="A5994" s="5"/>
      <c r="B5994" s="5" t="s">
        <v>3508</v>
      </c>
      <c r="C5994" s="5"/>
      <c r="D5994" s="5" t="s">
        <v>15</v>
      </c>
      <c r="E5994" s="5"/>
      <c r="G5994" s="5"/>
      <c r="H5994" s="5"/>
    </row>
    <row r="5995" spans="1:9" x14ac:dyDescent="0.2">
      <c r="A5995" s="5"/>
      <c r="B5995" s="5" t="s">
        <v>48</v>
      </c>
      <c r="C5995" s="5"/>
      <c r="D5995" s="5" t="s">
        <v>322</v>
      </c>
      <c r="E5995" s="5"/>
      <c r="G5995" s="5"/>
      <c r="H5995" s="5"/>
    </row>
    <row r="5996" spans="1:9" x14ac:dyDescent="0.2">
      <c r="A5996" s="5" t="s">
        <v>6557</v>
      </c>
      <c r="B5996" s="5" t="s">
        <v>3510</v>
      </c>
      <c r="C5996" s="8">
        <v>-1</v>
      </c>
      <c r="D5996" s="5" t="s">
        <v>162</v>
      </c>
      <c r="E5996" s="5"/>
      <c r="G5996" s="5"/>
      <c r="H5996" s="5"/>
    </row>
    <row r="5997" spans="1:9" x14ac:dyDescent="0.2">
      <c r="A5997" s="5" t="s">
        <v>6558</v>
      </c>
      <c r="B5997" s="5"/>
      <c r="C5997" s="5"/>
      <c r="D5997" s="5" t="s">
        <v>6547</v>
      </c>
      <c r="E5997" s="5"/>
      <c r="G5997" s="5"/>
      <c r="H5997" s="5"/>
    </row>
    <row r="5998" spans="1:9" x14ac:dyDescent="0.2">
      <c r="B5998" s="6" t="s">
        <v>3643</v>
      </c>
      <c r="C5998" s="6"/>
      <c r="D5998" s="6"/>
      <c r="E5998" s="6"/>
      <c r="F5998" s="9">
        <f>SUM(H5988:H5998)</f>
        <v>0</v>
      </c>
      <c r="G5998" s="6"/>
      <c r="I5998" s="9">
        <f>PRODUCT(F5998,G5998)</f>
        <v>0</v>
      </c>
    </row>
    <row r="6000" spans="1:9" x14ac:dyDescent="0.2">
      <c r="A6000" s="6" t="s">
        <v>6559</v>
      </c>
      <c r="B6000" s="6" t="s">
        <v>3645</v>
      </c>
    </row>
    <row r="6001" spans="1:8" x14ac:dyDescent="0.2">
      <c r="A6001" s="5"/>
      <c r="B6001" s="5" t="s">
        <v>6478</v>
      </c>
      <c r="C6001" s="5"/>
      <c r="D6001" s="5" t="s">
        <v>6479</v>
      </c>
      <c r="E6001" s="5"/>
      <c r="G6001" s="5"/>
      <c r="H6001" s="5"/>
    </row>
    <row r="6002" spans="1:8" x14ac:dyDescent="0.2">
      <c r="A6002" s="5"/>
      <c r="B6002" s="5" t="s">
        <v>38</v>
      </c>
      <c r="C6002" s="5"/>
      <c r="D6002" s="5" t="s">
        <v>13</v>
      </c>
      <c r="E6002" s="5"/>
      <c r="G6002" s="5"/>
      <c r="H6002" s="5"/>
    </row>
    <row r="6003" spans="1:8" x14ac:dyDescent="0.2">
      <c r="A6003" s="5"/>
      <c r="B6003" s="5" t="s">
        <v>3677</v>
      </c>
      <c r="C6003" s="5"/>
      <c r="D6003" s="5" t="s">
        <v>15</v>
      </c>
      <c r="E6003" s="5"/>
      <c r="G6003" s="5"/>
      <c r="H6003" s="5"/>
    </row>
    <row r="6004" spans="1:8" x14ac:dyDescent="0.2">
      <c r="A6004" s="5"/>
      <c r="B6004" s="5" t="s">
        <v>3678</v>
      </c>
      <c r="C6004" s="5"/>
      <c r="D6004" s="5" t="s">
        <v>322</v>
      </c>
      <c r="E6004" s="5"/>
      <c r="G6004" s="5"/>
      <c r="H6004" s="5"/>
    </row>
    <row r="6005" spans="1:8" x14ac:dyDescent="0.2">
      <c r="A6005" s="5"/>
      <c r="B6005" s="5" t="s">
        <v>3693</v>
      </c>
      <c r="C6005" s="5"/>
      <c r="D6005" s="5" t="s">
        <v>366</v>
      </c>
      <c r="E6005" s="5"/>
      <c r="G6005" s="5"/>
      <c r="H6005" s="5"/>
    </row>
    <row r="6006" spans="1:8" x14ac:dyDescent="0.2">
      <c r="A6006" s="5" t="s">
        <v>6560</v>
      </c>
      <c r="B6006" s="5" t="s">
        <v>3144</v>
      </c>
      <c r="C6006" s="8">
        <v>-147</v>
      </c>
      <c r="D6006" s="5" t="s">
        <v>42</v>
      </c>
      <c r="E6006" s="5"/>
      <c r="G6006" s="5"/>
      <c r="H6006" s="5"/>
    </row>
    <row r="6007" spans="1:8" x14ac:dyDescent="0.2">
      <c r="A6007" s="5" t="s">
        <v>6561</v>
      </c>
      <c r="B6007" s="5" t="s">
        <v>3696</v>
      </c>
      <c r="C6007" s="8">
        <v>-9</v>
      </c>
      <c r="D6007" s="5" t="s">
        <v>155</v>
      </c>
      <c r="E6007" s="5"/>
      <c r="G6007" s="5"/>
      <c r="H6007" s="5"/>
    </row>
    <row r="6008" spans="1:8" x14ac:dyDescent="0.2">
      <c r="A6008" s="5"/>
      <c r="B6008" s="5" t="s">
        <v>3697</v>
      </c>
      <c r="C6008" s="5"/>
      <c r="D6008" s="5" t="s">
        <v>366</v>
      </c>
      <c r="E6008" s="5"/>
      <c r="G6008" s="5"/>
      <c r="H6008" s="5"/>
    </row>
    <row r="6009" spans="1:8" x14ac:dyDescent="0.2">
      <c r="A6009" s="5" t="s">
        <v>6562</v>
      </c>
      <c r="B6009" s="5" t="s">
        <v>3144</v>
      </c>
      <c r="C6009" s="8">
        <v>-16</v>
      </c>
      <c r="D6009" s="5" t="s">
        <v>42</v>
      </c>
      <c r="E6009" s="5"/>
      <c r="G6009" s="5"/>
      <c r="H6009" s="5"/>
    </row>
    <row r="6010" spans="1:8" x14ac:dyDescent="0.2">
      <c r="A6010" s="5"/>
      <c r="B6010" s="5" t="s">
        <v>3727</v>
      </c>
      <c r="C6010" s="5"/>
      <c r="D6010" s="5" t="s">
        <v>366</v>
      </c>
      <c r="E6010" s="5"/>
      <c r="G6010" s="5"/>
      <c r="H6010" s="5"/>
    </row>
    <row r="6011" spans="1:8" x14ac:dyDescent="0.2">
      <c r="A6011" s="5" t="s">
        <v>6563</v>
      </c>
      <c r="B6011" s="5" t="s">
        <v>3144</v>
      </c>
      <c r="C6011" s="8">
        <v>-117</v>
      </c>
      <c r="D6011" s="5" t="s">
        <v>42</v>
      </c>
      <c r="E6011" s="5"/>
      <c r="G6011" s="5"/>
      <c r="H6011" s="5"/>
    </row>
    <row r="6012" spans="1:8" x14ac:dyDescent="0.2">
      <c r="A6012" s="5" t="s">
        <v>6564</v>
      </c>
      <c r="B6012" s="5" t="s">
        <v>6565</v>
      </c>
      <c r="C6012" s="8">
        <v>-5</v>
      </c>
      <c r="D6012" s="5" t="s">
        <v>155</v>
      </c>
      <c r="E6012" s="5"/>
      <c r="G6012" s="5"/>
      <c r="H6012" s="5"/>
    </row>
    <row r="6013" spans="1:8" x14ac:dyDescent="0.2">
      <c r="A6013" s="5"/>
      <c r="B6013" s="5" t="s">
        <v>3733</v>
      </c>
      <c r="C6013" s="5"/>
      <c r="D6013" s="5" t="s">
        <v>366</v>
      </c>
      <c r="E6013" s="5"/>
      <c r="G6013" s="5"/>
      <c r="H6013" s="5"/>
    </row>
    <row r="6014" spans="1:8" x14ac:dyDescent="0.2">
      <c r="A6014" s="5" t="s">
        <v>6566</v>
      </c>
      <c r="B6014" s="5" t="s">
        <v>3144</v>
      </c>
      <c r="C6014" s="8">
        <v>-26</v>
      </c>
      <c r="D6014" s="5" t="s">
        <v>42</v>
      </c>
      <c r="E6014" s="5"/>
      <c r="G6014" s="5"/>
      <c r="H6014" s="5"/>
    </row>
    <row r="6015" spans="1:8" x14ac:dyDescent="0.2">
      <c r="A6015" s="5"/>
      <c r="B6015" s="5" t="s">
        <v>3770</v>
      </c>
      <c r="C6015" s="5"/>
      <c r="D6015" s="5" t="s">
        <v>15</v>
      </c>
      <c r="E6015" s="5"/>
      <c r="G6015" s="5"/>
      <c r="H6015" s="5"/>
    </row>
    <row r="6016" spans="1:8" x14ac:dyDescent="0.2">
      <c r="A6016" s="5"/>
      <c r="B6016" s="5" t="s">
        <v>3771</v>
      </c>
      <c r="C6016" s="5"/>
      <c r="D6016" s="5" t="s">
        <v>322</v>
      </c>
      <c r="E6016" s="5"/>
      <c r="G6016" s="5"/>
      <c r="H6016" s="5"/>
    </row>
    <row r="6017" spans="1:8" x14ac:dyDescent="0.2">
      <c r="A6017" s="5"/>
      <c r="B6017" s="5" t="s">
        <v>3774</v>
      </c>
      <c r="C6017" s="5"/>
      <c r="D6017" s="5" t="s">
        <v>366</v>
      </c>
      <c r="E6017" s="5"/>
      <c r="G6017" s="5"/>
      <c r="H6017" s="5"/>
    </row>
    <row r="6018" spans="1:8" x14ac:dyDescent="0.2">
      <c r="A6018" s="5" t="s">
        <v>6567</v>
      </c>
      <c r="B6018" s="5" t="s">
        <v>3144</v>
      </c>
      <c r="C6018" s="8">
        <v>-8</v>
      </c>
      <c r="D6018" s="5" t="s">
        <v>155</v>
      </c>
      <c r="E6018" s="5"/>
      <c r="G6018" s="5"/>
      <c r="H6018" s="5"/>
    </row>
    <row r="6019" spans="1:8" x14ac:dyDescent="0.2">
      <c r="A6019" s="5"/>
      <c r="B6019" s="5" t="s">
        <v>3789</v>
      </c>
      <c r="C6019" s="5"/>
      <c r="D6019" s="5" t="s">
        <v>366</v>
      </c>
      <c r="E6019" s="5"/>
      <c r="G6019" s="5"/>
      <c r="H6019" s="5"/>
    </row>
    <row r="6020" spans="1:8" x14ac:dyDescent="0.2">
      <c r="A6020" s="5" t="s">
        <v>6568</v>
      </c>
      <c r="B6020" s="5" t="s">
        <v>3144</v>
      </c>
      <c r="C6020" s="8">
        <v>-12</v>
      </c>
      <c r="D6020" s="5" t="s">
        <v>42</v>
      </c>
      <c r="E6020" s="5"/>
      <c r="G6020" s="5"/>
      <c r="H6020" s="5"/>
    </row>
    <row r="6021" spans="1:8" x14ac:dyDescent="0.2">
      <c r="A6021" s="5"/>
      <c r="B6021" s="5" t="s">
        <v>3793</v>
      </c>
      <c r="C6021" s="5"/>
      <c r="D6021" s="5" t="s">
        <v>322</v>
      </c>
      <c r="E6021" s="5"/>
      <c r="G6021" s="5"/>
      <c r="H6021" s="5"/>
    </row>
    <row r="6022" spans="1:8" x14ac:dyDescent="0.2">
      <c r="A6022" s="5"/>
      <c r="B6022" s="5" t="s">
        <v>3794</v>
      </c>
      <c r="C6022" s="5"/>
      <c r="D6022" s="5" t="s">
        <v>366</v>
      </c>
      <c r="E6022" s="5"/>
      <c r="G6022" s="5"/>
      <c r="H6022" s="5"/>
    </row>
    <row r="6023" spans="1:8" x14ac:dyDescent="0.2">
      <c r="A6023" s="5" t="s">
        <v>6569</v>
      </c>
      <c r="B6023" s="5" t="s">
        <v>3144</v>
      </c>
      <c r="C6023" s="8">
        <v>-6</v>
      </c>
      <c r="D6023" s="5" t="s">
        <v>42</v>
      </c>
      <c r="E6023" s="5"/>
      <c r="G6023" s="5"/>
      <c r="H6023" s="5"/>
    </row>
    <row r="6024" spans="1:8" x14ac:dyDescent="0.2">
      <c r="A6024" s="5"/>
      <c r="B6024" s="5" t="s">
        <v>3796</v>
      </c>
      <c r="C6024" s="5"/>
      <c r="D6024" s="5" t="s">
        <v>322</v>
      </c>
      <c r="E6024" s="5"/>
      <c r="G6024" s="5"/>
      <c r="H6024" s="5"/>
    </row>
    <row r="6025" spans="1:8" x14ac:dyDescent="0.2">
      <c r="A6025" s="5"/>
      <c r="B6025" s="5" t="s">
        <v>3803</v>
      </c>
      <c r="C6025" s="5"/>
      <c r="D6025" s="5" t="s">
        <v>366</v>
      </c>
      <c r="E6025" s="5"/>
      <c r="G6025" s="5"/>
      <c r="H6025" s="5"/>
    </row>
    <row r="6026" spans="1:8" x14ac:dyDescent="0.2">
      <c r="A6026" s="5" t="s">
        <v>6570</v>
      </c>
      <c r="B6026" s="5" t="s">
        <v>3144</v>
      </c>
      <c r="C6026" s="8">
        <v>-85</v>
      </c>
      <c r="D6026" s="5" t="s">
        <v>155</v>
      </c>
      <c r="E6026" s="5"/>
      <c r="G6026" s="5"/>
      <c r="H6026" s="5"/>
    </row>
    <row r="6027" spans="1:8" x14ac:dyDescent="0.2">
      <c r="A6027" s="5"/>
      <c r="B6027" s="5" t="s">
        <v>3807</v>
      </c>
      <c r="C6027" s="5"/>
      <c r="D6027" s="5" t="s">
        <v>366</v>
      </c>
      <c r="E6027" s="5"/>
      <c r="G6027" s="5"/>
      <c r="H6027" s="5"/>
    </row>
    <row r="6028" spans="1:8" x14ac:dyDescent="0.2">
      <c r="A6028" s="5" t="s">
        <v>6571</v>
      </c>
      <c r="B6028" s="5" t="s">
        <v>3144</v>
      </c>
      <c r="C6028" s="8">
        <v>-122</v>
      </c>
      <c r="D6028" s="5" t="s">
        <v>155</v>
      </c>
      <c r="E6028" s="5"/>
      <c r="G6028" s="5"/>
      <c r="H6028" s="5"/>
    </row>
    <row r="6029" spans="1:8" x14ac:dyDescent="0.2">
      <c r="A6029" s="5"/>
      <c r="B6029" s="5" t="s">
        <v>3816</v>
      </c>
      <c r="C6029" s="5"/>
      <c r="D6029" s="5" t="s">
        <v>322</v>
      </c>
      <c r="E6029" s="5"/>
      <c r="G6029" s="5"/>
      <c r="H6029" s="5"/>
    </row>
    <row r="6030" spans="1:8" x14ac:dyDescent="0.2">
      <c r="A6030" s="5"/>
      <c r="B6030" s="5" t="s">
        <v>3817</v>
      </c>
      <c r="C6030" s="5"/>
      <c r="D6030" s="5" t="s">
        <v>366</v>
      </c>
      <c r="E6030" s="5"/>
      <c r="G6030" s="5"/>
      <c r="H6030" s="5"/>
    </row>
    <row r="6031" spans="1:8" x14ac:dyDescent="0.2">
      <c r="A6031" s="5" t="s">
        <v>6572</v>
      </c>
      <c r="B6031" s="5" t="s">
        <v>3825</v>
      </c>
      <c r="C6031" s="8">
        <v>-2</v>
      </c>
      <c r="D6031" s="5" t="s">
        <v>162</v>
      </c>
      <c r="E6031" s="5"/>
      <c r="G6031" s="5"/>
      <c r="H6031" s="5"/>
    </row>
    <row r="6032" spans="1:8" x14ac:dyDescent="0.2">
      <c r="A6032" s="5"/>
      <c r="B6032" s="5" t="s">
        <v>53</v>
      </c>
      <c r="C6032" s="5"/>
      <c r="D6032" s="5" t="s">
        <v>13</v>
      </c>
      <c r="E6032" s="5"/>
      <c r="G6032" s="5"/>
      <c r="H6032" s="5"/>
    </row>
    <row r="6033" spans="1:9" x14ac:dyDescent="0.2">
      <c r="A6033" s="5"/>
      <c r="B6033" s="5" t="s">
        <v>3677</v>
      </c>
      <c r="C6033" s="5"/>
      <c r="D6033" s="5" t="s">
        <v>15</v>
      </c>
      <c r="E6033" s="5"/>
      <c r="G6033" s="5"/>
      <c r="H6033" s="5"/>
    </row>
    <row r="6034" spans="1:9" x14ac:dyDescent="0.2">
      <c r="A6034" s="5"/>
      <c r="B6034" s="5" t="s">
        <v>3678</v>
      </c>
      <c r="C6034" s="5"/>
      <c r="D6034" s="5" t="s">
        <v>322</v>
      </c>
      <c r="E6034" s="5"/>
      <c r="G6034" s="5"/>
      <c r="H6034" s="5"/>
    </row>
    <row r="6035" spans="1:9" x14ac:dyDescent="0.2">
      <c r="A6035" s="5"/>
      <c r="B6035" s="5" t="s">
        <v>3686</v>
      </c>
      <c r="C6035" s="5"/>
      <c r="D6035" s="5" t="s">
        <v>366</v>
      </c>
      <c r="E6035" s="5"/>
      <c r="G6035" s="5"/>
      <c r="H6035" s="5"/>
    </row>
    <row r="6036" spans="1:9" x14ac:dyDescent="0.2">
      <c r="A6036" s="5" t="s">
        <v>6573</v>
      </c>
      <c r="B6036" s="5" t="s">
        <v>3239</v>
      </c>
      <c r="C6036" s="8">
        <v>-21</v>
      </c>
      <c r="D6036" s="5" t="s">
        <v>42</v>
      </c>
      <c r="E6036" s="5"/>
      <c r="G6036" s="5"/>
      <c r="H6036" s="5"/>
    </row>
    <row r="6037" spans="1:9" x14ac:dyDescent="0.2">
      <c r="A6037" s="5"/>
      <c r="B6037" s="5" t="s">
        <v>3697</v>
      </c>
      <c r="C6037" s="5"/>
      <c r="D6037" s="5" t="s">
        <v>366</v>
      </c>
      <c r="E6037" s="5"/>
      <c r="G6037" s="5"/>
      <c r="H6037" s="5"/>
    </row>
    <row r="6038" spans="1:9" x14ac:dyDescent="0.2">
      <c r="A6038" s="5" t="s">
        <v>6574</v>
      </c>
      <c r="B6038" s="5" t="s">
        <v>3239</v>
      </c>
      <c r="C6038" s="8">
        <v>-17</v>
      </c>
      <c r="D6038" s="5" t="s">
        <v>42</v>
      </c>
      <c r="E6038" s="5"/>
      <c r="G6038" s="5"/>
      <c r="H6038" s="5"/>
    </row>
    <row r="6039" spans="1:9" x14ac:dyDescent="0.2">
      <c r="A6039" s="5"/>
      <c r="B6039" s="5" t="s">
        <v>3727</v>
      </c>
      <c r="C6039" s="5"/>
      <c r="D6039" s="5" t="s">
        <v>366</v>
      </c>
      <c r="E6039" s="5"/>
      <c r="G6039" s="5"/>
      <c r="H6039" s="5"/>
    </row>
    <row r="6040" spans="1:9" x14ac:dyDescent="0.2">
      <c r="A6040" s="5" t="s">
        <v>6575</v>
      </c>
      <c r="B6040" s="5" t="s">
        <v>3239</v>
      </c>
      <c r="C6040" s="8">
        <v>-3</v>
      </c>
      <c r="D6040" s="5" t="s">
        <v>42</v>
      </c>
      <c r="E6040" s="5"/>
      <c r="G6040" s="5"/>
      <c r="H6040" s="5"/>
    </row>
    <row r="6041" spans="1:9" x14ac:dyDescent="0.2">
      <c r="A6041" s="5"/>
      <c r="B6041" s="5" t="s">
        <v>3796</v>
      </c>
      <c r="C6041" s="5"/>
      <c r="D6041" s="5" t="s">
        <v>322</v>
      </c>
      <c r="E6041" s="5"/>
      <c r="G6041" s="5"/>
      <c r="H6041" s="5"/>
    </row>
    <row r="6042" spans="1:9" x14ac:dyDescent="0.2">
      <c r="A6042" s="5"/>
      <c r="B6042" s="5" t="s">
        <v>3803</v>
      </c>
      <c r="C6042" s="5"/>
      <c r="D6042" s="5" t="s">
        <v>366</v>
      </c>
      <c r="E6042" s="5"/>
      <c r="G6042" s="5"/>
      <c r="H6042" s="5"/>
    </row>
    <row r="6043" spans="1:9" x14ac:dyDescent="0.2">
      <c r="A6043" s="5" t="s">
        <v>6576</v>
      </c>
      <c r="B6043" s="5" t="s">
        <v>3239</v>
      </c>
      <c r="C6043" s="8">
        <v>-7</v>
      </c>
      <c r="D6043" s="5" t="s">
        <v>155</v>
      </c>
      <c r="E6043" s="5"/>
      <c r="G6043" s="5"/>
      <c r="H6043" s="5"/>
    </row>
    <row r="6044" spans="1:9" x14ac:dyDescent="0.2">
      <c r="A6044" s="5"/>
      <c r="B6044" s="5" t="s">
        <v>3807</v>
      </c>
      <c r="C6044" s="5"/>
      <c r="D6044" s="5" t="s">
        <v>366</v>
      </c>
      <c r="E6044" s="5"/>
      <c r="G6044" s="5"/>
      <c r="H6044" s="5"/>
    </row>
    <row r="6045" spans="1:9" x14ac:dyDescent="0.2">
      <c r="A6045" s="5" t="s">
        <v>6577</v>
      </c>
      <c r="B6045" s="5" t="s">
        <v>3239</v>
      </c>
      <c r="C6045" s="8">
        <v>-88</v>
      </c>
      <c r="D6045" s="5" t="s">
        <v>155</v>
      </c>
      <c r="E6045" s="5"/>
      <c r="G6045" s="5"/>
      <c r="H6045" s="5"/>
    </row>
    <row r="6046" spans="1:9" x14ac:dyDescent="0.2">
      <c r="A6046" s="5" t="s">
        <v>6578</v>
      </c>
      <c r="B6046" s="5"/>
      <c r="C6046" s="5"/>
      <c r="D6046" s="5" t="s">
        <v>6547</v>
      </c>
      <c r="E6046" s="5"/>
      <c r="G6046" s="5"/>
      <c r="H6046" s="5"/>
    </row>
    <row r="6047" spans="1:9" x14ac:dyDescent="0.2">
      <c r="B6047" s="6" t="s">
        <v>3907</v>
      </c>
      <c r="C6047" s="6"/>
      <c r="D6047" s="6"/>
      <c r="E6047" s="6"/>
      <c r="F6047" s="9">
        <f>SUM(H6001:H6047)</f>
        <v>0</v>
      </c>
      <c r="G6047" s="6"/>
      <c r="I6047" s="9">
        <f>PRODUCT(F6047,G6047)</f>
        <v>0</v>
      </c>
    </row>
    <row r="6049" spans="1:8" x14ac:dyDescent="0.2">
      <c r="A6049" s="6" t="s">
        <v>6579</v>
      </c>
      <c r="B6049" s="6" t="s">
        <v>6580</v>
      </c>
    </row>
    <row r="6050" spans="1:8" x14ac:dyDescent="0.2">
      <c r="A6050" s="5"/>
      <c r="B6050" s="5" t="s">
        <v>6478</v>
      </c>
      <c r="C6050" s="5"/>
      <c r="D6050" s="5" t="s">
        <v>6479</v>
      </c>
      <c r="E6050" s="5"/>
      <c r="G6050" s="5"/>
      <c r="H6050" s="5"/>
    </row>
    <row r="6051" spans="1:8" x14ac:dyDescent="0.2">
      <c r="A6051" s="5"/>
      <c r="B6051" s="5" t="s">
        <v>38</v>
      </c>
      <c r="C6051" s="5"/>
      <c r="D6051" s="5" t="s">
        <v>13</v>
      </c>
      <c r="E6051" s="5"/>
      <c r="G6051" s="5"/>
      <c r="H6051" s="5"/>
    </row>
    <row r="6052" spans="1:8" x14ac:dyDescent="0.2">
      <c r="A6052" s="5"/>
      <c r="B6052" s="5" t="s">
        <v>3985</v>
      </c>
      <c r="C6052" s="5"/>
      <c r="D6052" s="5" t="s">
        <v>15</v>
      </c>
      <c r="E6052" s="5"/>
      <c r="G6052" s="5"/>
      <c r="H6052" s="5"/>
    </row>
    <row r="6053" spans="1:8" x14ac:dyDescent="0.2">
      <c r="A6053" s="5"/>
      <c r="B6053" s="5" t="s">
        <v>48</v>
      </c>
      <c r="C6053" s="5"/>
      <c r="D6053" s="5" t="s">
        <v>322</v>
      </c>
      <c r="E6053" s="5"/>
      <c r="G6053" s="5"/>
      <c r="H6053" s="5"/>
    </row>
    <row r="6054" spans="1:8" x14ac:dyDescent="0.2">
      <c r="A6054" s="5"/>
      <c r="B6054" s="5" t="s">
        <v>3986</v>
      </c>
      <c r="C6054" s="5"/>
      <c r="D6054" s="5" t="s">
        <v>366</v>
      </c>
      <c r="E6054" s="5"/>
      <c r="G6054" s="5"/>
      <c r="H6054" s="5"/>
    </row>
    <row r="6055" spans="1:8" x14ac:dyDescent="0.2">
      <c r="A6055" s="5" t="s">
        <v>6581</v>
      </c>
      <c r="B6055" s="5" t="s">
        <v>3988</v>
      </c>
      <c r="C6055" s="8">
        <v>-1</v>
      </c>
      <c r="D6055" s="5" t="s">
        <v>162</v>
      </c>
      <c r="E6055" s="5"/>
      <c r="G6055" s="5"/>
      <c r="H6055" s="5"/>
    </row>
    <row r="6056" spans="1:8" x14ac:dyDescent="0.2">
      <c r="A6056" s="5"/>
      <c r="B6056" s="5" t="s">
        <v>3989</v>
      </c>
      <c r="C6056" s="5"/>
      <c r="D6056" s="5" t="s">
        <v>366</v>
      </c>
      <c r="E6056" s="5"/>
      <c r="G6056" s="5"/>
      <c r="H6056" s="5"/>
    </row>
    <row r="6057" spans="1:8" x14ac:dyDescent="0.2">
      <c r="A6057" s="5" t="s">
        <v>6582</v>
      </c>
      <c r="B6057" s="5" t="s">
        <v>3996</v>
      </c>
      <c r="C6057" s="8">
        <v>-1</v>
      </c>
      <c r="D6057" s="5" t="s">
        <v>162</v>
      </c>
      <c r="E6057" s="5"/>
      <c r="G6057" s="5"/>
      <c r="H6057" s="5"/>
    </row>
    <row r="6058" spans="1:8" x14ac:dyDescent="0.2">
      <c r="A6058" s="5"/>
      <c r="B6058" s="5" t="s">
        <v>3997</v>
      </c>
      <c r="C6058" s="5"/>
      <c r="D6058" s="5" t="s">
        <v>15</v>
      </c>
      <c r="E6058" s="5"/>
      <c r="G6058" s="5"/>
      <c r="H6058" s="5"/>
    </row>
    <row r="6059" spans="1:8" x14ac:dyDescent="0.2">
      <c r="A6059" s="5"/>
      <c r="B6059" s="5" t="s">
        <v>48</v>
      </c>
      <c r="C6059" s="5"/>
      <c r="D6059" s="5" t="s">
        <v>322</v>
      </c>
      <c r="E6059" s="5"/>
      <c r="G6059" s="5"/>
      <c r="H6059" s="5"/>
    </row>
    <row r="6060" spans="1:8" x14ac:dyDescent="0.2">
      <c r="A6060" s="5"/>
      <c r="B6060" s="5" t="s">
        <v>2871</v>
      </c>
      <c r="C6060" s="5"/>
      <c r="D6060" s="5" t="s">
        <v>366</v>
      </c>
      <c r="E6060" s="5"/>
      <c r="G6060" s="5"/>
      <c r="H6060" s="5"/>
    </row>
    <row r="6061" spans="1:8" x14ac:dyDescent="0.2">
      <c r="A6061" s="5" t="s">
        <v>6583</v>
      </c>
      <c r="B6061" s="5" t="s">
        <v>4050</v>
      </c>
      <c r="C6061" s="8">
        <v>-1</v>
      </c>
      <c r="D6061" s="5" t="s">
        <v>162</v>
      </c>
      <c r="E6061" s="5"/>
      <c r="G6061" s="5"/>
      <c r="H6061" s="5"/>
    </row>
    <row r="6062" spans="1:8" x14ac:dyDescent="0.2">
      <c r="A6062" s="5"/>
      <c r="B6062" s="5" t="s">
        <v>3989</v>
      </c>
      <c r="C6062" s="5"/>
      <c r="D6062" s="5" t="s">
        <v>366</v>
      </c>
      <c r="E6062" s="5"/>
      <c r="G6062" s="5"/>
      <c r="H6062" s="5"/>
    </row>
    <row r="6063" spans="1:8" x14ac:dyDescent="0.2">
      <c r="A6063" s="5" t="s">
        <v>6584</v>
      </c>
      <c r="B6063" s="5" t="s">
        <v>3993</v>
      </c>
      <c r="C6063" s="8">
        <v>-1</v>
      </c>
      <c r="D6063" s="5" t="s">
        <v>162</v>
      </c>
      <c r="E6063" s="5"/>
      <c r="G6063" s="5"/>
      <c r="H6063" s="5"/>
    </row>
    <row r="6064" spans="1:8" x14ac:dyDescent="0.2">
      <c r="A6064" s="5" t="s">
        <v>6585</v>
      </c>
      <c r="B6064" s="5" t="s">
        <v>4005</v>
      </c>
      <c r="C6064" s="8">
        <v>-5</v>
      </c>
      <c r="D6064" s="5" t="s">
        <v>162</v>
      </c>
      <c r="E6064" s="5"/>
      <c r="G6064" s="5"/>
      <c r="H6064" s="5"/>
    </row>
    <row r="6065" spans="1:8" x14ac:dyDescent="0.2">
      <c r="A6065" s="5"/>
      <c r="B6065" s="5" t="s">
        <v>4060</v>
      </c>
      <c r="C6065" s="5"/>
      <c r="D6065" s="5" t="s">
        <v>15</v>
      </c>
      <c r="E6065" s="5"/>
      <c r="G6065" s="5"/>
      <c r="H6065" s="5"/>
    </row>
    <row r="6066" spans="1:8" x14ac:dyDescent="0.2">
      <c r="A6066" s="5"/>
      <c r="B6066" s="5" t="s">
        <v>4061</v>
      </c>
      <c r="C6066" s="5"/>
      <c r="D6066" s="5" t="s">
        <v>322</v>
      </c>
      <c r="E6066" s="5"/>
      <c r="G6066" s="5"/>
      <c r="H6066" s="5"/>
    </row>
    <row r="6067" spans="1:8" x14ac:dyDescent="0.2">
      <c r="A6067" s="5"/>
      <c r="B6067" s="5" t="s">
        <v>48</v>
      </c>
      <c r="C6067" s="5"/>
      <c r="D6067" s="5" t="s">
        <v>366</v>
      </c>
      <c r="E6067" s="5"/>
      <c r="G6067" s="5"/>
      <c r="H6067" s="5"/>
    </row>
    <row r="6068" spans="1:8" x14ac:dyDescent="0.2">
      <c r="A6068" s="5" t="s">
        <v>6586</v>
      </c>
      <c r="B6068" s="5" t="s">
        <v>4063</v>
      </c>
      <c r="C6068" s="8">
        <v>-1</v>
      </c>
      <c r="D6068" s="5" t="s">
        <v>162</v>
      </c>
      <c r="E6068" s="5"/>
      <c r="G6068" s="5"/>
      <c r="H6068" s="5"/>
    </row>
    <row r="6069" spans="1:8" x14ac:dyDescent="0.2">
      <c r="A6069" s="5" t="s">
        <v>6587</v>
      </c>
      <c r="B6069" s="5" t="s">
        <v>4067</v>
      </c>
      <c r="C6069" s="8">
        <v>-1</v>
      </c>
      <c r="D6069" s="5" t="s">
        <v>162</v>
      </c>
      <c r="E6069" s="5"/>
      <c r="G6069" s="5"/>
      <c r="H6069" s="5"/>
    </row>
    <row r="6070" spans="1:8" x14ac:dyDescent="0.2">
      <c r="A6070" s="5"/>
      <c r="B6070" s="5" t="s">
        <v>4070</v>
      </c>
      <c r="C6070" s="5"/>
      <c r="D6070" s="5" t="s">
        <v>322</v>
      </c>
      <c r="E6070" s="5"/>
      <c r="G6070" s="5"/>
      <c r="H6070" s="5"/>
    </row>
    <row r="6071" spans="1:8" x14ac:dyDescent="0.2">
      <c r="A6071" s="5"/>
      <c r="B6071" s="5" t="s">
        <v>48</v>
      </c>
      <c r="C6071" s="5"/>
      <c r="D6071" s="5" t="s">
        <v>366</v>
      </c>
      <c r="E6071" s="5"/>
      <c r="G6071" s="5"/>
      <c r="H6071" s="5"/>
    </row>
    <row r="6072" spans="1:8" x14ac:dyDescent="0.2">
      <c r="A6072" s="5" t="s">
        <v>6588</v>
      </c>
      <c r="B6072" s="5" t="s">
        <v>4078</v>
      </c>
      <c r="C6072" s="8">
        <v>-1</v>
      </c>
      <c r="D6072" s="5" t="s">
        <v>162</v>
      </c>
      <c r="E6072" s="5"/>
      <c r="G6072" s="5"/>
      <c r="H6072" s="5"/>
    </row>
    <row r="6073" spans="1:8" x14ac:dyDescent="0.2">
      <c r="A6073" s="5" t="s">
        <v>6589</v>
      </c>
      <c r="B6073" s="5" t="s">
        <v>4076</v>
      </c>
      <c r="C6073" s="8">
        <v>-5</v>
      </c>
      <c r="D6073" s="5" t="s">
        <v>162</v>
      </c>
      <c r="E6073" s="5"/>
      <c r="G6073" s="5"/>
      <c r="H6073" s="5"/>
    </row>
    <row r="6074" spans="1:8" x14ac:dyDescent="0.2">
      <c r="A6074" s="5"/>
      <c r="B6074" s="5" t="s">
        <v>4087</v>
      </c>
      <c r="C6074" s="5"/>
      <c r="D6074" s="5" t="s">
        <v>15</v>
      </c>
      <c r="E6074" s="5"/>
      <c r="G6074" s="5"/>
      <c r="H6074" s="5"/>
    </row>
    <row r="6075" spans="1:8" x14ac:dyDescent="0.2">
      <c r="A6075" s="5"/>
      <c r="B6075" s="5" t="s">
        <v>48</v>
      </c>
      <c r="C6075" s="5"/>
      <c r="D6075" s="5" t="s">
        <v>322</v>
      </c>
      <c r="E6075" s="5"/>
      <c r="G6075" s="5"/>
      <c r="H6075" s="5"/>
    </row>
    <row r="6076" spans="1:8" x14ac:dyDescent="0.2">
      <c r="A6076" s="5" t="s">
        <v>6590</v>
      </c>
      <c r="B6076" s="5" t="s">
        <v>4089</v>
      </c>
      <c r="C6076" s="8">
        <v>-5</v>
      </c>
      <c r="D6076" s="5" t="s">
        <v>162</v>
      </c>
      <c r="E6076" s="5"/>
      <c r="G6076" s="5"/>
      <c r="H6076" s="5"/>
    </row>
    <row r="6077" spans="1:8" x14ac:dyDescent="0.2">
      <c r="A6077" s="5"/>
      <c r="B6077" s="5" t="s">
        <v>2874</v>
      </c>
      <c r="C6077" s="5"/>
      <c r="D6077" s="5" t="s">
        <v>15</v>
      </c>
      <c r="E6077" s="5"/>
      <c r="G6077" s="5"/>
      <c r="H6077" s="5"/>
    </row>
    <row r="6078" spans="1:8" x14ac:dyDescent="0.2">
      <c r="A6078" s="5"/>
      <c r="B6078" s="5" t="s">
        <v>48</v>
      </c>
      <c r="C6078" s="5"/>
      <c r="D6078" s="5" t="s">
        <v>322</v>
      </c>
      <c r="E6078" s="5"/>
      <c r="G6078" s="5"/>
      <c r="H6078" s="5"/>
    </row>
    <row r="6079" spans="1:8" x14ac:dyDescent="0.2">
      <c r="A6079" s="5" t="s">
        <v>6591</v>
      </c>
      <c r="B6079" s="5" t="s">
        <v>4105</v>
      </c>
      <c r="C6079" s="8">
        <v>-1</v>
      </c>
      <c r="D6079" s="5" t="s">
        <v>155</v>
      </c>
      <c r="E6079" s="5"/>
      <c r="G6079" s="5"/>
      <c r="H6079" s="5"/>
    </row>
    <row r="6080" spans="1:8" x14ac:dyDescent="0.2">
      <c r="A6080" s="5"/>
      <c r="B6080" s="5" t="s">
        <v>2878</v>
      </c>
      <c r="C6080" s="5"/>
      <c r="D6080" s="5" t="s">
        <v>15</v>
      </c>
      <c r="E6080" s="5"/>
      <c r="G6080" s="5"/>
      <c r="H6080" s="5"/>
    </row>
    <row r="6081" spans="1:8" x14ac:dyDescent="0.2">
      <c r="A6081" s="5"/>
      <c r="B6081" s="5" t="s">
        <v>4106</v>
      </c>
      <c r="C6081" s="5"/>
      <c r="D6081" s="5" t="s">
        <v>322</v>
      </c>
      <c r="E6081" s="5"/>
      <c r="G6081" s="5"/>
      <c r="H6081" s="5"/>
    </row>
    <row r="6082" spans="1:8" x14ac:dyDescent="0.2">
      <c r="A6082" s="5"/>
      <c r="B6082" s="5" t="s">
        <v>48</v>
      </c>
      <c r="C6082" s="5"/>
      <c r="D6082" s="5" t="s">
        <v>366</v>
      </c>
      <c r="E6082" s="5"/>
      <c r="G6082" s="5"/>
      <c r="H6082" s="5"/>
    </row>
    <row r="6083" spans="1:8" x14ac:dyDescent="0.2">
      <c r="A6083" s="5" t="s">
        <v>6592</v>
      </c>
      <c r="B6083" s="5" t="s">
        <v>4108</v>
      </c>
      <c r="C6083" s="8">
        <v>-5</v>
      </c>
      <c r="D6083" s="5" t="s">
        <v>162</v>
      </c>
      <c r="E6083" s="5"/>
      <c r="G6083" s="5"/>
      <c r="H6083" s="5"/>
    </row>
    <row r="6084" spans="1:8" x14ac:dyDescent="0.2">
      <c r="A6084" s="5" t="s">
        <v>6593</v>
      </c>
      <c r="B6084" s="5" t="s">
        <v>4110</v>
      </c>
      <c r="C6084" s="8">
        <v>-1</v>
      </c>
      <c r="D6084" s="5" t="s">
        <v>162</v>
      </c>
      <c r="E6084" s="5"/>
      <c r="G6084" s="5"/>
      <c r="H6084" s="5"/>
    </row>
    <row r="6085" spans="1:8" x14ac:dyDescent="0.2">
      <c r="A6085" s="5"/>
      <c r="B6085" s="5" t="s">
        <v>4117</v>
      </c>
      <c r="C6085" s="5"/>
      <c r="D6085" s="5" t="s">
        <v>15</v>
      </c>
      <c r="E6085" s="5"/>
      <c r="G6085" s="5"/>
      <c r="H6085" s="5"/>
    </row>
    <row r="6086" spans="1:8" x14ac:dyDescent="0.2">
      <c r="A6086" s="5"/>
      <c r="B6086" s="5" t="s">
        <v>48</v>
      </c>
      <c r="C6086" s="5"/>
      <c r="D6086" s="5" t="s">
        <v>322</v>
      </c>
      <c r="E6086" s="5"/>
      <c r="G6086" s="5"/>
      <c r="H6086" s="5"/>
    </row>
    <row r="6087" spans="1:8" x14ac:dyDescent="0.2">
      <c r="A6087" s="5"/>
      <c r="B6087" s="5" t="s">
        <v>6594</v>
      </c>
      <c r="C6087" s="5"/>
      <c r="D6087" s="5" t="s">
        <v>366</v>
      </c>
      <c r="E6087" s="5"/>
      <c r="G6087" s="5"/>
      <c r="H6087" s="5"/>
    </row>
    <row r="6088" spans="1:8" x14ac:dyDescent="0.2">
      <c r="A6088" s="5" t="s">
        <v>6595</v>
      </c>
      <c r="B6088" s="5" t="s">
        <v>6596</v>
      </c>
      <c r="C6088" s="8">
        <v>0</v>
      </c>
      <c r="D6088" s="5" t="s">
        <v>162</v>
      </c>
      <c r="E6088" s="5"/>
      <c r="G6088" s="5"/>
      <c r="H6088" s="5"/>
    </row>
    <row r="6089" spans="1:8" x14ac:dyDescent="0.2">
      <c r="A6089" s="5"/>
      <c r="B6089" s="5" t="s">
        <v>4147</v>
      </c>
      <c r="C6089" s="5"/>
      <c r="D6089" s="5" t="s">
        <v>15</v>
      </c>
      <c r="E6089" s="5"/>
      <c r="G6089" s="5"/>
      <c r="H6089" s="5"/>
    </row>
    <row r="6090" spans="1:8" x14ac:dyDescent="0.2">
      <c r="A6090" s="5"/>
      <c r="B6090" s="5" t="s">
        <v>48</v>
      </c>
      <c r="C6090" s="5"/>
      <c r="D6090" s="5" t="s">
        <v>322</v>
      </c>
      <c r="E6090" s="5"/>
      <c r="G6090" s="5"/>
      <c r="H6090" s="5"/>
    </row>
    <row r="6091" spans="1:8" x14ac:dyDescent="0.2">
      <c r="A6091" s="5" t="s">
        <v>6597</v>
      </c>
      <c r="B6091" s="5" t="s">
        <v>2876</v>
      </c>
      <c r="C6091" s="8">
        <v>0</v>
      </c>
      <c r="D6091" s="5" t="s">
        <v>155</v>
      </c>
      <c r="E6091" s="5"/>
      <c r="G6091" s="5"/>
      <c r="H6091" s="5"/>
    </row>
    <row r="6092" spans="1:8" x14ac:dyDescent="0.2">
      <c r="A6092" s="5"/>
      <c r="B6092" s="5" t="s">
        <v>53</v>
      </c>
      <c r="C6092" s="5"/>
      <c r="D6092" s="5" t="s">
        <v>13</v>
      </c>
      <c r="E6092" s="5"/>
      <c r="G6092" s="5"/>
      <c r="H6092" s="5"/>
    </row>
    <row r="6093" spans="1:8" x14ac:dyDescent="0.2">
      <c r="A6093" s="5"/>
      <c r="B6093" s="5" t="s">
        <v>3985</v>
      </c>
      <c r="C6093" s="5"/>
      <c r="D6093" s="5" t="s">
        <v>15</v>
      </c>
      <c r="E6093" s="5"/>
      <c r="G6093" s="5"/>
      <c r="H6093" s="5"/>
    </row>
    <row r="6094" spans="1:8" x14ac:dyDescent="0.2">
      <c r="A6094" s="5"/>
      <c r="B6094" s="5" t="s">
        <v>48</v>
      </c>
      <c r="C6094" s="5"/>
      <c r="D6094" s="5" t="s">
        <v>322</v>
      </c>
      <c r="E6094" s="5"/>
      <c r="G6094" s="5"/>
      <c r="H6094" s="5"/>
    </row>
    <row r="6095" spans="1:8" x14ac:dyDescent="0.2">
      <c r="A6095" s="5"/>
      <c r="B6095" s="5" t="s">
        <v>3989</v>
      </c>
      <c r="C6095" s="5"/>
      <c r="D6095" s="5" t="s">
        <v>366</v>
      </c>
      <c r="E6095" s="5"/>
      <c r="G6095" s="5"/>
      <c r="H6095" s="5"/>
    </row>
    <row r="6096" spans="1:8" x14ac:dyDescent="0.2">
      <c r="A6096" s="5" t="s">
        <v>6598</v>
      </c>
      <c r="B6096" s="5" t="s">
        <v>3996</v>
      </c>
      <c r="C6096" s="8">
        <v>-2</v>
      </c>
      <c r="D6096" s="5" t="s">
        <v>162</v>
      </c>
      <c r="E6096" s="5"/>
      <c r="G6096" s="5"/>
      <c r="H6096" s="5"/>
    </row>
    <row r="6097" spans="1:8" x14ac:dyDescent="0.2">
      <c r="A6097" s="5"/>
      <c r="B6097" s="5" t="s">
        <v>3997</v>
      </c>
      <c r="C6097" s="5"/>
      <c r="D6097" s="5" t="s">
        <v>15</v>
      </c>
      <c r="E6097" s="5"/>
      <c r="G6097" s="5"/>
      <c r="H6097" s="5"/>
    </row>
    <row r="6098" spans="1:8" x14ac:dyDescent="0.2">
      <c r="A6098" s="5"/>
      <c r="B6098" s="5" t="s">
        <v>48</v>
      </c>
      <c r="C6098" s="5"/>
      <c r="D6098" s="5" t="s">
        <v>322</v>
      </c>
      <c r="E6098" s="5"/>
      <c r="G6098" s="5"/>
      <c r="H6098" s="5"/>
    </row>
    <row r="6099" spans="1:8" x14ac:dyDescent="0.2">
      <c r="A6099" s="5"/>
      <c r="B6099" s="5" t="s">
        <v>3986</v>
      </c>
      <c r="C6099" s="5"/>
      <c r="D6099" s="5" t="s">
        <v>366</v>
      </c>
      <c r="E6099" s="5"/>
      <c r="G6099" s="5"/>
      <c r="H6099" s="5"/>
    </row>
    <row r="6100" spans="1:8" x14ac:dyDescent="0.2">
      <c r="A6100" s="5" t="s">
        <v>6599</v>
      </c>
      <c r="B6100" s="5" t="s">
        <v>3988</v>
      </c>
      <c r="C6100" s="8">
        <v>-1</v>
      </c>
      <c r="D6100" s="5" t="s">
        <v>162</v>
      </c>
      <c r="E6100" s="5"/>
      <c r="G6100" s="5"/>
      <c r="H6100" s="5"/>
    </row>
    <row r="6101" spans="1:8" x14ac:dyDescent="0.2">
      <c r="A6101" s="5"/>
      <c r="B6101" s="5" t="s">
        <v>2859</v>
      </c>
      <c r="C6101" s="5"/>
      <c r="D6101" s="5" t="s">
        <v>366</v>
      </c>
      <c r="E6101" s="5"/>
      <c r="G6101" s="5"/>
      <c r="H6101" s="5"/>
    </row>
    <row r="6102" spans="1:8" x14ac:dyDescent="0.2">
      <c r="A6102" s="5" t="s">
        <v>6600</v>
      </c>
      <c r="B6102" s="5" t="s">
        <v>4187</v>
      </c>
      <c r="C6102" s="8">
        <v>-1</v>
      </c>
      <c r="D6102" s="5" t="s">
        <v>162</v>
      </c>
      <c r="E6102" s="5"/>
      <c r="G6102" s="5"/>
      <c r="H6102" s="5"/>
    </row>
    <row r="6103" spans="1:8" x14ac:dyDescent="0.2">
      <c r="A6103" s="5"/>
      <c r="B6103" s="5" t="s">
        <v>3989</v>
      </c>
      <c r="C6103" s="5"/>
      <c r="D6103" s="5" t="s">
        <v>366</v>
      </c>
      <c r="E6103" s="5"/>
      <c r="G6103" s="5"/>
      <c r="H6103" s="5"/>
    </row>
    <row r="6104" spans="1:8" x14ac:dyDescent="0.2">
      <c r="A6104" s="5" t="s">
        <v>6601</v>
      </c>
      <c r="B6104" s="5" t="s">
        <v>4027</v>
      </c>
      <c r="C6104" s="8">
        <v>-1</v>
      </c>
      <c r="D6104" s="5" t="s">
        <v>162</v>
      </c>
      <c r="E6104" s="5"/>
      <c r="G6104" s="5"/>
      <c r="H6104" s="5"/>
    </row>
    <row r="6105" spans="1:8" x14ac:dyDescent="0.2">
      <c r="A6105" s="5" t="s">
        <v>6602</v>
      </c>
      <c r="B6105" s="5" t="s">
        <v>3993</v>
      </c>
      <c r="C6105" s="8">
        <v>-1</v>
      </c>
      <c r="D6105" s="5" t="s">
        <v>162</v>
      </c>
      <c r="E6105" s="5"/>
      <c r="G6105" s="5"/>
      <c r="H6105" s="5"/>
    </row>
    <row r="6106" spans="1:8" x14ac:dyDescent="0.2">
      <c r="A6106" s="5" t="s">
        <v>6603</v>
      </c>
      <c r="B6106" s="5" t="s">
        <v>4005</v>
      </c>
      <c r="C6106" s="8">
        <v>-4</v>
      </c>
      <c r="D6106" s="5" t="s">
        <v>162</v>
      </c>
      <c r="E6106" s="5"/>
      <c r="G6106" s="5"/>
      <c r="H6106" s="5"/>
    </row>
    <row r="6107" spans="1:8" x14ac:dyDescent="0.2">
      <c r="A6107" s="5" t="s">
        <v>6604</v>
      </c>
      <c r="B6107" s="5" t="s">
        <v>3996</v>
      </c>
      <c r="C6107" s="8">
        <v>-1</v>
      </c>
      <c r="D6107" s="5" t="s">
        <v>162</v>
      </c>
      <c r="E6107" s="5"/>
      <c r="G6107" s="5"/>
      <c r="H6107" s="5"/>
    </row>
    <row r="6108" spans="1:8" x14ac:dyDescent="0.2">
      <c r="A6108" s="5"/>
      <c r="B6108" s="5" t="s">
        <v>4060</v>
      </c>
      <c r="C6108" s="5"/>
      <c r="D6108" s="5" t="s">
        <v>15</v>
      </c>
      <c r="E6108" s="5"/>
      <c r="G6108" s="5"/>
      <c r="H6108" s="5"/>
    </row>
    <row r="6109" spans="1:8" x14ac:dyDescent="0.2">
      <c r="A6109" s="5"/>
      <c r="B6109" s="5" t="s">
        <v>4061</v>
      </c>
      <c r="C6109" s="5"/>
      <c r="D6109" s="5" t="s">
        <v>322</v>
      </c>
      <c r="E6109" s="5"/>
      <c r="G6109" s="5"/>
      <c r="H6109" s="5"/>
    </row>
    <row r="6110" spans="1:8" x14ac:dyDescent="0.2">
      <c r="A6110" s="5"/>
      <c r="B6110" s="5" t="s">
        <v>48</v>
      </c>
      <c r="C6110" s="5"/>
      <c r="D6110" s="5" t="s">
        <v>366</v>
      </c>
      <c r="E6110" s="5"/>
      <c r="G6110" s="5"/>
      <c r="H6110" s="5"/>
    </row>
    <row r="6111" spans="1:8" x14ac:dyDescent="0.2">
      <c r="A6111" s="5" t="s">
        <v>6605</v>
      </c>
      <c r="B6111" s="5" t="s">
        <v>4067</v>
      </c>
      <c r="C6111" s="8">
        <v>-2</v>
      </c>
      <c r="D6111" s="5" t="s">
        <v>162</v>
      </c>
      <c r="E6111" s="5"/>
      <c r="G6111" s="5"/>
      <c r="H6111" s="5"/>
    </row>
    <row r="6112" spans="1:8" x14ac:dyDescent="0.2">
      <c r="A6112" s="5"/>
      <c r="B6112" s="5" t="s">
        <v>4070</v>
      </c>
      <c r="C6112" s="5"/>
      <c r="D6112" s="5" t="s">
        <v>322</v>
      </c>
      <c r="E6112" s="5"/>
      <c r="G6112" s="5"/>
      <c r="H6112" s="5"/>
    </row>
    <row r="6113" spans="1:8" x14ac:dyDescent="0.2">
      <c r="A6113" s="5"/>
      <c r="B6113" s="5" t="s">
        <v>48</v>
      </c>
      <c r="C6113" s="5"/>
      <c r="D6113" s="5" t="s">
        <v>366</v>
      </c>
      <c r="E6113" s="5"/>
      <c r="G6113" s="5"/>
      <c r="H6113" s="5"/>
    </row>
    <row r="6114" spans="1:8" x14ac:dyDescent="0.2">
      <c r="A6114" s="5" t="s">
        <v>6606</v>
      </c>
      <c r="B6114" s="5" t="s">
        <v>6607</v>
      </c>
      <c r="C6114" s="8">
        <v>-1</v>
      </c>
      <c r="D6114" s="5" t="s">
        <v>162</v>
      </c>
      <c r="E6114" s="5"/>
      <c r="G6114" s="5"/>
      <c r="H6114" s="5"/>
    </row>
    <row r="6115" spans="1:8" x14ac:dyDescent="0.2">
      <c r="A6115" s="5" t="s">
        <v>6608</v>
      </c>
      <c r="B6115" s="5" t="s">
        <v>4076</v>
      </c>
      <c r="C6115" s="8">
        <v>-5</v>
      </c>
      <c r="D6115" s="5" t="s">
        <v>162</v>
      </c>
      <c r="E6115" s="5"/>
      <c r="G6115" s="5"/>
      <c r="H6115" s="5"/>
    </row>
    <row r="6116" spans="1:8" x14ac:dyDescent="0.2">
      <c r="A6116" s="5" t="s">
        <v>6609</v>
      </c>
      <c r="B6116" s="5" t="s">
        <v>4078</v>
      </c>
      <c r="C6116" s="8">
        <v>-2</v>
      </c>
      <c r="D6116" s="5" t="s">
        <v>162</v>
      </c>
      <c r="E6116" s="5"/>
      <c r="G6116" s="5"/>
      <c r="H6116" s="5"/>
    </row>
    <row r="6117" spans="1:8" x14ac:dyDescent="0.2">
      <c r="A6117" s="5"/>
      <c r="B6117" s="5" t="s">
        <v>4087</v>
      </c>
      <c r="C6117" s="5"/>
      <c r="D6117" s="5" t="s">
        <v>15</v>
      </c>
      <c r="E6117" s="5"/>
      <c r="G6117" s="5"/>
      <c r="H6117" s="5"/>
    </row>
    <row r="6118" spans="1:8" x14ac:dyDescent="0.2">
      <c r="A6118" s="5"/>
      <c r="B6118" s="5" t="s">
        <v>48</v>
      </c>
      <c r="C6118" s="5"/>
      <c r="D6118" s="5" t="s">
        <v>322</v>
      </c>
      <c r="E6118" s="5"/>
      <c r="G6118" s="5"/>
      <c r="H6118" s="5"/>
    </row>
    <row r="6119" spans="1:8" x14ac:dyDescent="0.2">
      <c r="A6119" s="5" t="s">
        <v>6610</v>
      </c>
      <c r="B6119" s="5" t="s">
        <v>4089</v>
      </c>
      <c r="C6119" s="8">
        <v>-5</v>
      </c>
      <c r="D6119" s="5" t="s">
        <v>162</v>
      </c>
      <c r="E6119" s="5"/>
      <c r="G6119" s="5"/>
      <c r="H6119" s="5"/>
    </row>
    <row r="6120" spans="1:8" x14ac:dyDescent="0.2">
      <c r="A6120" s="5"/>
      <c r="B6120" s="5" t="s">
        <v>2874</v>
      </c>
      <c r="C6120" s="5"/>
      <c r="D6120" s="5" t="s">
        <v>15</v>
      </c>
      <c r="E6120" s="5"/>
      <c r="G6120" s="5"/>
      <c r="H6120" s="5"/>
    </row>
    <row r="6121" spans="1:8" x14ac:dyDescent="0.2">
      <c r="A6121" s="5"/>
      <c r="B6121" s="5" t="s">
        <v>48</v>
      </c>
      <c r="C6121" s="5"/>
      <c r="D6121" s="5" t="s">
        <v>322</v>
      </c>
      <c r="E6121" s="5"/>
      <c r="G6121" s="5"/>
      <c r="H6121" s="5"/>
    </row>
    <row r="6122" spans="1:8" x14ac:dyDescent="0.2">
      <c r="A6122" s="5" t="s">
        <v>6611</v>
      </c>
      <c r="B6122" s="5" t="s">
        <v>4100</v>
      </c>
      <c r="C6122" s="8">
        <v>-1</v>
      </c>
      <c r="D6122" s="5" t="s">
        <v>155</v>
      </c>
      <c r="E6122" s="5"/>
      <c r="G6122" s="5"/>
      <c r="H6122" s="5"/>
    </row>
    <row r="6123" spans="1:8" x14ac:dyDescent="0.2">
      <c r="A6123" s="5"/>
      <c r="B6123" s="5" t="s">
        <v>4106</v>
      </c>
      <c r="C6123" s="5"/>
      <c r="D6123" s="5" t="s">
        <v>322</v>
      </c>
      <c r="E6123" s="5"/>
      <c r="G6123" s="5"/>
      <c r="H6123" s="5"/>
    </row>
    <row r="6124" spans="1:8" x14ac:dyDescent="0.2">
      <c r="A6124" s="5"/>
      <c r="B6124" s="5" t="s">
        <v>48</v>
      </c>
      <c r="C6124" s="5"/>
      <c r="D6124" s="5" t="s">
        <v>366</v>
      </c>
      <c r="E6124" s="5"/>
      <c r="G6124" s="5"/>
      <c r="H6124" s="5"/>
    </row>
    <row r="6125" spans="1:8" x14ac:dyDescent="0.2">
      <c r="A6125" s="5" t="s">
        <v>6612</v>
      </c>
      <c r="B6125" s="5" t="s">
        <v>4108</v>
      </c>
      <c r="C6125" s="8">
        <v>-5</v>
      </c>
      <c r="D6125" s="5" t="s">
        <v>162</v>
      </c>
      <c r="E6125" s="5"/>
      <c r="G6125" s="5"/>
      <c r="H6125" s="5"/>
    </row>
    <row r="6126" spans="1:8" x14ac:dyDescent="0.2">
      <c r="A6126" s="5" t="s">
        <v>6613</v>
      </c>
      <c r="B6126" s="5" t="s">
        <v>4110</v>
      </c>
      <c r="C6126" s="8">
        <v>-2</v>
      </c>
      <c r="D6126" s="5" t="s">
        <v>162</v>
      </c>
      <c r="E6126" s="5"/>
      <c r="G6126" s="5"/>
      <c r="H6126" s="5"/>
    </row>
    <row r="6127" spans="1:8" x14ac:dyDescent="0.2">
      <c r="A6127" s="5"/>
      <c r="B6127" s="5" t="s">
        <v>4117</v>
      </c>
      <c r="C6127" s="5"/>
      <c r="D6127" s="5" t="s">
        <v>15</v>
      </c>
      <c r="E6127" s="5"/>
      <c r="G6127" s="5"/>
      <c r="H6127" s="5"/>
    </row>
    <row r="6128" spans="1:8" x14ac:dyDescent="0.2">
      <c r="A6128" s="5"/>
      <c r="B6128" s="5" t="s">
        <v>48</v>
      </c>
      <c r="C6128" s="5"/>
      <c r="D6128" s="5" t="s">
        <v>322</v>
      </c>
      <c r="E6128" s="5"/>
      <c r="G6128" s="5"/>
      <c r="H6128" s="5"/>
    </row>
    <row r="6129" spans="1:9" x14ac:dyDescent="0.2">
      <c r="A6129" s="5"/>
      <c r="B6129" s="5" t="s">
        <v>2766</v>
      </c>
      <c r="C6129" s="5"/>
      <c r="D6129" s="5" t="s">
        <v>366</v>
      </c>
      <c r="E6129" s="5"/>
      <c r="G6129" s="5"/>
      <c r="H6129" s="5"/>
    </row>
    <row r="6130" spans="1:9" x14ac:dyDescent="0.2">
      <c r="A6130" s="5" t="s">
        <v>6614</v>
      </c>
      <c r="B6130" s="5" t="s">
        <v>6615</v>
      </c>
      <c r="C6130" s="8">
        <v>0</v>
      </c>
      <c r="D6130" s="5" t="s">
        <v>162</v>
      </c>
      <c r="E6130" s="5"/>
      <c r="G6130" s="5"/>
      <c r="H6130" s="5"/>
    </row>
    <row r="6131" spans="1:9" x14ac:dyDescent="0.2">
      <c r="A6131" s="5"/>
      <c r="B6131" s="5" t="s">
        <v>4147</v>
      </c>
      <c r="C6131" s="5"/>
      <c r="D6131" s="5" t="s">
        <v>15</v>
      </c>
      <c r="E6131" s="5"/>
      <c r="G6131" s="5"/>
      <c r="H6131" s="5"/>
    </row>
    <row r="6132" spans="1:9" x14ac:dyDescent="0.2">
      <c r="A6132" s="5"/>
      <c r="B6132" s="5" t="s">
        <v>48</v>
      </c>
      <c r="C6132" s="5"/>
      <c r="D6132" s="5" t="s">
        <v>322</v>
      </c>
      <c r="E6132" s="5"/>
      <c r="G6132" s="5"/>
      <c r="H6132" s="5"/>
    </row>
    <row r="6133" spans="1:9" x14ac:dyDescent="0.2">
      <c r="A6133" s="5" t="s">
        <v>6616</v>
      </c>
      <c r="B6133" s="5" t="s">
        <v>2876</v>
      </c>
      <c r="C6133" s="8">
        <v>0</v>
      </c>
      <c r="D6133" s="5" t="s">
        <v>155</v>
      </c>
      <c r="E6133" s="5"/>
      <c r="G6133" s="5"/>
      <c r="H6133" s="5"/>
    </row>
    <row r="6134" spans="1:9" x14ac:dyDescent="0.2">
      <c r="B6134" s="6" t="s">
        <v>6617</v>
      </c>
      <c r="C6134" s="6"/>
      <c r="D6134" s="6"/>
      <c r="E6134" s="6"/>
      <c r="F6134" s="9">
        <f>SUM(H6050:H6134)</f>
        <v>0</v>
      </c>
      <c r="G6134" s="6"/>
      <c r="I6134" s="9">
        <f>PRODUCT(F6134,G6134)</f>
        <v>0</v>
      </c>
    </row>
    <row r="6136" spans="1:9" x14ac:dyDescent="0.2">
      <c r="A6136" s="6" t="s">
        <v>6618</v>
      </c>
      <c r="B6136" s="6" t="s">
        <v>4269</v>
      </c>
    </row>
    <row r="6137" spans="1:9" x14ac:dyDescent="0.2">
      <c r="A6137" s="5"/>
      <c r="B6137" s="5" t="s">
        <v>6478</v>
      </c>
      <c r="C6137" s="5"/>
      <c r="D6137" s="5" t="s">
        <v>6479</v>
      </c>
      <c r="E6137" s="5"/>
      <c r="G6137" s="5"/>
      <c r="H6137" s="5"/>
    </row>
    <row r="6138" spans="1:9" x14ac:dyDescent="0.2">
      <c r="A6138" s="5"/>
      <c r="B6138" s="5" t="s">
        <v>38</v>
      </c>
      <c r="C6138" s="5"/>
      <c r="D6138" s="5" t="s">
        <v>13</v>
      </c>
      <c r="E6138" s="5"/>
      <c r="G6138" s="5"/>
      <c r="H6138" s="5"/>
    </row>
    <row r="6139" spans="1:9" x14ac:dyDescent="0.2">
      <c r="A6139" s="5"/>
      <c r="B6139" s="5" t="s">
        <v>4384</v>
      </c>
      <c r="C6139" s="5"/>
      <c r="D6139" s="5" t="s">
        <v>15</v>
      </c>
      <c r="E6139" s="5"/>
      <c r="G6139" s="5"/>
      <c r="H6139" s="5"/>
    </row>
    <row r="6140" spans="1:9" x14ac:dyDescent="0.2">
      <c r="A6140" s="5"/>
      <c r="B6140" s="5" t="s">
        <v>4385</v>
      </c>
      <c r="C6140" s="5"/>
      <c r="D6140" s="5" t="s">
        <v>322</v>
      </c>
      <c r="E6140" s="5"/>
      <c r="G6140" s="5"/>
      <c r="H6140" s="5"/>
    </row>
    <row r="6141" spans="1:9" x14ac:dyDescent="0.2">
      <c r="A6141" s="5" t="s">
        <v>6619</v>
      </c>
      <c r="B6141" s="5" t="s">
        <v>2559</v>
      </c>
      <c r="C6141" s="8">
        <v>-31</v>
      </c>
      <c r="D6141" s="5" t="s">
        <v>42</v>
      </c>
      <c r="E6141" s="5"/>
      <c r="G6141" s="5"/>
      <c r="H6141" s="5"/>
    </row>
    <row r="6142" spans="1:9" x14ac:dyDescent="0.2">
      <c r="B6142" s="6" t="s">
        <v>4473</v>
      </c>
      <c r="C6142" s="6"/>
      <c r="D6142" s="6"/>
      <c r="E6142" s="6"/>
      <c r="F6142" s="9">
        <f>SUM(H6137:H6142)</f>
        <v>0</v>
      </c>
      <c r="G6142" s="6"/>
      <c r="I6142" s="9">
        <f>PRODUCT(F6142,G6142)</f>
        <v>0</v>
      </c>
    </row>
    <row r="6144" spans="1:9" x14ac:dyDescent="0.2">
      <c r="A6144" s="6" t="s">
        <v>6620</v>
      </c>
      <c r="B6144" s="6" t="s">
        <v>4497</v>
      </c>
    </row>
    <row r="6145" spans="1:9" x14ac:dyDescent="0.2">
      <c r="A6145" s="5"/>
      <c r="B6145" s="5" t="s">
        <v>6478</v>
      </c>
      <c r="C6145" s="5"/>
      <c r="D6145" s="5" t="s">
        <v>6479</v>
      </c>
      <c r="E6145" s="5"/>
      <c r="G6145" s="5"/>
      <c r="H6145" s="5"/>
    </row>
    <row r="6146" spans="1:9" x14ac:dyDescent="0.2">
      <c r="A6146" s="5"/>
      <c r="B6146" s="5" t="s">
        <v>38</v>
      </c>
      <c r="C6146" s="5"/>
      <c r="D6146" s="5" t="s">
        <v>13</v>
      </c>
      <c r="E6146" s="5"/>
      <c r="G6146" s="5"/>
      <c r="H6146" s="5"/>
    </row>
    <row r="6147" spans="1:9" x14ac:dyDescent="0.2">
      <c r="A6147" s="5"/>
      <c r="B6147" s="5" t="s">
        <v>4530</v>
      </c>
      <c r="C6147" s="5"/>
      <c r="D6147" s="5" t="s">
        <v>15</v>
      </c>
      <c r="E6147" s="5"/>
      <c r="G6147" s="5"/>
      <c r="H6147" s="5"/>
    </row>
    <row r="6148" spans="1:9" x14ac:dyDescent="0.2">
      <c r="A6148" s="5"/>
      <c r="B6148" s="5" t="s">
        <v>4531</v>
      </c>
      <c r="C6148" s="5"/>
      <c r="D6148" s="5" t="s">
        <v>322</v>
      </c>
      <c r="E6148" s="5"/>
      <c r="G6148" s="5"/>
      <c r="H6148" s="5"/>
    </row>
    <row r="6149" spans="1:9" x14ac:dyDescent="0.2">
      <c r="A6149" s="5" t="s">
        <v>6621</v>
      </c>
      <c r="B6149" s="5" t="s">
        <v>2559</v>
      </c>
      <c r="C6149" s="8">
        <v>-75</v>
      </c>
      <c r="D6149" s="5" t="s">
        <v>155</v>
      </c>
      <c r="E6149" s="5"/>
      <c r="G6149" s="5"/>
      <c r="H6149" s="5"/>
    </row>
    <row r="6150" spans="1:9" x14ac:dyDescent="0.2">
      <c r="A6150" s="5"/>
      <c r="B6150" s="5" t="s">
        <v>53</v>
      </c>
      <c r="C6150" s="5"/>
      <c r="D6150" s="5" t="s">
        <v>13</v>
      </c>
      <c r="E6150" s="5"/>
      <c r="G6150" s="5"/>
      <c r="H6150" s="5"/>
    </row>
    <row r="6151" spans="1:9" x14ac:dyDescent="0.2">
      <c r="A6151" s="5"/>
      <c r="B6151" s="5" t="s">
        <v>4530</v>
      </c>
      <c r="C6151" s="5"/>
      <c r="D6151" s="5" t="s">
        <v>15</v>
      </c>
      <c r="E6151" s="5"/>
      <c r="G6151" s="5"/>
      <c r="H6151" s="5"/>
    </row>
    <row r="6152" spans="1:9" x14ac:dyDescent="0.2">
      <c r="A6152" s="5"/>
      <c r="B6152" s="5" t="s">
        <v>4531</v>
      </c>
      <c r="C6152" s="5"/>
      <c r="D6152" s="5" t="s">
        <v>322</v>
      </c>
      <c r="E6152" s="5"/>
      <c r="G6152" s="5"/>
      <c r="H6152" s="5"/>
    </row>
    <row r="6153" spans="1:9" x14ac:dyDescent="0.2">
      <c r="A6153" s="5" t="s">
        <v>6622</v>
      </c>
      <c r="B6153" s="5" t="s">
        <v>3944</v>
      </c>
      <c r="C6153" s="8">
        <v>-76</v>
      </c>
      <c r="D6153" s="5" t="s">
        <v>155</v>
      </c>
      <c r="E6153" s="5"/>
      <c r="G6153" s="5"/>
      <c r="H6153" s="5"/>
    </row>
    <row r="6154" spans="1:9" x14ac:dyDescent="0.2">
      <c r="B6154" s="6" t="s">
        <v>4639</v>
      </c>
      <c r="C6154" s="6"/>
      <c r="D6154" s="6"/>
      <c r="E6154" s="6"/>
      <c r="F6154" s="9">
        <f>SUM(H6145:H6154)</f>
        <v>0</v>
      </c>
      <c r="G6154" s="6"/>
      <c r="I6154" s="9">
        <f>PRODUCT(F6154,G6154)</f>
        <v>0</v>
      </c>
    </row>
    <row r="6156" spans="1:9" x14ac:dyDescent="0.2">
      <c r="A6156" s="6" t="s">
        <v>6623</v>
      </c>
      <c r="B6156" s="6" t="s">
        <v>4641</v>
      </c>
    </row>
    <row r="6157" spans="1:9" x14ac:dyDescent="0.2">
      <c r="A6157" s="5"/>
      <c r="B6157" s="5" t="s">
        <v>6478</v>
      </c>
      <c r="C6157" s="5"/>
      <c r="D6157" s="5" t="s">
        <v>6479</v>
      </c>
      <c r="E6157" s="5"/>
      <c r="G6157" s="5"/>
      <c r="H6157" s="5"/>
    </row>
    <row r="6158" spans="1:9" x14ac:dyDescent="0.2">
      <c r="A6158" s="5"/>
      <c r="B6158" s="5" t="s">
        <v>4690</v>
      </c>
      <c r="C6158" s="5"/>
      <c r="D6158" s="5" t="s">
        <v>15</v>
      </c>
      <c r="E6158" s="5"/>
      <c r="G6158" s="5"/>
      <c r="H6158" s="5"/>
    </row>
    <row r="6159" spans="1:9" x14ac:dyDescent="0.2">
      <c r="A6159" s="5" t="s">
        <v>6624</v>
      </c>
      <c r="B6159" s="5" t="s">
        <v>4545</v>
      </c>
      <c r="C6159" s="8">
        <v>-1</v>
      </c>
      <c r="D6159" s="5" t="s">
        <v>162</v>
      </c>
      <c r="E6159" s="5"/>
      <c r="G6159" s="5"/>
      <c r="H6159" s="5"/>
    </row>
    <row r="6160" spans="1:9" x14ac:dyDescent="0.2">
      <c r="A6160" s="5" t="s">
        <v>6625</v>
      </c>
      <c r="B6160" s="5"/>
      <c r="C6160" s="5"/>
      <c r="D6160" s="5" t="s">
        <v>6547</v>
      </c>
      <c r="E6160" s="5"/>
      <c r="G6160" s="5"/>
      <c r="H6160" s="5"/>
    </row>
    <row r="6161" spans="1:9" x14ac:dyDescent="0.2">
      <c r="B6161" s="6" t="s">
        <v>4742</v>
      </c>
      <c r="C6161" s="6"/>
      <c r="D6161" s="6"/>
      <c r="E6161" s="6"/>
      <c r="F6161" s="9">
        <f>SUM(H6157:H6161)</f>
        <v>0</v>
      </c>
      <c r="G6161" s="6"/>
      <c r="I6161" s="9">
        <f>PRODUCT(F6161,G6161)</f>
        <v>0</v>
      </c>
    </row>
    <row r="6163" spans="1:9" x14ac:dyDescent="0.2">
      <c r="A6163" s="6" t="s">
        <v>6626</v>
      </c>
      <c r="B6163" s="6" t="s">
        <v>6627</v>
      </c>
    </row>
    <row r="6164" spans="1:9" x14ac:dyDescent="0.2">
      <c r="A6164" s="5"/>
      <c r="B6164" s="5" t="s">
        <v>6478</v>
      </c>
      <c r="C6164" s="5"/>
      <c r="D6164" s="5" t="s">
        <v>6479</v>
      </c>
      <c r="E6164" s="5"/>
      <c r="G6164" s="5"/>
      <c r="H6164" s="5"/>
    </row>
    <row r="6165" spans="1:9" x14ac:dyDescent="0.2">
      <c r="A6165" s="5"/>
      <c r="B6165" s="5" t="s">
        <v>38</v>
      </c>
      <c r="C6165" s="5"/>
      <c r="D6165" s="5" t="s">
        <v>13</v>
      </c>
      <c r="E6165" s="5"/>
      <c r="G6165" s="5"/>
      <c r="H6165" s="5"/>
    </row>
    <row r="6166" spans="1:9" x14ac:dyDescent="0.2">
      <c r="A6166" s="5"/>
      <c r="B6166" s="5" t="s">
        <v>4910</v>
      </c>
      <c r="C6166" s="5"/>
      <c r="D6166" s="5" t="s">
        <v>15</v>
      </c>
      <c r="E6166" s="5"/>
      <c r="G6166" s="5"/>
      <c r="H6166" s="5"/>
    </row>
    <row r="6167" spans="1:9" x14ac:dyDescent="0.2">
      <c r="A6167" s="5"/>
      <c r="B6167" s="5" t="s">
        <v>4911</v>
      </c>
      <c r="C6167" s="5"/>
      <c r="D6167" s="5" t="s">
        <v>322</v>
      </c>
      <c r="E6167" s="5"/>
      <c r="G6167" s="5"/>
      <c r="H6167" s="5"/>
    </row>
    <row r="6168" spans="1:9" x14ac:dyDescent="0.2">
      <c r="A6168" s="5" t="s">
        <v>6628</v>
      </c>
      <c r="B6168" s="5" t="s">
        <v>2992</v>
      </c>
      <c r="C6168" s="8">
        <v>-16</v>
      </c>
      <c r="D6168" s="5" t="s">
        <v>42</v>
      </c>
      <c r="E6168" s="5"/>
      <c r="G6168" s="5"/>
      <c r="H6168" s="5"/>
    </row>
    <row r="6169" spans="1:9" x14ac:dyDescent="0.2">
      <c r="A6169" s="5"/>
      <c r="B6169" s="5" t="s">
        <v>4921</v>
      </c>
      <c r="C6169" s="5"/>
      <c r="D6169" s="5" t="s">
        <v>15</v>
      </c>
      <c r="E6169" s="5"/>
      <c r="G6169" s="5"/>
      <c r="H6169" s="5"/>
    </row>
    <row r="6170" spans="1:9" x14ac:dyDescent="0.2">
      <c r="A6170" s="5"/>
      <c r="B6170" s="5" t="s">
        <v>4922</v>
      </c>
      <c r="C6170" s="5"/>
      <c r="D6170" s="5" t="s">
        <v>322</v>
      </c>
      <c r="E6170" s="5"/>
      <c r="G6170" s="5"/>
      <c r="H6170" s="5"/>
    </row>
    <row r="6171" spans="1:9" x14ac:dyDescent="0.2">
      <c r="A6171" s="5" t="s">
        <v>6629</v>
      </c>
      <c r="B6171" s="5" t="s">
        <v>2992</v>
      </c>
      <c r="C6171" s="8">
        <v>-5</v>
      </c>
      <c r="D6171" s="5" t="s">
        <v>155</v>
      </c>
      <c r="E6171" s="5"/>
      <c r="G6171" s="5"/>
      <c r="H6171" s="5"/>
    </row>
    <row r="6172" spans="1:9" x14ac:dyDescent="0.2">
      <c r="A6172" s="5"/>
      <c r="B6172" s="5" t="s">
        <v>4936</v>
      </c>
      <c r="C6172" s="5"/>
      <c r="D6172" s="5" t="s">
        <v>15</v>
      </c>
      <c r="E6172" s="5"/>
      <c r="G6172" s="5"/>
      <c r="H6172" s="5"/>
    </row>
    <row r="6173" spans="1:9" x14ac:dyDescent="0.2">
      <c r="A6173" s="5"/>
      <c r="B6173" s="5" t="s">
        <v>4941</v>
      </c>
      <c r="C6173" s="5"/>
      <c r="D6173" s="5" t="s">
        <v>322</v>
      </c>
      <c r="E6173" s="5"/>
      <c r="G6173" s="5"/>
      <c r="H6173" s="5"/>
    </row>
    <row r="6174" spans="1:9" x14ac:dyDescent="0.2">
      <c r="A6174" s="5" t="s">
        <v>6630</v>
      </c>
      <c r="B6174" s="5" t="s">
        <v>2559</v>
      </c>
      <c r="C6174" s="8">
        <v>-1</v>
      </c>
      <c r="D6174" s="5" t="s">
        <v>155</v>
      </c>
      <c r="E6174" s="5"/>
      <c r="G6174" s="5"/>
      <c r="H6174" s="5"/>
    </row>
    <row r="6175" spans="1:9" x14ac:dyDescent="0.2">
      <c r="A6175" s="5"/>
      <c r="B6175" s="5" t="s">
        <v>4951</v>
      </c>
      <c r="C6175" s="5"/>
      <c r="D6175" s="5" t="s">
        <v>15</v>
      </c>
      <c r="E6175" s="5"/>
      <c r="G6175" s="5"/>
      <c r="H6175" s="5"/>
    </row>
    <row r="6176" spans="1:9" x14ac:dyDescent="0.2">
      <c r="A6176" s="5"/>
      <c r="B6176" s="5" t="s">
        <v>4952</v>
      </c>
      <c r="C6176" s="5"/>
      <c r="D6176" s="5" t="s">
        <v>322</v>
      </c>
      <c r="E6176" s="5"/>
      <c r="G6176" s="5"/>
      <c r="H6176" s="5"/>
    </row>
    <row r="6177" spans="1:9" x14ac:dyDescent="0.2">
      <c r="A6177" s="5" t="s">
        <v>6631</v>
      </c>
      <c r="B6177" s="5" t="s">
        <v>2992</v>
      </c>
      <c r="C6177" s="8">
        <v>-16</v>
      </c>
      <c r="D6177" s="5" t="s">
        <v>42</v>
      </c>
      <c r="E6177" s="5"/>
      <c r="G6177" s="5"/>
      <c r="H6177" s="5"/>
    </row>
    <row r="6178" spans="1:9" x14ac:dyDescent="0.2">
      <c r="A6178" s="5"/>
      <c r="B6178" s="5" t="s">
        <v>53</v>
      </c>
      <c r="C6178" s="5"/>
      <c r="D6178" s="5" t="s">
        <v>13</v>
      </c>
      <c r="E6178" s="5"/>
      <c r="G6178" s="5"/>
      <c r="H6178" s="5"/>
    </row>
    <row r="6179" spans="1:9" x14ac:dyDescent="0.2">
      <c r="A6179" s="5"/>
      <c r="B6179" s="5" t="s">
        <v>4910</v>
      </c>
      <c r="C6179" s="5"/>
      <c r="D6179" s="5" t="s">
        <v>15</v>
      </c>
      <c r="E6179" s="5"/>
      <c r="G6179" s="5"/>
      <c r="H6179" s="5"/>
    </row>
    <row r="6180" spans="1:9" x14ac:dyDescent="0.2">
      <c r="A6180" s="5"/>
      <c r="B6180" s="5" t="s">
        <v>4911</v>
      </c>
      <c r="C6180" s="5"/>
      <c r="D6180" s="5" t="s">
        <v>322</v>
      </c>
      <c r="E6180" s="5"/>
      <c r="G6180" s="5"/>
      <c r="H6180" s="5"/>
    </row>
    <row r="6181" spans="1:9" x14ac:dyDescent="0.2">
      <c r="A6181" s="5" t="s">
        <v>6632</v>
      </c>
      <c r="B6181" s="5" t="s">
        <v>2992</v>
      </c>
      <c r="C6181" s="8">
        <v>-17</v>
      </c>
      <c r="D6181" s="5" t="s">
        <v>42</v>
      </c>
      <c r="E6181" s="5"/>
      <c r="G6181" s="5"/>
      <c r="H6181" s="5"/>
    </row>
    <row r="6182" spans="1:9" x14ac:dyDescent="0.2">
      <c r="A6182" s="5"/>
      <c r="B6182" s="5" t="s">
        <v>4921</v>
      </c>
      <c r="C6182" s="5"/>
      <c r="D6182" s="5" t="s">
        <v>15</v>
      </c>
      <c r="E6182" s="5"/>
      <c r="G6182" s="5"/>
      <c r="H6182" s="5"/>
    </row>
    <row r="6183" spans="1:9" x14ac:dyDescent="0.2">
      <c r="A6183" s="5"/>
      <c r="B6183" s="5" t="s">
        <v>4922</v>
      </c>
      <c r="C6183" s="5"/>
      <c r="D6183" s="5" t="s">
        <v>322</v>
      </c>
      <c r="E6183" s="5"/>
      <c r="G6183" s="5"/>
      <c r="H6183" s="5"/>
    </row>
    <row r="6184" spans="1:9" x14ac:dyDescent="0.2">
      <c r="A6184" s="5" t="s">
        <v>6633</v>
      </c>
      <c r="B6184" s="5" t="s">
        <v>2992</v>
      </c>
      <c r="C6184" s="8">
        <v>-5</v>
      </c>
      <c r="D6184" s="5" t="s">
        <v>155</v>
      </c>
      <c r="E6184" s="5"/>
      <c r="G6184" s="5"/>
      <c r="H6184" s="5"/>
    </row>
    <row r="6185" spans="1:9" x14ac:dyDescent="0.2">
      <c r="A6185" s="5"/>
      <c r="B6185" s="5" t="s">
        <v>4936</v>
      </c>
      <c r="C6185" s="5"/>
      <c r="D6185" s="5" t="s">
        <v>15</v>
      </c>
      <c r="E6185" s="5"/>
      <c r="G6185" s="5"/>
      <c r="H6185" s="5"/>
    </row>
    <row r="6186" spans="1:9" x14ac:dyDescent="0.2">
      <c r="A6186" s="5"/>
      <c r="B6186" s="5" t="s">
        <v>4941</v>
      </c>
      <c r="C6186" s="5"/>
      <c r="D6186" s="5" t="s">
        <v>322</v>
      </c>
      <c r="E6186" s="5"/>
      <c r="G6186" s="5"/>
      <c r="H6186" s="5"/>
    </row>
    <row r="6187" spans="1:9" x14ac:dyDescent="0.2">
      <c r="A6187" s="5" t="s">
        <v>6634</v>
      </c>
      <c r="B6187" s="5" t="s">
        <v>2559</v>
      </c>
      <c r="C6187" s="8">
        <v>-1</v>
      </c>
      <c r="D6187" s="5" t="s">
        <v>155</v>
      </c>
      <c r="E6187" s="5"/>
      <c r="G6187" s="5"/>
      <c r="H6187" s="5"/>
    </row>
    <row r="6188" spans="1:9" x14ac:dyDescent="0.2">
      <c r="A6188" s="5"/>
      <c r="B6188" s="5" t="s">
        <v>4951</v>
      </c>
      <c r="C6188" s="5"/>
      <c r="D6188" s="5" t="s">
        <v>15</v>
      </c>
      <c r="E6188" s="5"/>
      <c r="G6188" s="5"/>
      <c r="H6188" s="5"/>
    </row>
    <row r="6189" spans="1:9" x14ac:dyDescent="0.2">
      <c r="A6189" s="5"/>
      <c r="B6189" s="5" t="s">
        <v>4952</v>
      </c>
      <c r="C6189" s="5"/>
      <c r="D6189" s="5" t="s">
        <v>322</v>
      </c>
      <c r="E6189" s="5"/>
      <c r="G6189" s="5"/>
      <c r="H6189" s="5"/>
    </row>
    <row r="6190" spans="1:9" x14ac:dyDescent="0.2">
      <c r="A6190" s="5" t="s">
        <v>6635</v>
      </c>
      <c r="B6190" s="5" t="s">
        <v>2992</v>
      </c>
      <c r="C6190" s="8">
        <v>-17</v>
      </c>
      <c r="D6190" s="5" t="s">
        <v>42</v>
      </c>
      <c r="E6190" s="5"/>
      <c r="G6190" s="5"/>
      <c r="H6190" s="5"/>
    </row>
    <row r="6191" spans="1:9" x14ac:dyDescent="0.2">
      <c r="B6191" s="6" t="s">
        <v>6636</v>
      </c>
      <c r="C6191" s="6"/>
      <c r="D6191" s="6"/>
      <c r="E6191" s="6"/>
      <c r="F6191" s="9">
        <f>SUM(H6164:H6191)</f>
        <v>0</v>
      </c>
      <c r="G6191" s="6"/>
      <c r="I6191" s="9">
        <f>PRODUCT(F6191,G6191)</f>
        <v>0</v>
      </c>
    </row>
    <row r="6193" spans="1:9" x14ac:dyDescent="0.2">
      <c r="A6193" s="6" t="s">
        <v>6637</v>
      </c>
      <c r="B6193" s="6" t="s">
        <v>6638</v>
      </c>
    </row>
    <row r="6194" spans="1:9" x14ac:dyDescent="0.2">
      <c r="A6194" s="5"/>
      <c r="B6194" s="5" t="s">
        <v>6478</v>
      </c>
      <c r="C6194" s="5"/>
      <c r="D6194" s="5" t="s">
        <v>6479</v>
      </c>
      <c r="E6194" s="5"/>
      <c r="G6194" s="5"/>
      <c r="H6194" s="5"/>
    </row>
    <row r="6195" spans="1:9" x14ac:dyDescent="0.2">
      <c r="A6195" s="5"/>
      <c r="B6195" s="5" t="s">
        <v>38</v>
      </c>
      <c r="C6195" s="5"/>
      <c r="D6195" s="5" t="s">
        <v>13</v>
      </c>
      <c r="E6195" s="5"/>
      <c r="G6195" s="5"/>
      <c r="H6195" s="5"/>
    </row>
    <row r="6196" spans="1:9" x14ac:dyDescent="0.2">
      <c r="A6196" s="5"/>
      <c r="B6196" s="5" t="s">
        <v>5010</v>
      </c>
      <c r="C6196" s="5"/>
      <c r="D6196" s="5" t="s">
        <v>15</v>
      </c>
      <c r="E6196" s="5"/>
      <c r="G6196" s="5"/>
      <c r="H6196" s="5"/>
    </row>
    <row r="6197" spans="1:9" x14ac:dyDescent="0.2">
      <c r="A6197" s="5"/>
      <c r="B6197" s="5" t="s">
        <v>5020</v>
      </c>
      <c r="C6197" s="5"/>
      <c r="D6197" s="5" t="s">
        <v>322</v>
      </c>
      <c r="E6197" s="5"/>
      <c r="G6197" s="5"/>
      <c r="H6197" s="5"/>
    </row>
    <row r="6198" spans="1:9" x14ac:dyDescent="0.2">
      <c r="A6198" s="5" t="s">
        <v>6639</v>
      </c>
      <c r="B6198" s="5" t="s">
        <v>2992</v>
      </c>
      <c r="C6198" s="8">
        <v>-95</v>
      </c>
      <c r="D6198" s="5" t="s">
        <v>42</v>
      </c>
      <c r="E6198" s="5"/>
      <c r="G6198" s="5"/>
      <c r="H6198" s="5"/>
    </row>
    <row r="6199" spans="1:9" x14ac:dyDescent="0.2">
      <c r="A6199" s="5"/>
      <c r="B6199" s="5" t="s">
        <v>53</v>
      </c>
      <c r="C6199" s="5"/>
      <c r="D6199" s="5" t="s">
        <v>13</v>
      </c>
      <c r="E6199" s="5"/>
      <c r="G6199" s="5"/>
      <c r="H6199" s="5"/>
    </row>
    <row r="6200" spans="1:9" x14ac:dyDescent="0.2">
      <c r="A6200" s="5"/>
      <c r="B6200" s="5" t="s">
        <v>5010</v>
      </c>
      <c r="C6200" s="5"/>
      <c r="D6200" s="5" t="s">
        <v>15</v>
      </c>
      <c r="E6200" s="5"/>
      <c r="G6200" s="5"/>
      <c r="H6200" s="5"/>
    </row>
    <row r="6201" spans="1:9" x14ac:dyDescent="0.2">
      <c r="A6201" s="5"/>
      <c r="B6201" s="5" t="s">
        <v>5020</v>
      </c>
      <c r="C6201" s="5"/>
      <c r="D6201" s="5" t="s">
        <v>322</v>
      </c>
      <c r="E6201" s="5"/>
      <c r="G6201" s="5"/>
      <c r="H6201" s="5"/>
    </row>
    <row r="6202" spans="1:9" x14ac:dyDescent="0.2">
      <c r="A6202" s="5" t="s">
        <v>6640</v>
      </c>
      <c r="B6202" s="5" t="s">
        <v>2992</v>
      </c>
      <c r="C6202" s="8">
        <v>21</v>
      </c>
      <c r="D6202" s="5" t="s">
        <v>42</v>
      </c>
      <c r="E6202" s="5"/>
      <c r="G6202" s="5"/>
      <c r="H6202" s="5"/>
    </row>
    <row r="6203" spans="1:9" x14ac:dyDescent="0.2">
      <c r="B6203" s="6" t="s">
        <v>6641</v>
      </c>
      <c r="C6203" s="6"/>
      <c r="D6203" s="6"/>
      <c r="E6203" s="6"/>
      <c r="F6203" s="9">
        <f>SUM(H6194:H6203)</f>
        <v>0</v>
      </c>
      <c r="G6203" s="6"/>
      <c r="I6203" s="9">
        <f>PRODUCT(F6203,G6203)</f>
        <v>0</v>
      </c>
    </row>
    <row r="6205" spans="1:9" x14ac:dyDescent="0.2">
      <c r="A6205" s="6" t="s">
        <v>6642</v>
      </c>
      <c r="B6205" s="6" t="s">
        <v>4744</v>
      </c>
    </row>
    <row r="6206" spans="1:9" x14ac:dyDescent="0.2">
      <c r="A6206" s="5"/>
      <c r="B6206" s="5" t="s">
        <v>6478</v>
      </c>
      <c r="C6206" s="5"/>
      <c r="D6206" s="5" t="s">
        <v>6479</v>
      </c>
      <c r="E6206" s="5"/>
      <c r="G6206" s="5"/>
      <c r="H6206" s="5"/>
    </row>
    <row r="6207" spans="1:9" x14ac:dyDescent="0.2">
      <c r="A6207" s="5"/>
      <c r="B6207" s="5" t="s">
        <v>38</v>
      </c>
      <c r="C6207" s="5"/>
      <c r="D6207" s="5" t="s">
        <v>13</v>
      </c>
      <c r="E6207" s="5"/>
      <c r="G6207" s="5"/>
      <c r="H6207" s="5"/>
    </row>
    <row r="6208" spans="1:9" x14ac:dyDescent="0.2">
      <c r="A6208" s="5"/>
      <c r="B6208" s="5" t="s">
        <v>4791</v>
      </c>
      <c r="C6208" s="5"/>
      <c r="D6208" s="5" t="s">
        <v>15</v>
      </c>
      <c r="E6208" s="5"/>
      <c r="G6208" s="5"/>
      <c r="H6208" s="5"/>
    </row>
    <row r="6209" spans="1:8" x14ac:dyDescent="0.2">
      <c r="A6209" s="5"/>
      <c r="B6209" s="5" t="s">
        <v>4792</v>
      </c>
      <c r="C6209" s="5"/>
      <c r="D6209" s="5" t="s">
        <v>322</v>
      </c>
      <c r="E6209" s="5"/>
      <c r="G6209" s="5"/>
      <c r="H6209" s="5"/>
    </row>
    <row r="6210" spans="1:8" x14ac:dyDescent="0.2">
      <c r="A6210" s="5"/>
      <c r="B6210" s="5" t="s">
        <v>4793</v>
      </c>
      <c r="C6210" s="5"/>
      <c r="D6210" s="5" t="s">
        <v>366</v>
      </c>
      <c r="E6210" s="5"/>
      <c r="G6210" s="5"/>
      <c r="H6210" s="5"/>
    </row>
    <row r="6211" spans="1:8" x14ac:dyDescent="0.2">
      <c r="A6211" s="5" t="s">
        <v>6643</v>
      </c>
      <c r="B6211" s="5" t="s">
        <v>2992</v>
      </c>
      <c r="C6211" s="8">
        <v>-16</v>
      </c>
      <c r="D6211" s="5" t="s">
        <v>42</v>
      </c>
      <c r="E6211" s="5"/>
      <c r="G6211" s="5"/>
      <c r="H6211" s="5"/>
    </row>
    <row r="6212" spans="1:8" x14ac:dyDescent="0.2">
      <c r="A6212" s="5"/>
      <c r="B6212" s="5" t="s">
        <v>4798</v>
      </c>
      <c r="C6212" s="5"/>
      <c r="D6212" s="5" t="s">
        <v>366</v>
      </c>
      <c r="E6212" s="5"/>
      <c r="G6212" s="5"/>
      <c r="H6212" s="5"/>
    </row>
    <row r="6213" spans="1:8" x14ac:dyDescent="0.2">
      <c r="A6213" s="5" t="s">
        <v>6644</v>
      </c>
      <c r="B6213" s="5" t="s">
        <v>2992</v>
      </c>
      <c r="C6213" s="8">
        <v>-38</v>
      </c>
      <c r="D6213" s="5" t="s">
        <v>155</v>
      </c>
      <c r="E6213" s="5"/>
      <c r="G6213" s="5"/>
      <c r="H6213" s="5"/>
    </row>
    <row r="6214" spans="1:8" x14ac:dyDescent="0.2">
      <c r="A6214" s="5"/>
      <c r="B6214" s="5" t="s">
        <v>4803</v>
      </c>
      <c r="C6214" s="5"/>
      <c r="D6214" s="5" t="s">
        <v>15</v>
      </c>
      <c r="E6214" s="5"/>
      <c r="G6214" s="5"/>
      <c r="H6214" s="5"/>
    </row>
    <row r="6215" spans="1:8" x14ac:dyDescent="0.2">
      <c r="A6215" s="5"/>
      <c r="B6215" s="5" t="s">
        <v>4804</v>
      </c>
      <c r="C6215" s="5"/>
      <c r="D6215" s="5" t="s">
        <v>322</v>
      </c>
      <c r="E6215" s="5"/>
      <c r="G6215" s="5"/>
      <c r="H6215" s="5"/>
    </row>
    <row r="6216" spans="1:8" x14ac:dyDescent="0.2">
      <c r="A6216" s="5"/>
      <c r="B6216" s="5" t="s">
        <v>4793</v>
      </c>
      <c r="C6216" s="5"/>
      <c r="D6216" s="5" t="s">
        <v>366</v>
      </c>
      <c r="E6216" s="5"/>
      <c r="G6216" s="5"/>
      <c r="H6216" s="5"/>
    </row>
    <row r="6217" spans="1:8" x14ac:dyDescent="0.2">
      <c r="A6217" s="5" t="s">
        <v>6645</v>
      </c>
      <c r="B6217" s="5" t="s">
        <v>2992</v>
      </c>
      <c r="C6217" s="8">
        <v>-262</v>
      </c>
      <c r="D6217" s="5" t="s">
        <v>42</v>
      </c>
      <c r="E6217" s="5"/>
      <c r="G6217" s="5"/>
      <c r="H6217" s="5"/>
    </row>
    <row r="6218" spans="1:8" x14ac:dyDescent="0.2">
      <c r="A6218" s="5"/>
      <c r="B6218" s="5" t="s">
        <v>4807</v>
      </c>
      <c r="C6218" s="5"/>
      <c r="D6218" s="5" t="s">
        <v>366</v>
      </c>
      <c r="E6218" s="5"/>
      <c r="G6218" s="5"/>
      <c r="H6218" s="5"/>
    </row>
    <row r="6219" spans="1:8" x14ac:dyDescent="0.2">
      <c r="A6219" s="5" t="s">
        <v>6646</v>
      </c>
      <c r="B6219" s="5" t="s">
        <v>2992</v>
      </c>
      <c r="C6219" s="8">
        <v>-27</v>
      </c>
      <c r="D6219" s="5" t="s">
        <v>155</v>
      </c>
      <c r="E6219" s="5"/>
      <c r="G6219" s="5"/>
      <c r="H6219" s="5"/>
    </row>
    <row r="6220" spans="1:8" x14ac:dyDescent="0.2">
      <c r="A6220" s="5"/>
      <c r="B6220" s="5" t="s">
        <v>4810</v>
      </c>
      <c r="C6220" s="5"/>
      <c r="D6220" s="5" t="s">
        <v>366</v>
      </c>
      <c r="E6220" s="5"/>
      <c r="G6220" s="5"/>
      <c r="H6220" s="5"/>
    </row>
    <row r="6221" spans="1:8" x14ac:dyDescent="0.2">
      <c r="A6221" s="5" t="s">
        <v>6647</v>
      </c>
      <c r="B6221" s="5" t="s">
        <v>2992</v>
      </c>
      <c r="C6221" s="8">
        <v>-30</v>
      </c>
      <c r="D6221" s="5" t="s">
        <v>42</v>
      </c>
      <c r="E6221" s="5"/>
      <c r="G6221" s="5"/>
      <c r="H6221" s="5"/>
    </row>
    <row r="6222" spans="1:8" x14ac:dyDescent="0.2">
      <c r="A6222" s="5"/>
      <c r="B6222" s="5" t="s">
        <v>4812</v>
      </c>
      <c r="C6222" s="5"/>
      <c r="D6222" s="5" t="s">
        <v>366</v>
      </c>
      <c r="E6222" s="5"/>
      <c r="G6222" s="5"/>
      <c r="H6222" s="5"/>
    </row>
    <row r="6223" spans="1:8" x14ac:dyDescent="0.2">
      <c r="A6223" s="5" t="s">
        <v>6648</v>
      </c>
      <c r="B6223" s="5" t="s">
        <v>2992</v>
      </c>
      <c r="C6223" s="8">
        <v>-24</v>
      </c>
      <c r="D6223" s="5" t="s">
        <v>42</v>
      </c>
      <c r="E6223" s="5"/>
      <c r="G6223" s="5"/>
      <c r="H6223" s="5"/>
    </row>
    <row r="6224" spans="1:8" x14ac:dyDescent="0.2">
      <c r="A6224" s="5"/>
      <c r="B6224" s="5" t="s">
        <v>4814</v>
      </c>
      <c r="C6224" s="5"/>
      <c r="D6224" s="5" t="s">
        <v>15</v>
      </c>
      <c r="E6224" s="5"/>
      <c r="G6224" s="5"/>
      <c r="H6224" s="5"/>
    </row>
    <row r="6225" spans="1:8" x14ac:dyDescent="0.2">
      <c r="A6225" s="5"/>
      <c r="B6225" s="5" t="s">
        <v>4815</v>
      </c>
      <c r="C6225" s="5"/>
      <c r="D6225" s="5" t="s">
        <v>322</v>
      </c>
      <c r="E6225" s="5"/>
      <c r="G6225" s="5"/>
      <c r="H6225" s="5"/>
    </row>
    <row r="6226" spans="1:8" x14ac:dyDescent="0.2">
      <c r="A6226" s="5"/>
      <c r="B6226" s="5" t="s">
        <v>4793</v>
      </c>
      <c r="C6226" s="5"/>
      <c r="D6226" s="5" t="s">
        <v>366</v>
      </c>
      <c r="E6226" s="5"/>
      <c r="G6226" s="5"/>
      <c r="H6226" s="5"/>
    </row>
    <row r="6227" spans="1:8" x14ac:dyDescent="0.2">
      <c r="A6227" s="5" t="s">
        <v>6649</v>
      </c>
      <c r="B6227" s="5" t="s">
        <v>2992</v>
      </c>
      <c r="C6227" s="8">
        <v>-422</v>
      </c>
      <c r="D6227" s="5" t="s">
        <v>42</v>
      </c>
      <c r="E6227" s="5"/>
      <c r="G6227" s="5"/>
      <c r="H6227" s="5"/>
    </row>
    <row r="6228" spans="1:8" x14ac:dyDescent="0.2">
      <c r="A6228" s="5"/>
      <c r="B6228" s="5" t="s">
        <v>4807</v>
      </c>
      <c r="C6228" s="5"/>
      <c r="D6228" s="5" t="s">
        <v>366</v>
      </c>
      <c r="E6228" s="5"/>
      <c r="G6228" s="5"/>
      <c r="H6228" s="5"/>
    </row>
    <row r="6229" spans="1:8" x14ac:dyDescent="0.2">
      <c r="A6229" s="5" t="s">
        <v>6650</v>
      </c>
      <c r="B6229" s="5" t="s">
        <v>2992</v>
      </c>
      <c r="C6229" s="8">
        <v>-28</v>
      </c>
      <c r="D6229" s="5" t="s">
        <v>155</v>
      </c>
      <c r="E6229" s="5"/>
      <c r="G6229" s="5"/>
      <c r="H6229" s="5"/>
    </row>
    <row r="6230" spans="1:8" x14ac:dyDescent="0.2">
      <c r="A6230" s="5"/>
      <c r="B6230" s="5" t="s">
        <v>4812</v>
      </c>
      <c r="C6230" s="5"/>
      <c r="D6230" s="5" t="s">
        <v>366</v>
      </c>
      <c r="E6230" s="5"/>
      <c r="G6230" s="5"/>
      <c r="H6230" s="5"/>
    </row>
    <row r="6231" spans="1:8" x14ac:dyDescent="0.2">
      <c r="A6231" s="5" t="s">
        <v>6651</v>
      </c>
      <c r="B6231" s="5" t="s">
        <v>2992</v>
      </c>
      <c r="C6231" s="8">
        <v>-177</v>
      </c>
      <c r="D6231" s="5" t="s">
        <v>42</v>
      </c>
      <c r="E6231" s="5"/>
      <c r="G6231" s="5"/>
      <c r="H6231" s="5"/>
    </row>
    <row r="6232" spans="1:8" x14ac:dyDescent="0.2">
      <c r="A6232" s="5"/>
      <c r="B6232" s="5" t="s">
        <v>4822</v>
      </c>
      <c r="C6232" s="5"/>
      <c r="D6232" s="5" t="s">
        <v>15</v>
      </c>
      <c r="E6232" s="5"/>
      <c r="G6232" s="5"/>
      <c r="H6232" s="5"/>
    </row>
    <row r="6233" spans="1:8" x14ac:dyDescent="0.2">
      <c r="A6233" s="5"/>
      <c r="B6233" s="5" t="s">
        <v>4823</v>
      </c>
      <c r="C6233" s="5"/>
      <c r="D6233" s="5" t="s">
        <v>322</v>
      </c>
      <c r="E6233" s="5"/>
      <c r="G6233" s="5"/>
      <c r="H6233" s="5"/>
    </row>
    <row r="6234" spans="1:8" x14ac:dyDescent="0.2">
      <c r="A6234" s="5"/>
      <c r="B6234" s="5" t="s">
        <v>4824</v>
      </c>
      <c r="C6234" s="5"/>
      <c r="D6234" s="5" t="s">
        <v>366</v>
      </c>
      <c r="E6234" s="5"/>
      <c r="G6234" s="5"/>
      <c r="H6234" s="5"/>
    </row>
    <row r="6235" spans="1:8" x14ac:dyDescent="0.2">
      <c r="A6235" s="5" t="s">
        <v>6652</v>
      </c>
      <c r="B6235" s="5" t="s">
        <v>3197</v>
      </c>
      <c r="C6235" s="8">
        <v>-28</v>
      </c>
      <c r="D6235" s="5" t="s">
        <v>42</v>
      </c>
      <c r="E6235" s="5"/>
      <c r="G6235" s="5"/>
      <c r="H6235" s="5"/>
    </row>
    <row r="6236" spans="1:8" x14ac:dyDescent="0.2">
      <c r="A6236" s="5"/>
      <c r="B6236" s="5" t="s">
        <v>4829</v>
      </c>
      <c r="C6236" s="5"/>
      <c r="D6236" s="5" t="s">
        <v>366</v>
      </c>
      <c r="E6236" s="5"/>
      <c r="G6236" s="5"/>
      <c r="H6236" s="5"/>
    </row>
    <row r="6237" spans="1:8" x14ac:dyDescent="0.2">
      <c r="A6237" s="5" t="s">
        <v>6653</v>
      </c>
      <c r="B6237" s="5" t="s">
        <v>3197</v>
      </c>
      <c r="C6237" s="8">
        <v>-19</v>
      </c>
      <c r="D6237" s="5" t="s">
        <v>42</v>
      </c>
      <c r="E6237" s="5"/>
      <c r="G6237" s="5"/>
      <c r="H6237" s="5"/>
    </row>
    <row r="6238" spans="1:8" x14ac:dyDescent="0.2">
      <c r="A6238" s="5"/>
      <c r="B6238" s="5" t="s">
        <v>53</v>
      </c>
      <c r="C6238" s="5"/>
      <c r="D6238" s="5" t="s">
        <v>13</v>
      </c>
      <c r="E6238" s="5"/>
      <c r="G6238" s="5"/>
      <c r="H6238" s="5"/>
    </row>
    <row r="6239" spans="1:8" x14ac:dyDescent="0.2">
      <c r="A6239" s="5"/>
      <c r="B6239" s="5" t="s">
        <v>4791</v>
      </c>
      <c r="C6239" s="5"/>
      <c r="D6239" s="5" t="s">
        <v>15</v>
      </c>
      <c r="E6239" s="5"/>
      <c r="G6239" s="5"/>
      <c r="H6239" s="5"/>
    </row>
    <row r="6240" spans="1:8" x14ac:dyDescent="0.2">
      <c r="A6240" s="5"/>
      <c r="B6240" s="5" t="s">
        <v>4792</v>
      </c>
      <c r="C6240" s="5"/>
      <c r="D6240" s="5" t="s">
        <v>322</v>
      </c>
      <c r="E6240" s="5"/>
      <c r="G6240" s="5"/>
      <c r="H6240" s="5"/>
    </row>
    <row r="6241" spans="1:9" x14ac:dyDescent="0.2">
      <c r="A6241" s="5"/>
      <c r="B6241" s="5" t="s">
        <v>4793</v>
      </c>
      <c r="C6241" s="5"/>
      <c r="D6241" s="5" t="s">
        <v>366</v>
      </c>
      <c r="E6241" s="5"/>
      <c r="G6241" s="5"/>
      <c r="H6241" s="5"/>
    </row>
    <row r="6242" spans="1:9" x14ac:dyDescent="0.2">
      <c r="A6242" s="5" t="s">
        <v>6654</v>
      </c>
      <c r="B6242" s="5" t="s">
        <v>2992</v>
      </c>
      <c r="C6242" s="8">
        <v>-17</v>
      </c>
      <c r="D6242" s="5" t="s">
        <v>42</v>
      </c>
      <c r="E6242" s="5"/>
      <c r="G6242" s="5"/>
      <c r="H6242" s="5"/>
    </row>
    <row r="6243" spans="1:9" x14ac:dyDescent="0.2">
      <c r="A6243" s="5"/>
      <c r="B6243" s="5" t="s">
        <v>4798</v>
      </c>
      <c r="C6243" s="5"/>
      <c r="D6243" s="5" t="s">
        <v>366</v>
      </c>
      <c r="E6243" s="5"/>
      <c r="G6243" s="5"/>
      <c r="H6243" s="5"/>
    </row>
    <row r="6244" spans="1:9" x14ac:dyDescent="0.2">
      <c r="A6244" s="5" t="s">
        <v>6655</v>
      </c>
      <c r="B6244" s="5" t="s">
        <v>2992</v>
      </c>
      <c r="C6244" s="8">
        <v>-36</v>
      </c>
      <c r="D6244" s="5" t="s">
        <v>155</v>
      </c>
      <c r="E6244" s="5"/>
      <c r="G6244" s="5"/>
      <c r="H6244" s="5"/>
    </row>
    <row r="6245" spans="1:9" x14ac:dyDescent="0.2">
      <c r="A6245" s="5"/>
      <c r="B6245" s="5" t="s">
        <v>4814</v>
      </c>
      <c r="C6245" s="5"/>
      <c r="D6245" s="5" t="s">
        <v>15</v>
      </c>
      <c r="E6245" s="5"/>
      <c r="G6245" s="5"/>
      <c r="H6245" s="5"/>
    </row>
    <row r="6246" spans="1:9" x14ac:dyDescent="0.2">
      <c r="A6246" s="5"/>
      <c r="B6246" s="5" t="s">
        <v>4815</v>
      </c>
      <c r="C6246" s="5"/>
      <c r="D6246" s="5" t="s">
        <v>322</v>
      </c>
      <c r="E6246" s="5"/>
      <c r="G6246" s="5"/>
      <c r="H6246" s="5"/>
    </row>
    <row r="6247" spans="1:9" x14ac:dyDescent="0.2">
      <c r="A6247" s="5"/>
      <c r="B6247" s="5" t="s">
        <v>4793</v>
      </c>
      <c r="C6247" s="5"/>
      <c r="D6247" s="5" t="s">
        <v>366</v>
      </c>
      <c r="E6247" s="5"/>
      <c r="G6247" s="5"/>
      <c r="H6247" s="5"/>
    </row>
    <row r="6248" spans="1:9" x14ac:dyDescent="0.2">
      <c r="A6248" s="5" t="s">
        <v>6656</v>
      </c>
      <c r="B6248" s="5" t="s">
        <v>2992</v>
      </c>
      <c r="C6248" s="8">
        <v>-638</v>
      </c>
      <c r="D6248" s="5" t="s">
        <v>42</v>
      </c>
      <c r="E6248" s="5"/>
      <c r="G6248" s="5"/>
      <c r="H6248" s="5"/>
    </row>
    <row r="6249" spans="1:9" x14ac:dyDescent="0.2">
      <c r="A6249" s="5"/>
      <c r="B6249" s="5" t="s">
        <v>4812</v>
      </c>
      <c r="C6249" s="5"/>
      <c r="D6249" s="5" t="s">
        <v>366</v>
      </c>
      <c r="E6249" s="5"/>
      <c r="G6249" s="5"/>
      <c r="H6249" s="5"/>
    </row>
    <row r="6250" spans="1:9" x14ac:dyDescent="0.2">
      <c r="A6250" s="5" t="s">
        <v>6657</v>
      </c>
      <c r="B6250" s="5" t="s">
        <v>2992</v>
      </c>
      <c r="C6250" s="8">
        <v>-84</v>
      </c>
      <c r="D6250" s="5" t="s">
        <v>42</v>
      </c>
      <c r="E6250" s="5"/>
      <c r="G6250" s="5"/>
      <c r="H6250" s="5"/>
    </row>
    <row r="6251" spans="1:9" x14ac:dyDescent="0.2">
      <c r="B6251" s="6" t="s">
        <v>4870</v>
      </c>
      <c r="C6251" s="6"/>
      <c r="D6251" s="6"/>
      <c r="E6251" s="6"/>
      <c r="F6251" s="9">
        <f>SUM(H6206:H6251)</f>
        <v>0</v>
      </c>
      <c r="G6251" s="6"/>
      <c r="I6251" s="9">
        <f>PRODUCT(F6251,G6251)</f>
        <v>0</v>
      </c>
    </row>
    <row r="6253" spans="1:9" x14ac:dyDescent="0.2">
      <c r="A6253" s="6" t="s">
        <v>6658</v>
      </c>
      <c r="B6253" s="6" t="s">
        <v>5202</v>
      </c>
    </row>
    <row r="6254" spans="1:9" x14ac:dyDescent="0.2">
      <c r="A6254" s="5"/>
      <c r="B6254" s="5" t="s">
        <v>6478</v>
      </c>
      <c r="C6254" s="5"/>
      <c r="D6254" s="5" t="s">
        <v>6479</v>
      </c>
      <c r="E6254" s="5"/>
      <c r="G6254" s="5"/>
      <c r="H6254" s="5"/>
    </row>
    <row r="6255" spans="1:9" x14ac:dyDescent="0.2">
      <c r="A6255" s="5"/>
      <c r="B6255" s="5" t="s">
        <v>38</v>
      </c>
      <c r="C6255" s="5"/>
      <c r="D6255" s="5" t="s">
        <v>13</v>
      </c>
      <c r="E6255" s="5"/>
      <c r="G6255" s="5"/>
      <c r="H6255" s="5"/>
    </row>
    <row r="6256" spans="1:9" x14ac:dyDescent="0.2">
      <c r="A6256" s="5"/>
      <c r="B6256" s="5" t="s">
        <v>5269</v>
      </c>
      <c r="C6256" s="5"/>
      <c r="D6256" s="5" t="s">
        <v>15</v>
      </c>
      <c r="E6256" s="5"/>
      <c r="G6256" s="5"/>
      <c r="H6256" s="5"/>
    </row>
    <row r="6257" spans="1:8" x14ac:dyDescent="0.2">
      <c r="A6257" s="5"/>
      <c r="B6257" s="5" t="s">
        <v>5270</v>
      </c>
      <c r="C6257" s="5"/>
      <c r="D6257" s="5" t="s">
        <v>322</v>
      </c>
      <c r="E6257" s="5"/>
      <c r="G6257" s="5"/>
      <c r="H6257" s="5"/>
    </row>
    <row r="6258" spans="1:8" x14ac:dyDescent="0.2">
      <c r="A6258" s="5" t="s">
        <v>6659</v>
      </c>
      <c r="B6258" s="5" t="s">
        <v>5271</v>
      </c>
      <c r="C6258" s="5"/>
      <c r="D6258" s="5" t="s">
        <v>366</v>
      </c>
      <c r="E6258" s="5"/>
      <c r="G6258" s="5"/>
      <c r="H6258" s="5"/>
    </row>
    <row r="6259" spans="1:8" x14ac:dyDescent="0.2">
      <c r="A6259" s="5" t="s">
        <v>6660</v>
      </c>
      <c r="B6259" s="5" t="s">
        <v>3144</v>
      </c>
      <c r="C6259" s="8">
        <v>-23</v>
      </c>
      <c r="D6259" s="5" t="s">
        <v>42</v>
      </c>
      <c r="E6259" s="5"/>
      <c r="G6259" s="5"/>
      <c r="H6259" s="5"/>
    </row>
    <row r="6260" spans="1:8" x14ac:dyDescent="0.2">
      <c r="A6260" s="5"/>
      <c r="B6260" s="5" t="s">
        <v>5276</v>
      </c>
      <c r="C6260" s="5"/>
      <c r="D6260" s="5" t="s">
        <v>366</v>
      </c>
      <c r="E6260" s="5"/>
      <c r="G6260" s="5"/>
      <c r="H6260" s="5"/>
    </row>
    <row r="6261" spans="1:8" x14ac:dyDescent="0.2">
      <c r="A6261" s="5" t="s">
        <v>6661</v>
      </c>
      <c r="B6261" s="5" t="s">
        <v>3144</v>
      </c>
      <c r="C6261" s="8">
        <v>-147</v>
      </c>
      <c r="D6261" s="5" t="s">
        <v>42</v>
      </c>
      <c r="E6261" s="5"/>
      <c r="G6261" s="5"/>
      <c r="H6261" s="5"/>
    </row>
    <row r="6262" spans="1:8" x14ac:dyDescent="0.2">
      <c r="A6262" s="5"/>
      <c r="B6262" s="5" t="s">
        <v>5291</v>
      </c>
      <c r="C6262" s="5"/>
      <c r="D6262" s="5" t="s">
        <v>366</v>
      </c>
      <c r="E6262" s="5"/>
      <c r="G6262" s="5"/>
      <c r="H6262" s="5"/>
    </row>
    <row r="6263" spans="1:8" x14ac:dyDescent="0.2">
      <c r="A6263" s="5" t="s">
        <v>6662</v>
      </c>
      <c r="B6263" s="5" t="s">
        <v>3144</v>
      </c>
      <c r="C6263" s="8">
        <v>-16</v>
      </c>
      <c r="D6263" s="5" t="s">
        <v>42</v>
      </c>
      <c r="E6263" s="5"/>
      <c r="G6263" s="5"/>
      <c r="H6263" s="5"/>
    </row>
    <row r="6264" spans="1:8" x14ac:dyDescent="0.2">
      <c r="A6264" s="5"/>
      <c r="B6264" s="5" t="s">
        <v>5296</v>
      </c>
      <c r="C6264" s="5"/>
      <c r="D6264" s="5" t="s">
        <v>15</v>
      </c>
      <c r="E6264" s="5"/>
      <c r="G6264" s="5"/>
      <c r="H6264" s="5"/>
    </row>
    <row r="6265" spans="1:8" x14ac:dyDescent="0.2">
      <c r="A6265" s="5"/>
      <c r="B6265" s="5" t="s">
        <v>5297</v>
      </c>
      <c r="C6265" s="5"/>
      <c r="D6265" s="5" t="s">
        <v>322</v>
      </c>
      <c r="E6265" s="5"/>
      <c r="G6265" s="5"/>
      <c r="H6265" s="5"/>
    </row>
    <row r="6266" spans="1:8" x14ac:dyDescent="0.2">
      <c r="A6266" s="5" t="s">
        <v>6663</v>
      </c>
      <c r="B6266" s="5" t="s">
        <v>3144</v>
      </c>
      <c r="C6266" s="8">
        <v>-8</v>
      </c>
      <c r="D6266" s="5" t="s">
        <v>155</v>
      </c>
      <c r="E6266" s="5"/>
      <c r="G6266" s="5"/>
      <c r="H6266" s="5"/>
    </row>
    <row r="6267" spans="1:8" x14ac:dyDescent="0.2">
      <c r="A6267" s="5"/>
      <c r="B6267" s="5" t="s">
        <v>5245</v>
      </c>
      <c r="C6267" s="5"/>
      <c r="D6267" s="5" t="s">
        <v>15</v>
      </c>
      <c r="E6267" s="5"/>
      <c r="G6267" s="5"/>
      <c r="H6267" s="5"/>
    </row>
    <row r="6268" spans="1:8" x14ac:dyDescent="0.2">
      <c r="A6268" s="5"/>
      <c r="B6268" s="5" t="s">
        <v>5246</v>
      </c>
      <c r="C6268" s="5"/>
      <c r="D6268" s="5" t="s">
        <v>322</v>
      </c>
      <c r="E6268" s="5"/>
      <c r="G6268" s="5"/>
      <c r="H6268" s="5"/>
    </row>
    <row r="6269" spans="1:8" x14ac:dyDescent="0.2">
      <c r="A6269" s="5" t="s">
        <v>6664</v>
      </c>
      <c r="B6269" s="5" t="s">
        <v>2559</v>
      </c>
      <c r="C6269" s="8">
        <v>-365</v>
      </c>
      <c r="D6269" s="5" t="s">
        <v>42</v>
      </c>
      <c r="E6269" s="5"/>
      <c r="G6269" s="5"/>
      <c r="H6269" s="5"/>
    </row>
    <row r="6270" spans="1:8" x14ac:dyDescent="0.2">
      <c r="A6270" s="5"/>
      <c r="B6270" s="5" t="s">
        <v>5254</v>
      </c>
      <c r="C6270" s="5"/>
      <c r="D6270" s="5" t="s">
        <v>322</v>
      </c>
      <c r="E6270" s="5"/>
      <c r="G6270" s="5"/>
      <c r="H6270" s="5"/>
    </row>
    <row r="6271" spans="1:8" x14ac:dyDescent="0.2">
      <c r="A6271" s="5" t="s">
        <v>6665</v>
      </c>
      <c r="B6271" s="5" t="s">
        <v>2559</v>
      </c>
      <c r="C6271" s="8">
        <v>-53</v>
      </c>
      <c r="D6271" s="5" t="s">
        <v>42</v>
      </c>
      <c r="E6271" s="5"/>
      <c r="G6271" s="5"/>
      <c r="H6271" s="5"/>
    </row>
    <row r="6272" spans="1:8" x14ac:dyDescent="0.2">
      <c r="A6272" s="5"/>
      <c r="B6272" s="5" t="s">
        <v>5260</v>
      </c>
      <c r="C6272" s="5"/>
      <c r="D6272" s="5" t="s">
        <v>322</v>
      </c>
      <c r="E6272" s="5"/>
      <c r="G6272" s="5"/>
      <c r="H6272" s="5"/>
    </row>
    <row r="6273" spans="1:8" x14ac:dyDescent="0.2">
      <c r="A6273" s="5" t="s">
        <v>6666</v>
      </c>
      <c r="B6273" s="5" t="s">
        <v>2559</v>
      </c>
      <c r="C6273" s="8">
        <v>-78</v>
      </c>
      <c r="D6273" s="5" t="s">
        <v>42</v>
      </c>
      <c r="E6273" s="5"/>
      <c r="G6273" s="5"/>
      <c r="H6273" s="5"/>
    </row>
    <row r="6274" spans="1:8" x14ac:dyDescent="0.2">
      <c r="A6274" s="5"/>
      <c r="B6274" s="5" t="s">
        <v>6667</v>
      </c>
      <c r="C6274" s="5"/>
      <c r="D6274" s="5" t="s">
        <v>15</v>
      </c>
      <c r="E6274" s="5"/>
      <c r="G6274" s="5"/>
      <c r="H6274" s="5"/>
    </row>
    <row r="6275" spans="1:8" x14ac:dyDescent="0.2">
      <c r="A6275" s="5"/>
      <c r="B6275" s="5" t="s">
        <v>48</v>
      </c>
      <c r="C6275" s="5"/>
      <c r="D6275" s="5" t="s">
        <v>322</v>
      </c>
      <c r="E6275" s="5"/>
      <c r="G6275" s="5"/>
      <c r="H6275" s="5"/>
    </row>
    <row r="6276" spans="1:8" x14ac:dyDescent="0.2">
      <c r="A6276" s="5"/>
      <c r="B6276" s="5" t="s">
        <v>5324</v>
      </c>
      <c r="C6276" s="5"/>
      <c r="D6276" s="5" t="s">
        <v>366</v>
      </c>
      <c r="E6276" s="5"/>
      <c r="G6276" s="5"/>
      <c r="H6276" s="5"/>
    </row>
    <row r="6277" spans="1:8" x14ac:dyDescent="0.2">
      <c r="A6277" s="5" t="s">
        <v>6668</v>
      </c>
      <c r="B6277" s="5" t="s">
        <v>5326</v>
      </c>
      <c r="C6277" s="8">
        <v>-1</v>
      </c>
      <c r="D6277" s="5" t="s">
        <v>162</v>
      </c>
      <c r="E6277" s="5"/>
      <c r="G6277" s="5"/>
      <c r="H6277" s="5"/>
    </row>
    <row r="6278" spans="1:8" x14ac:dyDescent="0.2">
      <c r="A6278" s="5" t="s">
        <v>6669</v>
      </c>
      <c r="B6278" s="5" t="s">
        <v>5330</v>
      </c>
      <c r="C6278" s="8">
        <v>-1</v>
      </c>
      <c r="D6278" s="5" t="s">
        <v>162</v>
      </c>
      <c r="E6278" s="5"/>
      <c r="G6278" s="5"/>
      <c r="H6278" s="5"/>
    </row>
    <row r="6279" spans="1:8" x14ac:dyDescent="0.2">
      <c r="A6279" s="5"/>
      <c r="B6279" s="5" t="s">
        <v>6670</v>
      </c>
      <c r="C6279" s="5"/>
      <c r="D6279" s="5" t="s">
        <v>15</v>
      </c>
      <c r="E6279" s="5"/>
      <c r="G6279" s="5"/>
      <c r="H6279" s="5"/>
    </row>
    <row r="6280" spans="1:8" x14ac:dyDescent="0.2">
      <c r="A6280" s="5"/>
      <c r="B6280" s="5" t="s">
        <v>48</v>
      </c>
      <c r="C6280" s="5"/>
      <c r="D6280" s="5" t="s">
        <v>322</v>
      </c>
      <c r="E6280" s="5"/>
      <c r="G6280" s="5"/>
      <c r="H6280" s="5"/>
    </row>
    <row r="6281" spans="1:8" x14ac:dyDescent="0.2">
      <c r="A6281" s="5"/>
      <c r="B6281" s="5" t="s">
        <v>5324</v>
      </c>
      <c r="C6281" s="5"/>
      <c r="D6281" s="5" t="s">
        <v>366</v>
      </c>
      <c r="E6281" s="5"/>
      <c r="G6281" s="5"/>
      <c r="H6281" s="5"/>
    </row>
    <row r="6282" spans="1:8" x14ac:dyDescent="0.2">
      <c r="A6282" s="5" t="s">
        <v>6671</v>
      </c>
      <c r="B6282" s="5" t="s">
        <v>5328</v>
      </c>
      <c r="C6282" s="8">
        <v>-5</v>
      </c>
      <c r="D6282" s="5" t="s">
        <v>162</v>
      </c>
      <c r="E6282" s="5"/>
      <c r="G6282" s="5"/>
      <c r="H6282" s="5"/>
    </row>
    <row r="6283" spans="1:8" x14ac:dyDescent="0.2">
      <c r="A6283" s="5" t="s">
        <v>6672</v>
      </c>
      <c r="B6283" s="5" t="s">
        <v>5330</v>
      </c>
      <c r="C6283" s="8">
        <v>-1</v>
      </c>
      <c r="D6283" s="5" t="s">
        <v>162</v>
      </c>
      <c r="E6283" s="5"/>
      <c r="G6283" s="5"/>
      <c r="H6283" s="5"/>
    </row>
    <row r="6284" spans="1:8" x14ac:dyDescent="0.2">
      <c r="A6284" s="5"/>
      <c r="B6284" s="5" t="s">
        <v>53</v>
      </c>
      <c r="C6284" s="5"/>
      <c r="D6284" s="5" t="s">
        <v>13</v>
      </c>
      <c r="E6284" s="5"/>
      <c r="G6284" s="5"/>
      <c r="H6284" s="5"/>
    </row>
    <row r="6285" spans="1:8" x14ac:dyDescent="0.2">
      <c r="A6285" s="5"/>
      <c r="B6285" s="5" t="s">
        <v>5269</v>
      </c>
      <c r="C6285" s="5"/>
      <c r="D6285" s="5" t="s">
        <v>15</v>
      </c>
      <c r="E6285" s="5"/>
      <c r="G6285" s="5"/>
      <c r="H6285" s="5"/>
    </row>
    <row r="6286" spans="1:8" x14ac:dyDescent="0.2">
      <c r="A6286" s="5"/>
      <c r="B6286" s="5" t="s">
        <v>5270</v>
      </c>
      <c r="C6286" s="5"/>
      <c r="D6286" s="5" t="s">
        <v>322</v>
      </c>
      <c r="E6286" s="5"/>
      <c r="G6286" s="5"/>
      <c r="H6286" s="5"/>
    </row>
    <row r="6287" spans="1:8" x14ac:dyDescent="0.2">
      <c r="A6287" s="5"/>
      <c r="B6287" s="5" t="s">
        <v>5271</v>
      </c>
      <c r="C6287" s="5"/>
      <c r="D6287" s="5" t="s">
        <v>366</v>
      </c>
      <c r="E6287" s="5"/>
      <c r="G6287" s="5"/>
      <c r="H6287" s="5"/>
    </row>
    <row r="6288" spans="1:8" x14ac:dyDescent="0.2">
      <c r="A6288" s="5" t="s">
        <v>6673</v>
      </c>
      <c r="B6288" s="5" t="s">
        <v>3239</v>
      </c>
      <c r="C6288" s="8">
        <v>-21</v>
      </c>
      <c r="D6288" s="5" t="s">
        <v>42</v>
      </c>
      <c r="E6288" s="5"/>
      <c r="G6288" s="5"/>
      <c r="H6288" s="5"/>
    </row>
    <row r="6289" spans="1:8" x14ac:dyDescent="0.2">
      <c r="A6289" s="5"/>
      <c r="B6289" s="5" t="s">
        <v>5291</v>
      </c>
      <c r="C6289" s="5"/>
      <c r="D6289" s="5" t="s">
        <v>366</v>
      </c>
      <c r="E6289" s="5"/>
      <c r="G6289" s="5"/>
      <c r="H6289" s="5"/>
    </row>
    <row r="6290" spans="1:8" x14ac:dyDescent="0.2">
      <c r="A6290" s="5" t="s">
        <v>6674</v>
      </c>
      <c r="B6290" s="5" t="s">
        <v>3239</v>
      </c>
      <c r="C6290" s="8">
        <v>-17</v>
      </c>
      <c r="D6290" s="5" t="s">
        <v>42</v>
      </c>
      <c r="E6290" s="5"/>
      <c r="G6290" s="5"/>
      <c r="H6290" s="5"/>
    </row>
    <row r="6291" spans="1:8" x14ac:dyDescent="0.2">
      <c r="A6291" s="5"/>
      <c r="B6291" s="5" t="s">
        <v>5245</v>
      </c>
      <c r="C6291" s="5"/>
      <c r="D6291" s="5" t="s">
        <v>15</v>
      </c>
      <c r="E6291" s="5"/>
      <c r="G6291" s="5"/>
      <c r="H6291" s="5"/>
    </row>
    <row r="6292" spans="1:8" x14ac:dyDescent="0.2">
      <c r="A6292" s="5"/>
      <c r="B6292" s="5" t="s">
        <v>5246</v>
      </c>
      <c r="C6292" s="5"/>
      <c r="D6292" s="5" t="s">
        <v>322</v>
      </c>
      <c r="E6292" s="5"/>
      <c r="G6292" s="5"/>
      <c r="H6292" s="5"/>
    </row>
    <row r="6293" spans="1:8" x14ac:dyDescent="0.2">
      <c r="A6293" s="5" t="s">
        <v>6675</v>
      </c>
      <c r="B6293" s="5" t="s">
        <v>3944</v>
      </c>
      <c r="C6293" s="8">
        <v>-329</v>
      </c>
      <c r="D6293" s="5" t="s">
        <v>42</v>
      </c>
      <c r="E6293" s="5"/>
      <c r="G6293" s="5"/>
      <c r="H6293" s="5"/>
    </row>
    <row r="6294" spans="1:8" x14ac:dyDescent="0.2">
      <c r="A6294" s="5"/>
      <c r="B6294" s="5" t="s">
        <v>5260</v>
      </c>
      <c r="C6294" s="5"/>
      <c r="D6294" s="5" t="s">
        <v>322</v>
      </c>
      <c r="E6294" s="5"/>
      <c r="G6294" s="5"/>
      <c r="H6294" s="5"/>
    </row>
    <row r="6295" spans="1:8" x14ac:dyDescent="0.2">
      <c r="A6295" s="5" t="s">
        <v>6676</v>
      </c>
      <c r="B6295" s="5" t="s">
        <v>3944</v>
      </c>
      <c r="C6295" s="8">
        <v>-87</v>
      </c>
      <c r="D6295" s="5" t="s">
        <v>42</v>
      </c>
      <c r="E6295" s="5"/>
      <c r="G6295" s="5"/>
      <c r="H6295" s="5"/>
    </row>
    <row r="6296" spans="1:8" x14ac:dyDescent="0.2">
      <c r="A6296" s="5"/>
      <c r="B6296" s="5" t="s">
        <v>6667</v>
      </c>
      <c r="C6296" s="5"/>
      <c r="D6296" s="5" t="s">
        <v>15</v>
      </c>
      <c r="E6296" s="5"/>
      <c r="G6296" s="5"/>
      <c r="H6296" s="5"/>
    </row>
    <row r="6297" spans="1:8" x14ac:dyDescent="0.2">
      <c r="A6297" s="5"/>
      <c r="B6297" s="5" t="s">
        <v>48</v>
      </c>
      <c r="C6297" s="5"/>
      <c r="D6297" s="5" t="s">
        <v>322</v>
      </c>
      <c r="E6297" s="5"/>
      <c r="G6297" s="5"/>
      <c r="H6297" s="5"/>
    </row>
    <row r="6298" spans="1:8" x14ac:dyDescent="0.2">
      <c r="A6298" s="5"/>
      <c r="B6298" s="5" t="s">
        <v>5324</v>
      </c>
      <c r="C6298" s="5"/>
      <c r="D6298" s="5" t="s">
        <v>366</v>
      </c>
      <c r="E6298" s="5"/>
      <c r="G6298" s="5"/>
      <c r="H6298" s="5"/>
    </row>
    <row r="6299" spans="1:8" x14ac:dyDescent="0.2">
      <c r="A6299" s="5" t="s">
        <v>6677</v>
      </c>
      <c r="B6299" s="5" t="s">
        <v>5330</v>
      </c>
      <c r="C6299" s="8">
        <v>-2</v>
      </c>
      <c r="D6299" s="5" t="s">
        <v>162</v>
      </c>
      <c r="E6299" s="5"/>
      <c r="G6299" s="5"/>
      <c r="H6299" s="5"/>
    </row>
    <row r="6300" spans="1:8" x14ac:dyDescent="0.2">
      <c r="A6300" s="5"/>
      <c r="B6300" s="5" t="s">
        <v>6670</v>
      </c>
      <c r="C6300" s="5"/>
      <c r="D6300" s="5" t="s">
        <v>15</v>
      </c>
      <c r="E6300" s="5"/>
      <c r="G6300" s="5"/>
      <c r="H6300" s="5"/>
    </row>
    <row r="6301" spans="1:8" x14ac:dyDescent="0.2">
      <c r="A6301" s="5"/>
      <c r="B6301" s="5" t="s">
        <v>48</v>
      </c>
      <c r="C6301" s="5"/>
      <c r="D6301" s="5" t="s">
        <v>322</v>
      </c>
      <c r="E6301" s="5"/>
      <c r="G6301" s="5"/>
      <c r="H6301" s="5"/>
    </row>
    <row r="6302" spans="1:8" x14ac:dyDescent="0.2">
      <c r="A6302" s="5"/>
      <c r="B6302" s="5" t="s">
        <v>5324</v>
      </c>
      <c r="C6302" s="5"/>
      <c r="D6302" s="5" t="s">
        <v>366</v>
      </c>
      <c r="E6302" s="5"/>
      <c r="G6302" s="5"/>
      <c r="H6302" s="5"/>
    </row>
    <row r="6303" spans="1:8" x14ac:dyDescent="0.2">
      <c r="A6303" s="5" t="s">
        <v>6678</v>
      </c>
      <c r="B6303" s="5" t="s">
        <v>5326</v>
      </c>
      <c r="C6303" s="8">
        <v>-1</v>
      </c>
      <c r="D6303" s="5" t="s">
        <v>162</v>
      </c>
      <c r="E6303" s="5"/>
      <c r="G6303" s="5"/>
      <c r="H6303" s="5"/>
    </row>
    <row r="6304" spans="1:8" x14ac:dyDescent="0.2">
      <c r="A6304" s="5" t="s">
        <v>6679</v>
      </c>
      <c r="B6304" s="5" t="s">
        <v>5328</v>
      </c>
      <c r="C6304" s="8">
        <v>-5</v>
      </c>
      <c r="D6304" s="5" t="s">
        <v>162</v>
      </c>
      <c r="E6304" s="5"/>
      <c r="G6304" s="5"/>
      <c r="H6304" s="5"/>
    </row>
    <row r="6305" spans="1:9" x14ac:dyDescent="0.2">
      <c r="A6305" s="5" t="s">
        <v>6680</v>
      </c>
      <c r="B6305" s="5" t="s">
        <v>5330</v>
      </c>
      <c r="C6305" s="8">
        <v>-2</v>
      </c>
      <c r="D6305" s="5" t="s">
        <v>162</v>
      </c>
      <c r="E6305" s="5"/>
      <c r="G6305" s="5"/>
      <c r="H6305" s="5"/>
    </row>
    <row r="6306" spans="1:9" x14ac:dyDescent="0.2">
      <c r="B6306" s="6" t="s">
        <v>5416</v>
      </c>
      <c r="C6306" s="6"/>
      <c r="D6306" s="6"/>
      <c r="E6306" s="6"/>
      <c r="F6306" s="9">
        <f>SUM(H6254:H6306)</f>
        <v>0</v>
      </c>
      <c r="G6306" s="6"/>
      <c r="I6306" s="9">
        <f>PRODUCT(F6306,G6306)</f>
        <v>0</v>
      </c>
    </row>
    <row r="6308" spans="1:9" x14ac:dyDescent="0.2">
      <c r="A6308" s="6" t="s">
        <v>6681</v>
      </c>
      <c r="B6308" s="6" t="s">
        <v>5418</v>
      </c>
    </row>
    <row r="6309" spans="1:9" x14ac:dyDescent="0.2">
      <c r="A6309" s="5"/>
      <c r="B6309" s="5" t="s">
        <v>6478</v>
      </c>
      <c r="C6309" s="5"/>
      <c r="D6309" s="5" t="s">
        <v>6479</v>
      </c>
      <c r="E6309" s="5"/>
      <c r="G6309" s="5"/>
      <c r="H6309" s="5"/>
    </row>
    <row r="6310" spans="1:9" x14ac:dyDescent="0.2">
      <c r="A6310" s="5"/>
      <c r="B6310" s="5" t="s">
        <v>38</v>
      </c>
      <c r="C6310" s="5"/>
      <c r="D6310" s="5" t="s">
        <v>13</v>
      </c>
      <c r="E6310" s="5"/>
      <c r="G6310" s="5"/>
      <c r="H6310" s="5"/>
    </row>
    <row r="6311" spans="1:9" x14ac:dyDescent="0.2">
      <c r="A6311" s="5"/>
      <c r="B6311" s="5" t="s">
        <v>5454</v>
      </c>
      <c r="C6311" s="5"/>
      <c r="D6311" s="5" t="s">
        <v>15</v>
      </c>
      <c r="E6311" s="5"/>
      <c r="G6311" s="5"/>
      <c r="H6311" s="5"/>
    </row>
    <row r="6312" spans="1:9" x14ac:dyDescent="0.2">
      <c r="A6312" s="5"/>
      <c r="B6312" s="5" t="s">
        <v>5488</v>
      </c>
      <c r="C6312" s="5"/>
      <c r="D6312" s="5" t="s">
        <v>322</v>
      </c>
      <c r="E6312" s="5"/>
      <c r="G6312" s="5"/>
      <c r="H6312" s="5"/>
    </row>
    <row r="6313" spans="1:9" x14ac:dyDescent="0.2">
      <c r="A6313" s="5" t="s">
        <v>6682</v>
      </c>
      <c r="B6313" s="5" t="s">
        <v>6683</v>
      </c>
      <c r="C6313" s="8">
        <v>-4</v>
      </c>
      <c r="D6313" s="5" t="s">
        <v>162</v>
      </c>
      <c r="E6313" s="5"/>
      <c r="G6313" s="5"/>
      <c r="H6313" s="5"/>
    </row>
    <row r="6314" spans="1:9" x14ac:dyDescent="0.2">
      <c r="A6314" s="5"/>
      <c r="B6314" s="5" t="s">
        <v>5546</v>
      </c>
      <c r="C6314" s="5"/>
      <c r="D6314" s="5" t="s">
        <v>15</v>
      </c>
      <c r="E6314" s="5"/>
      <c r="G6314" s="5"/>
      <c r="H6314" s="5"/>
    </row>
    <row r="6315" spans="1:9" x14ac:dyDescent="0.2">
      <c r="A6315" s="5" t="s">
        <v>6684</v>
      </c>
      <c r="B6315" s="5" t="s">
        <v>5550</v>
      </c>
      <c r="C6315" s="8">
        <v>-4</v>
      </c>
      <c r="D6315" s="5" t="s">
        <v>162</v>
      </c>
      <c r="E6315" s="5"/>
      <c r="G6315" s="5"/>
      <c r="H6315" s="5"/>
    </row>
    <row r="6316" spans="1:9" x14ac:dyDescent="0.2">
      <c r="A6316" s="5" t="s">
        <v>6685</v>
      </c>
      <c r="B6316" s="5" t="s">
        <v>5556</v>
      </c>
      <c r="C6316" s="8">
        <v>-5</v>
      </c>
      <c r="D6316" s="5" t="s">
        <v>162</v>
      </c>
      <c r="E6316" s="5"/>
      <c r="G6316" s="5"/>
      <c r="H6316" s="5"/>
    </row>
    <row r="6317" spans="1:9" x14ac:dyDescent="0.2">
      <c r="A6317" s="5" t="s">
        <v>6686</v>
      </c>
      <c r="B6317" s="5" t="s">
        <v>5566</v>
      </c>
      <c r="C6317" s="8">
        <v>-1</v>
      </c>
      <c r="D6317" s="5" t="s">
        <v>162</v>
      </c>
      <c r="E6317" s="5"/>
      <c r="G6317" s="5"/>
      <c r="H6317" s="5"/>
    </row>
    <row r="6318" spans="1:9" x14ac:dyDescent="0.2">
      <c r="A6318" s="5" t="s">
        <v>6687</v>
      </c>
      <c r="B6318" s="5" t="s">
        <v>5568</v>
      </c>
      <c r="C6318" s="8">
        <v>-4</v>
      </c>
      <c r="D6318" s="5" t="s">
        <v>162</v>
      </c>
      <c r="E6318" s="5"/>
      <c r="G6318" s="5"/>
      <c r="H6318" s="5"/>
    </row>
    <row r="6319" spans="1:9" x14ac:dyDescent="0.2">
      <c r="A6319" s="5" t="s">
        <v>6688</v>
      </c>
      <c r="B6319" s="5" t="s">
        <v>6689</v>
      </c>
      <c r="C6319" s="8">
        <v>-1</v>
      </c>
      <c r="D6319" s="5" t="s">
        <v>162</v>
      </c>
      <c r="E6319" s="5"/>
      <c r="G6319" s="5"/>
      <c r="H6319" s="5"/>
    </row>
    <row r="6320" spans="1:9" x14ac:dyDescent="0.2">
      <c r="A6320" s="5" t="s">
        <v>6690</v>
      </c>
      <c r="B6320" s="5" t="s">
        <v>5580</v>
      </c>
      <c r="C6320" s="8">
        <v>-2</v>
      </c>
      <c r="D6320" s="5" t="s">
        <v>162</v>
      </c>
      <c r="E6320" s="5"/>
      <c r="G6320" s="5"/>
      <c r="H6320" s="5"/>
    </row>
    <row r="6321" spans="1:8" x14ac:dyDescent="0.2">
      <c r="A6321" s="5" t="s">
        <v>6691</v>
      </c>
      <c r="B6321" s="5" t="s">
        <v>5582</v>
      </c>
      <c r="C6321" s="8">
        <v>-2</v>
      </c>
      <c r="D6321" s="5" t="s">
        <v>162</v>
      </c>
      <c r="E6321" s="5"/>
      <c r="G6321" s="5"/>
      <c r="H6321" s="5"/>
    </row>
    <row r="6322" spans="1:8" x14ac:dyDescent="0.2">
      <c r="A6322" s="5"/>
      <c r="B6322" s="5" t="s">
        <v>5585</v>
      </c>
      <c r="C6322" s="5"/>
      <c r="D6322" s="5" t="s">
        <v>15</v>
      </c>
      <c r="E6322" s="5"/>
      <c r="G6322" s="5"/>
      <c r="H6322" s="5"/>
    </row>
    <row r="6323" spans="1:8" x14ac:dyDescent="0.2">
      <c r="A6323" s="5" t="s">
        <v>6692</v>
      </c>
      <c r="B6323" s="5" t="s">
        <v>5587</v>
      </c>
      <c r="C6323" s="8">
        <v>-4</v>
      </c>
      <c r="D6323" s="5" t="s">
        <v>162</v>
      </c>
      <c r="E6323" s="5"/>
      <c r="G6323" s="5"/>
      <c r="H6323" s="5"/>
    </row>
    <row r="6324" spans="1:8" x14ac:dyDescent="0.2">
      <c r="A6324" s="5" t="s">
        <v>6693</v>
      </c>
      <c r="B6324" s="5" t="s">
        <v>6694</v>
      </c>
      <c r="C6324" s="8">
        <v>-4</v>
      </c>
      <c r="D6324" s="5" t="s">
        <v>162</v>
      </c>
      <c r="E6324" s="5"/>
      <c r="G6324" s="5"/>
      <c r="H6324" s="5"/>
    </row>
    <row r="6325" spans="1:8" x14ac:dyDescent="0.2">
      <c r="A6325" s="5" t="s">
        <v>6695</v>
      </c>
      <c r="B6325" s="5" t="s">
        <v>5595</v>
      </c>
      <c r="C6325" s="8">
        <v>-4</v>
      </c>
      <c r="D6325" s="5" t="s">
        <v>162</v>
      </c>
      <c r="E6325" s="5"/>
      <c r="G6325" s="5"/>
      <c r="H6325" s="5"/>
    </row>
    <row r="6326" spans="1:8" x14ac:dyDescent="0.2">
      <c r="A6326" s="5" t="s">
        <v>6696</v>
      </c>
      <c r="B6326" s="5" t="s">
        <v>5599</v>
      </c>
      <c r="C6326" s="8">
        <v>-4</v>
      </c>
      <c r="D6326" s="5" t="s">
        <v>162</v>
      </c>
      <c r="E6326" s="5"/>
      <c r="G6326" s="5"/>
      <c r="H6326" s="5"/>
    </row>
    <row r="6327" spans="1:8" x14ac:dyDescent="0.2">
      <c r="A6327" s="5" t="s">
        <v>6697</v>
      </c>
      <c r="B6327" s="5" t="s">
        <v>5601</v>
      </c>
      <c r="C6327" s="8">
        <v>-4</v>
      </c>
      <c r="D6327" s="5" t="s">
        <v>162</v>
      </c>
      <c r="E6327" s="5"/>
      <c r="G6327" s="5"/>
      <c r="H6327" s="5"/>
    </row>
    <row r="6328" spans="1:8" x14ac:dyDescent="0.2">
      <c r="A6328" s="5"/>
      <c r="B6328" s="5" t="s">
        <v>53</v>
      </c>
      <c r="C6328" s="5"/>
      <c r="D6328" s="5" t="s">
        <v>13</v>
      </c>
      <c r="E6328" s="5"/>
      <c r="G6328" s="5"/>
      <c r="H6328" s="5"/>
    </row>
    <row r="6329" spans="1:8" x14ac:dyDescent="0.2">
      <c r="A6329" s="5"/>
      <c r="B6329" s="5" t="s">
        <v>5454</v>
      </c>
      <c r="C6329" s="5"/>
      <c r="D6329" s="5" t="s">
        <v>15</v>
      </c>
      <c r="E6329" s="5"/>
      <c r="G6329" s="5"/>
      <c r="H6329" s="5"/>
    </row>
    <row r="6330" spans="1:8" x14ac:dyDescent="0.2">
      <c r="A6330" s="5"/>
      <c r="B6330" s="5" t="s">
        <v>5488</v>
      </c>
      <c r="C6330" s="5"/>
      <c r="D6330" s="5" t="s">
        <v>322</v>
      </c>
      <c r="E6330" s="5"/>
      <c r="G6330" s="5"/>
      <c r="H6330" s="5"/>
    </row>
    <row r="6331" spans="1:8" x14ac:dyDescent="0.2">
      <c r="A6331" s="5" t="s">
        <v>6698</v>
      </c>
      <c r="B6331" s="5" t="s">
        <v>6683</v>
      </c>
      <c r="C6331" s="8">
        <v>-4</v>
      </c>
      <c r="D6331" s="5" t="s">
        <v>162</v>
      </c>
      <c r="E6331" s="5"/>
      <c r="G6331" s="5"/>
      <c r="H6331" s="5"/>
    </row>
    <row r="6332" spans="1:8" x14ac:dyDescent="0.2">
      <c r="A6332" s="5" t="s">
        <v>6699</v>
      </c>
      <c r="B6332" s="5" t="s">
        <v>5492</v>
      </c>
      <c r="C6332" s="8">
        <v>-1</v>
      </c>
      <c r="D6332" s="5" t="s">
        <v>162</v>
      </c>
      <c r="E6332" s="5"/>
      <c r="G6332" s="5"/>
      <c r="H6332" s="5"/>
    </row>
    <row r="6333" spans="1:8" x14ac:dyDescent="0.2">
      <c r="A6333" s="5"/>
      <c r="B6333" s="5" t="s">
        <v>5546</v>
      </c>
      <c r="C6333" s="5"/>
      <c r="D6333" s="5" t="s">
        <v>15</v>
      </c>
      <c r="E6333" s="5"/>
      <c r="G6333" s="5"/>
      <c r="H6333" s="5"/>
    </row>
    <row r="6334" spans="1:8" x14ac:dyDescent="0.2">
      <c r="A6334" s="5" t="s">
        <v>6700</v>
      </c>
      <c r="B6334" s="5" t="s">
        <v>5550</v>
      </c>
      <c r="C6334" s="8">
        <v>-4</v>
      </c>
      <c r="D6334" s="5" t="s">
        <v>162</v>
      </c>
      <c r="E6334" s="5"/>
      <c r="G6334" s="5"/>
      <c r="H6334" s="5"/>
    </row>
    <row r="6335" spans="1:8" x14ac:dyDescent="0.2">
      <c r="A6335" s="5" t="s">
        <v>6701</v>
      </c>
      <c r="B6335" s="5" t="s">
        <v>5552</v>
      </c>
      <c r="C6335" s="8">
        <v>-1</v>
      </c>
      <c r="D6335" s="5" t="s">
        <v>162</v>
      </c>
      <c r="E6335" s="5"/>
      <c r="G6335" s="5"/>
      <c r="H6335" s="5"/>
    </row>
    <row r="6336" spans="1:8" x14ac:dyDescent="0.2">
      <c r="A6336" s="5" t="s">
        <v>6702</v>
      </c>
      <c r="B6336" s="5" t="s">
        <v>5556</v>
      </c>
      <c r="C6336" s="8">
        <v>-5</v>
      </c>
      <c r="D6336" s="5" t="s">
        <v>162</v>
      </c>
      <c r="E6336" s="5"/>
      <c r="G6336" s="5"/>
      <c r="H6336" s="5"/>
    </row>
    <row r="6337" spans="1:9" x14ac:dyDescent="0.2">
      <c r="A6337" s="5" t="s">
        <v>6703</v>
      </c>
      <c r="B6337" s="5" t="s">
        <v>5568</v>
      </c>
      <c r="C6337" s="8">
        <v>-5</v>
      </c>
      <c r="D6337" s="5" t="s">
        <v>162</v>
      </c>
      <c r="E6337" s="5"/>
      <c r="G6337" s="5"/>
      <c r="H6337" s="5"/>
    </row>
    <row r="6338" spans="1:9" x14ac:dyDescent="0.2">
      <c r="A6338" s="5" t="s">
        <v>6704</v>
      </c>
      <c r="B6338" s="5" t="s">
        <v>5570</v>
      </c>
      <c r="C6338" s="8">
        <v>-1</v>
      </c>
      <c r="D6338" s="5" t="s">
        <v>162</v>
      </c>
      <c r="E6338" s="5"/>
      <c r="G6338" s="5"/>
      <c r="H6338" s="5"/>
    </row>
    <row r="6339" spans="1:9" x14ac:dyDescent="0.2">
      <c r="A6339" s="5" t="s">
        <v>6705</v>
      </c>
      <c r="B6339" s="5" t="s">
        <v>5580</v>
      </c>
      <c r="C6339" s="8">
        <v>-2</v>
      </c>
      <c r="D6339" s="5" t="s">
        <v>162</v>
      </c>
      <c r="E6339" s="5"/>
      <c r="G6339" s="5"/>
      <c r="H6339" s="5"/>
    </row>
    <row r="6340" spans="1:9" x14ac:dyDescent="0.2">
      <c r="A6340" s="5" t="s">
        <v>6706</v>
      </c>
      <c r="B6340" s="5" t="s">
        <v>5582</v>
      </c>
      <c r="C6340" s="8">
        <v>-2</v>
      </c>
      <c r="D6340" s="5" t="s">
        <v>162</v>
      </c>
      <c r="E6340" s="5"/>
      <c r="G6340" s="5"/>
      <c r="H6340" s="5"/>
    </row>
    <row r="6341" spans="1:9" x14ac:dyDescent="0.2">
      <c r="A6341" s="5" t="s">
        <v>6707</v>
      </c>
      <c r="B6341" s="5" t="s">
        <v>5584</v>
      </c>
      <c r="C6341" s="8">
        <v>-1</v>
      </c>
      <c r="D6341" s="5" t="s">
        <v>162</v>
      </c>
      <c r="E6341" s="5"/>
      <c r="G6341" s="5"/>
      <c r="H6341" s="5"/>
    </row>
    <row r="6342" spans="1:9" x14ac:dyDescent="0.2">
      <c r="A6342" s="5"/>
      <c r="B6342" s="5" t="s">
        <v>5585</v>
      </c>
      <c r="C6342" s="5"/>
      <c r="D6342" s="5" t="s">
        <v>15</v>
      </c>
      <c r="E6342" s="5"/>
      <c r="G6342" s="5"/>
      <c r="H6342" s="5"/>
    </row>
    <row r="6343" spans="1:9" x14ac:dyDescent="0.2">
      <c r="A6343" s="5" t="s">
        <v>6708</v>
      </c>
      <c r="B6343" s="5" t="s">
        <v>5587</v>
      </c>
      <c r="C6343" s="8">
        <v>6</v>
      </c>
      <c r="D6343" s="5" t="s">
        <v>162</v>
      </c>
      <c r="E6343" s="5"/>
      <c r="G6343" s="5"/>
      <c r="H6343" s="5"/>
    </row>
    <row r="6344" spans="1:9" x14ac:dyDescent="0.2">
      <c r="A6344" s="5" t="s">
        <v>6709</v>
      </c>
      <c r="B6344" s="5" t="s">
        <v>6694</v>
      </c>
      <c r="C6344" s="8">
        <v>4</v>
      </c>
      <c r="D6344" s="5" t="s">
        <v>162</v>
      </c>
      <c r="E6344" s="5"/>
      <c r="G6344" s="5"/>
      <c r="H6344" s="5"/>
    </row>
    <row r="6345" spans="1:9" x14ac:dyDescent="0.2">
      <c r="A6345" s="5" t="s">
        <v>6710</v>
      </c>
      <c r="B6345" s="5" t="s">
        <v>5591</v>
      </c>
      <c r="C6345" s="8">
        <v>1</v>
      </c>
      <c r="D6345" s="5" t="s">
        <v>162</v>
      </c>
      <c r="E6345" s="5"/>
      <c r="G6345" s="5"/>
      <c r="H6345" s="5"/>
    </row>
    <row r="6346" spans="1:9" x14ac:dyDescent="0.2">
      <c r="A6346" s="5" t="s">
        <v>6711</v>
      </c>
      <c r="B6346" s="5" t="s">
        <v>5595</v>
      </c>
      <c r="C6346" s="8">
        <v>3</v>
      </c>
      <c r="D6346" s="5" t="s">
        <v>162</v>
      </c>
      <c r="E6346" s="5"/>
      <c r="G6346" s="5"/>
      <c r="H6346" s="5"/>
    </row>
    <row r="6347" spans="1:9" x14ac:dyDescent="0.2">
      <c r="A6347" s="5" t="s">
        <v>6712</v>
      </c>
      <c r="B6347" s="5" t="s">
        <v>5599</v>
      </c>
      <c r="C6347" s="8">
        <v>5</v>
      </c>
      <c r="D6347" s="5" t="s">
        <v>162</v>
      </c>
      <c r="E6347" s="5"/>
      <c r="G6347" s="5"/>
      <c r="H6347" s="5"/>
    </row>
    <row r="6348" spans="1:9" x14ac:dyDescent="0.2">
      <c r="A6348" s="5" t="s">
        <v>6713</v>
      </c>
      <c r="B6348" s="5" t="s">
        <v>5601</v>
      </c>
      <c r="C6348" s="8">
        <v>5</v>
      </c>
      <c r="D6348" s="5" t="s">
        <v>162</v>
      </c>
      <c r="E6348" s="5"/>
      <c r="G6348" s="5"/>
      <c r="H6348" s="5"/>
    </row>
    <row r="6349" spans="1:9" x14ac:dyDescent="0.2">
      <c r="B6349" s="6" t="s">
        <v>5667</v>
      </c>
      <c r="C6349" s="6"/>
      <c r="D6349" s="6"/>
      <c r="E6349" s="6"/>
      <c r="F6349" s="9">
        <f>SUM(H6309:H6349)</f>
        <v>0</v>
      </c>
      <c r="G6349" s="6"/>
      <c r="I6349" s="9">
        <f>PRODUCT(F6349,G6349)</f>
        <v>0</v>
      </c>
    </row>
    <row r="6351" spans="1:9" x14ac:dyDescent="0.2">
      <c r="A6351" s="5" t="s">
        <v>6714</v>
      </c>
      <c r="B6351" s="5" t="s">
        <v>5669</v>
      </c>
      <c r="C6351" s="5"/>
      <c r="D6351" s="5"/>
      <c r="E6351" s="5"/>
      <c r="G6351" s="5"/>
      <c r="I6351" s="8">
        <f>PRODUCT(F6351,G6351)</f>
        <v>0</v>
      </c>
    </row>
    <row r="6354" spans="2:9" x14ac:dyDescent="0.2">
      <c r="B6354" s="6" t="s">
        <v>6715</v>
      </c>
      <c r="I6354" s="11">
        <f>SUM(I5:I6351)</f>
        <v>0</v>
      </c>
    </row>
  </sheetData>
  <mergeCells count="2">
    <mergeCell ref="A1:I1"/>
    <mergeCell ref="A2:I2"/>
  </mergeCells>
  <pageMargins left="0.75" right="0.75" top="1" bottom="1" header="0.5" footer="0.5"/>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D6206A1-E54D-4ACB-9EDC-3C157657BAB1}">
  <ds:schemaRefs>
    <ds:schemaRef ds:uri="http://www.w3.org/2001/XMLSchem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CostX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Dhanrick Eviota</cp:lastModifiedBy>
  <dcterms:modified xsi:type="dcterms:W3CDTF">2026-07-12T04:19:25Z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lanSwiftJobName">
    <vt:lpwstr/>
  </property>
  <property fmtid="{D5CDD505-2E9C-101B-9397-08002B2CF9AE}" pid="3" name="PlanSwiftJobGuid">
    <vt:lpwstr/>
  </property>
  <property fmtid="{D5CDD505-2E9C-101B-9397-08002B2CF9AE}" pid="4" name="LinkedDataId">
    <vt:lpwstr>{AD6206A1-E54D-4ACB-9EDC-3C157657BAB1}</vt:lpwstr>
  </property>
</Properties>
</file>