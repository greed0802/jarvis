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ummary" sheetId="1" r:id="rId3"/>
    <sheet name="4-Landscape" sheetId="2" r:id="rId4"/>
  </sheets>
  <calcPr calcId="124519"/>
</workbook>
</file>

<file path=xl/sharedStrings.xml><?xml version="1.0" encoding="utf-8"?>
<sst xmlns="http://schemas.openxmlformats.org/spreadsheetml/2006/main" count="322" uniqueCount="172">
  <si>
    <t>Landscape</t>
  </si>
  <si>
    <t>Code</t>
  </si>
  <si>
    <t>Description</t>
  </si>
  <si>
    <t>Total</t>
  </si>
  <si>
    <t>Quantity</t>
  </si>
  <si>
    <t>Unit</t>
  </si>
  <si>
    <t>Rate</t>
  </si>
  <si>
    <t>GENERALLY</t>
  </si>
  <si>
    <t>Head1</t>
  </si>
  <si>
    <t>Tenderers are referred to the Specification for the full particulars of workmanship and materials, and the quantities herein provided shall be read in conjunction with the drawings.</t>
  </si>
  <si>
    <t>Note</t>
  </si>
  <si>
    <t>This Builders Bill of Quantities has not been measured in accordance with the Australian Standard Method of Measurement of Building Works, 5th Edition</t>
  </si>
  <si>
    <t>REFERENCES</t>
  </si>
  <si>
    <t>Refer to Tamworth Mental Health Unit Landscape Architecture Technical Specification Revision C dated 05May2023 by Taylor Brammer Landscape Architects Pty Ltd</t>
  </si>
  <si>
    <t>Refer to drawing series LAN-L00 to LAN-L04 for landscape drawings</t>
  </si>
  <si>
    <t>PRICES</t>
  </si>
  <si>
    <t>Prices for landscaping related excavation shall include for:-</t>
  </si>
  <si>
    <t>Head2</t>
  </si>
  <si>
    <t>Getting out</t>
  </si>
  <si>
    <t>Keeping sides plumb and to shape</t>
  </si>
  <si>
    <t>Backfilling</t>
  </si>
  <si>
    <t>Ramming solid</t>
  </si>
  <si>
    <t>Loading and disposal of surplus spoil</t>
  </si>
  <si>
    <t>All double handling required</t>
  </si>
  <si>
    <t>The Contractor is deemed to have included for material as found</t>
  </si>
  <si>
    <t>Environmental and sustainable requirements detailed in the Tender documents (if any)</t>
  </si>
  <si>
    <t>GENERAL ITEMS</t>
  </si>
  <si>
    <t>Allow for complying with relevant Acts, By-laws and regulations relating to excavation, planking and strutting</t>
  </si>
  <si>
    <t>Item</t>
  </si>
  <si>
    <t>Allow for giving notice and providing facilities for inspections</t>
  </si>
  <si>
    <t>Allow for contractors submissions</t>
  </si>
  <si>
    <t>Allow for samples and tests</t>
  </si>
  <si>
    <t>Allow for warranties</t>
  </si>
  <si>
    <t>Allow for inspection of site</t>
  </si>
  <si>
    <t>Allow for keeping excavation free from rain and percolating water by pumping, bailing and other means</t>
  </si>
  <si>
    <t>Allow for warning sign regarding plant protection</t>
  </si>
  <si>
    <t>Allow for temporary landscape fencing</t>
  </si>
  <si>
    <t>Allow for reinstatement of existing turf or landscape areas which may be disturbed during the course of the works</t>
  </si>
  <si>
    <t>Allow for submitting warranties and maintenance manuals where required</t>
  </si>
  <si>
    <t>NOTES AND ASSUMPTIONS</t>
  </si>
  <si>
    <t>TA.B - 45x30mm DAR pencil round H4 hardwood battens in clear oil finish bolted into framing with 316 SS c.sunk allen key fixers M6; including 50mm powdercoated steel edge, base plate, powdercoated U-beam, steel base plate and bolt chemset into slab (NB: Refer detail to dwg. no. LAN-L04-004-8)</t>
  </si>
  <si>
    <t>SE.T - 45mm thick DAR hardwood timber battens radially cut &amp; layed with max 4mm spacing into front and back edge finished with decking oil</t>
  </si>
  <si>
    <t>HARDSCAPE</t>
  </si>
  <si>
    <t>Paving &amp; Surfaces</t>
  </si>
  <si>
    <t>DE-CO - Decomposed granite in 'Granite pink gravel' colour with 75mm deep compacted fine crushed rock 95% MMD; Supplier: StoneSet</t>
  </si>
  <si>
    <t>m2</t>
  </si>
  <si>
    <t>PE-01 - Tile finish on screed with grout of matching colour; Product: Cream sliced pebble; Supplier: Surface Gallery</t>
  </si>
  <si>
    <t>PV.BR - Blonde brick unit paving on mortar bed with 10mm wide grout to all sides; brick to be salvaged from existing Rotary lodges on site; suitability of bricks to be tested and to propose alternate finish if bricks are not suitable</t>
  </si>
  <si>
    <t>PV-FL - Stoneset bonded aggregate in 'Tan' colour including 2-5mm or 5mm single size basalt bedding course and 50mm deep compacted DGB; Supplier: StoneSet</t>
  </si>
  <si>
    <t>SF-01 - S8 Decoflex rubber sports surface in 'Grey blue' colour with mortar screed to achieve localised falls with tile adhesive; Supplier: Rephouse</t>
  </si>
  <si>
    <t>SF-02 - S8 Decoflex rubber sports surface in 'Capri blue' colour with mortar screed to achieve localised falls with tile adhesive; Supplier: Rephouse</t>
  </si>
  <si>
    <t>Furniture &amp; Structure</t>
  </si>
  <si>
    <t>Boulder</t>
  </si>
  <si>
    <t>Head3</t>
  </si>
  <si>
    <t>Boulder - Stone boulders ladi on ground and pinned in place - min 1/4 embedement into grades; min. size: 400x400mm; Supplier: BMR Quarries</t>
  </si>
  <si>
    <t>no</t>
  </si>
  <si>
    <t>WF1 - Finished quarry stone w/ diamond sawn; 800Lx800wx500H boulder resued from existing site or local quarry; 50mm deep bowl cut 600mm dia. to be core drilled to provide passage for water; pre-cast GFRC drainage pit DS460 by Mascot engineering w/ galvanised steel grate; Supplier: BRM Quarries</t>
  </si>
  <si>
    <t>Chair, Seating and Tables</t>
  </si>
  <si>
    <t>1200x450mm wide foldable bench seating</t>
  </si>
  <si>
    <t>1200x700mm wide foldable table</t>
  </si>
  <si>
    <t>CH.1 - Chair; Supplier: Viccarbe Habitat S.L.</t>
  </si>
  <si>
    <t>PE-SE - Small pebble seat by Quatro Design</t>
  </si>
  <si>
    <t>TA.B - 800mm diameter table</t>
  </si>
  <si>
    <t>TA.B - 1000mm diameter circular table</t>
  </si>
  <si>
    <t>TA.B - 1500x500mm wide rectangular table</t>
  </si>
  <si>
    <t>TA.B - oval shaped table; Longer dia.: 1250mm, shorter dia.: 900mm</t>
  </si>
  <si>
    <t>SE.T - 500mm wide timber bench</t>
  </si>
  <si>
    <t>m</t>
  </si>
  <si>
    <t>SE.T - 500mm wide curved timber bench; Outside radius: 1600mm</t>
  </si>
  <si>
    <t>SE.T - 500mm wide curved timber bench; Outside radius: 2150mm</t>
  </si>
  <si>
    <t>SE.T - 500mm wide curved timber bench; Outside radius: 2125mm</t>
  </si>
  <si>
    <t>SE.T - 500mm wide curved timber bench; Outside radius: 2250mm</t>
  </si>
  <si>
    <t>SE.T - 500mm wide curved timber bench; Outside radius: 2500mm</t>
  </si>
  <si>
    <t>SE.T - 500mm wide curved timber bench; Outside radius: 5370mm</t>
  </si>
  <si>
    <t>SE.T - 500mm wide curved timber bench; Outside radius: 5450mm</t>
  </si>
  <si>
    <t>SE.T - 500mm wide curved timber bench; Outside radius: 5400mm</t>
  </si>
  <si>
    <t>SE.T - 500mm wide curved timber bench; Outside radius: 5570mm</t>
  </si>
  <si>
    <t>SE.T - 500mm wide curved timber bench; Outside radius: 5700mm</t>
  </si>
  <si>
    <t>SE.T - 500mm wide curved timber bench; Outside radius: 5730mm</t>
  </si>
  <si>
    <t>Planter, Pots</t>
  </si>
  <si>
    <t>PO.1 - 600mmD x 500mmH Triton deep bowl; water-fed irrigation, to be anchored to floor; Supplier: Garden Life</t>
  </si>
  <si>
    <t>PO.1 - 500mmD x  650mmH Triton U-pot; water-fed irrigation, to be anchored to floor; Supplier: Garden Life</t>
  </si>
  <si>
    <t>VEG.1 - 870mm diameter corrugated iron planter with protective strip to top edge fixed down with a flexible epoxy adherent; Supplier: Kingspan</t>
  </si>
  <si>
    <t>Steel Mesh</t>
  </si>
  <si>
    <t>SS creeper mesh - 1.5mm wire grade stainless steel wiremesh with varying panel size; Supplier: Jakob Webnet Mesh (NB: Refer details to LAN-L04-007-8)</t>
  </si>
  <si>
    <t>Workbenches</t>
  </si>
  <si>
    <t>WB1 - 2100x800x915mm high workbench with corian benchtop, integrated BBQ hotplate, cabinetry and shelving; Product: in built furniture, benches, workbenches and cupboards; Product: Hardwood timber DAR to all exposed faces; Material: Merbau timber for all external furnitures; Concealed framing: Galv. steel framing; Finish: Matt Black; Description and product: Contemporary Kitchen Lip pull handles Darwin, Aluminium allow; Supplier: Igrab</t>
  </si>
  <si>
    <t>Gabion Wall</t>
  </si>
  <si>
    <t>Gabion Wall with water feature; Gabion walls enclosed in square grid reinforcing mesh cage, local bluestone including with orange, red, yellow staining to enclose the undercroft walls and recycled materials in selexted areas; Company: Permathene Australia and Gabion 1</t>
  </si>
  <si>
    <t>Concrete Wall</t>
  </si>
  <si>
    <t>400mm thick raised concrete planter wall for SE.T (NB: Assumed as concrete)</t>
  </si>
  <si>
    <t>m3</t>
  </si>
  <si>
    <t>Formwork to 400mm thick raised concrete planter wall for SE.T</t>
  </si>
  <si>
    <t>Reinforcement to 400mm thick raised concrete planter wall for SE.T; Assumed REO Rate: 150kg/m3</t>
  </si>
  <si>
    <t>t</t>
  </si>
  <si>
    <t>Paint finish to 400mm thick raised concrete planter wall for SE.T</t>
  </si>
  <si>
    <t>Wall Features</t>
  </si>
  <si>
    <t>Memory Wall (NB: No details provided)</t>
  </si>
  <si>
    <t>Sticker Markings to Wall (NB: No details provided)</t>
  </si>
  <si>
    <t>Terrace Seating (NB: No details provided)</t>
  </si>
  <si>
    <t>500 x 900mm high Terrace Seating to Undercroft </t>
  </si>
  <si>
    <t>500 x 1000mm high Terrace Seating to Undercroft </t>
  </si>
  <si>
    <t>500 x 1100mm high Terrace Seating to Undercroft </t>
  </si>
  <si>
    <t>500 x 1300mm high Terrace Seating to Undercroft </t>
  </si>
  <si>
    <t>Steel Edging</t>
  </si>
  <si>
    <t>Steel Edge</t>
  </si>
  <si>
    <t>Carpark Sundries</t>
  </si>
  <si>
    <t>Linemarking to Handball Court</t>
  </si>
  <si>
    <t>Sculptures</t>
  </si>
  <si>
    <t>Scultptures</t>
  </si>
  <si>
    <t>PLANTS</t>
  </si>
  <si>
    <t>Groundcovers</t>
  </si>
  <si>
    <t>An-rc - Anigozanthos 'Red Cross'; Kangaroo Paw; 200mm pot</t>
  </si>
  <si>
    <t>Cl-op - Clematicissus opaca; Small leaf grape; 140mm pot</t>
  </si>
  <si>
    <t>Co-sa - Convolvulus sabatius ssp.
mauritanicus; Blue Rock Bindweed; 140mm pot</t>
  </si>
  <si>
    <t>Di-ca - Dianella caerulea; Wandering lilly; 140mm pot</t>
  </si>
  <si>
    <t>Di-re - Dichonra repens; Kidney Weed; 100mm pot</t>
  </si>
  <si>
    <t>Di-si - Dichondra Silver Falls; Silver Falls; 140mm pot</t>
  </si>
  <si>
    <t>Ga-ra - Gardenia radicans; Trailing Gardenia; 140mm pot</t>
  </si>
  <si>
    <t>Ha-me - Hardenbergia 'Meema'; Native Sarsparilla; 140mm pot</t>
  </si>
  <si>
    <t>Ip-ba - Ipomoea battatas; Ornamental Sweet
Potato; 200mm pot</t>
  </si>
  <si>
    <t>Li-mw - Chrysocephalum apiculatum; Yellow Buttons; 200mm pot</t>
  </si>
  <si>
    <t>Lo-ca - Lomandra Tanika; Mat Rush; 140mm pot</t>
  </si>
  <si>
    <t>Lo-lo - Lomandra longifolia; Mat rush; 140mm pot</t>
  </si>
  <si>
    <t>Shrubs</t>
  </si>
  <si>
    <t>AH - Acmena 'Hedgemaster'; Lilly Pilly; 300mm pot</t>
  </si>
  <si>
    <t>AN - Atriplex nummularia; Old man salt bush; 300mm pot</t>
  </si>
  <si>
    <t>BO - Baeckea virgata; Heath myrtle; 300mm pot</t>
  </si>
  <si>
    <t>CE - Callistemon 'Eureka'; Eureka bottlebrush; 300mm pot</t>
  </si>
  <si>
    <t>CS - Callistemon sieberi; River bottlebrush; 300mm pot</t>
  </si>
  <si>
    <t>CW - Casuarina 'Cousin It'; Greenwave Casuarina; 300mm pot</t>
  </si>
  <si>
    <t>DA - Dodonaea viscosa; Hop bush; 300mm pot</t>
  </si>
  <si>
    <t>ET - Enchylaena tomentosa; Salt Bush; 300mm pot</t>
  </si>
  <si>
    <t>LB - Shrub - Leucophyta brownii; Cushion bush; 300mm pot</t>
  </si>
  <si>
    <t>MD - Mentha diemenica; Native mint; 300mm pot</t>
  </si>
  <si>
    <t>PI - Pittosporum tobira 'Miss Muffet'; Miss Muffet; 300mm pot</t>
  </si>
  <si>
    <t>RS - Rhagodia spinescens 'Silver Border'; Silver border salt bush; 300mm pot</t>
  </si>
  <si>
    <t>SB - Syzygium 'Backyard Bliss'; Lilly Pilly; 300mm pot</t>
  </si>
  <si>
    <t>SG - Strobilanthes gossypinus; Persian Shield; 300mm pot</t>
  </si>
  <si>
    <t>Shrubs (NB: No details provided)</t>
  </si>
  <si>
    <t>Mixed Planting</t>
  </si>
  <si>
    <t>Chrysosephalum apiculatum</t>
  </si>
  <si>
    <t>Dichondra repens</t>
  </si>
  <si>
    <t>Gardenia radicans</t>
  </si>
  <si>
    <t>Hardenbergia meema</t>
  </si>
  <si>
    <t>Heliotropium arborescens</t>
  </si>
  <si>
    <t>Lomandra longifolia</t>
  </si>
  <si>
    <t>Lomandra tanika</t>
  </si>
  <si>
    <t>Rosemary prostrate</t>
  </si>
  <si>
    <t>Themeda australis</t>
  </si>
  <si>
    <t>Trees</t>
  </si>
  <si>
    <t>BC - Backhousia citriodora; Lemon myrtle; 100L</t>
  </si>
  <si>
    <t>BR - Brachychiton populneus; Kurrajong Tree; 100L</t>
  </si>
  <si>
    <t>CC - Casuarina cunninghamiana; Casuarina; 100L</t>
  </si>
  <si>
    <t>LB - Lagerstroemia indica x fauriei 'Biloxi'; Crepe Myrtle; 100L</t>
  </si>
  <si>
    <t>Xa-au (NB: No details provided)</t>
  </si>
  <si>
    <t>SOFTSCAPE</t>
  </si>
  <si>
    <t>Dry Creekbed</t>
  </si>
  <si>
    <t>NA-ME - Turf on grade, natural roll turf species TBC; Supplier: By Builder</t>
  </si>
  <si>
    <t>PL-GR - Cultivated subgrade, imported soil, drip irrigation and pebble river stone 14-20mm; Supplier: Easters Ladscape Supplies &amp; Home Decor Centre</t>
  </si>
  <si>
    <t>PL-OG - Cultivated subgrade, imported soil, drip irrigation and playground mulch; Supplier: Australian Native Landscapes</t>
  </si>
  <si>
    <t>PL-OS - Imported soil, drip irrigation and playground mulch as detailed; PROSAFE Barricade Mesh, Fluorescent Orange, 1000x50mm; Supplier: Australian Native Landscapes</t>
  </si>
  <si>
    <t>TU-AR - Artificial turf with softfall pad and roadbase fill under; Supplier: Protech Australia; including atlantis drainage cell, 52mm Flo-cell as void filler to setdown</t>
  </si>
  <si>
    <t>TU-OG - Turf on slab; Supplier: By Builder</t>
  </si>
  <si>
    <t>VEG1 - ANL seedling mix suitable for vegetable and fruit growing including lighweight planter box subsoil</t>
  </si>
  <si>
    <t>PO.1 - 600mmD x 500mmH Triton deep bowl; 75mm deep mulch, 300mm lightweight plater box mix, varying depth subsoil, geotextile</t>
  </si>
  <si>
    <t>PO.1 - 500mmD x  650mmH Triton U-pot; 75mm deep mulch, 300mm lightweight plater box mix, varying depth subsoil, geotextile</t>
  </si>
  <si>
    <t>VEG.1 - 870mm diameter planter;  ANL seedling mix suitable for vegetable and fruit growing including lighweight planter box subsoil, 75mm deep washed coarse river sand and atlantis drainage cell</t>
  </si>
  <si>
    <t>150 x 5mm flat steel plate, hot dipped galvanised set vertical (NB: Refer to dwg. nos. LAN-L04-002-8 to LAN-L04-003-8)</t>
  </si>
  <si>
    <t>300 x 5mm flat steel plate, hot dipped galvanised set vertical (NB: Refer to dwg. nos. LAN-L04-002-8 to LAN-L04-003-8)</t>
  </si>
  <si>
    <t>Steel Edge - 200x5mm flat steel flat galvanised including 12mm diameter galvanized steel rod welded to plate at 1000mm centres (NB: Refer detail to dwg. no. LAN-L04-002-8)</t>
  </si>
  <si>
    <t>TOTAL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</si>
</sst>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10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b/>
      <sz val="12"/>
    </font>
    <font>
      <name val="Calibri"/>
      <b/>
      <sz val="10"/>
    </font>
    <font>
      <name val="Calibri"/>
      <sz val="11"/>
    </font>
    <font>
      <name val="Calibri"/>
      <b/>
      <sz val="11"/>
    </font>
    <font>
      <name val="Calibri"/>
      <b/>
      <sz val="11"/>
      <u/>
    </font>
    <font>
      <name val="Calibri"/>
      <i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horizontal="center"/>
    </xf>
    <xf numFmtId="0" fontId="5" borderId="0" fillId="0" applyFont="1" applyAlignment="1">
      <alignment horizontal="left"/>
    </xf>
    <xf numFmtId="0" fontId="5" borderId="0" fillId="0" applyFont="1" applyAlignment="1">
      <alignment horizontal="right"/>
    </xf>
    <xf numFmtId="0" fontId="6" borderId="0" fillId="0" applyFont="1" applyAlignment="1">
      <alignment vertical="center"/>
    </xf>
    <xf numFmtId="0" fontId="7" borderId="0" fillId="0" applyFont="1" applyAlignment="1">
      <alignment vertical="center" horizontal="left"/>
    </xf>
    <xf numFmtId="0" fontId="8" borderId="0" fillId="0" applyFont="1" applyAlignment="1">
      <alignment vertical="center"/>
    </xf>
    <xf numFmtId="0" fontId="8" borderId="0" fillId="0" applyFont="1" applyAlignment="1">
      <alignment vertical="center" horizontal="left"/>
    </xf>
    <xf numFmtId="0" fontId="6" borderId="0" fillId="0" applyFont="1" applyAlignment="1">
      <alignment vertical="center" horizontal="left"/>
    </xf>
    <xf numFmtId="0" fontId="6" borderId="0" fillId="0" applyFont="1" applyAlignment="1">
      <alignment vertical="center" horizontal="right"/>
    </xf>
    <xf numFmtId="0" fontId="9" borderId="0" fillId="0" applyFont="1" applyAlignment="1">
      <alignment vertical="center"/>
    </xf>
    <xf numFmtId="0" fontId="9" borderId="0" fillId="0" applyFont="1" applyAlignment="1">
      <alignment vertical="center" horizontal="left"/>
    </xf>
    <xf numFmtId="4" fontId="6" borderId="0" fillId="0" applyNumberFormat="1" applyFont="1" applyAlignment="1">
      <alignment vertical="center"/>
    </xf>
    <xf numFmtId="4" fontId="6" borderId="0" fillId="0" applyNumberFormat="1" applyFont="1" applyAlignment="1">
      <alignment vertical="center" horizontal="left"/>
    </xf>
    <xf numFmtId="0" fontId="9" borderId="0" fillId="0" applyFont="1" applyAlignment="1">
      <alignment vertical="center" wrapText="1"/>
    </xf>
    <xf numFmtId="0" fontId="7" borderId="0" fillId="0" applyFont="1" applyAlignment="1">
      <alignment vertical="center" horizontal="right"/>
    </xf>
    <xf numFmtId="3" fontId="5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6"/>
  <sheetViews>
    <sheetView tabSelected="1" workbookViewId="0"/>
  </sheetViews>
  <sheetFormatPr defaultColWidth="9.1442860194615" defaultRowHeight="12.75"/>
  <cols>
    <col min="1" max="1" customWidth="1" width="4.71428571428571"/>
    <col min="2" max="2" customWidth="1" width="41.7142857142857"/>
    <col min="3" max="3" customWidth="1" width="6.71428571428571"/>
  </cols>
  <sheetData>
    <row r="1" ht="12.75">
      <c r="A1" s="1" t="s">
        <v>0</v>
      </c>
      <c r="B1"/>
      <c r="C1"/>
    </row>
    <row r="3" ht="12.75">
      <c r="A3" s="2" t="s">
        <v>1</v>
      </c>
      <c r="B3" s="2" t="s">
        <v>2</v>
      </c>
      <c r="C3" s="3" t="s">
        <v>3</v>
      </c>
    </row>
    <row r="4" ht="12.75">
      <c r="A4" s="4"/>
      <c r="B4" s="5" t="s">
        <v>0</v>
      </c>
      <c r="C4" s="16">
        <f>SUM('4-Landscape'!F157)</f>
        <v>0</v>
      </c>
    </row>
    <row r="6" ht="12.75">
      <c r="B6" s="2" t="s">
        <v>171</v>
      </c>
      <c r="C6" s="16">
        <f>SUM(C4)</f>
        <v>0</v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F157"/>
  <sheetViews>
    <sheetView workbookViewId="0"/>
  </sheetViews>
  <sheetFormatPr defaultColWidth="9.1442860194615" defaultRowHeight="12.75"/>
  <cols>
    <col min="1" max="1" customWidth="1" width="4.71428571428571"/>
    <col min="2" max="2" customWidth="1" width="41.7142857142857"/>
    <col min="3" max="6" customWidth="1" width="6.71428571428571"/>
  </cols>
  <sheetData>
    <row r="1" ht="12.75">
      <c r="A1" s="1" t="s">
        <v>0</v>
      </c>
      <c r="B1"/>
      <c r="C1"/>
    </row>
    <row r="2" ht="12.75">
      <c r="A2" s="2" t="s">
        <v>1</v>
      </c>
      <c r="B2" s="2" t="s">
        <v>2</v>
      </c>
      <c r="C2" s="3" t="s">
        <v>4</v>
      </c>
      <c r="D2" s="3" t="s">
        <v>5</v>
      </c>
      <c r="E2" s="3" t="s">
        <v>6</v>
      </c>
      <c r="F2" s="3" t="s">
        <v>3</v>
      </c>
    </row>
    <row r="3" ht="12.75">
      <c r="A3" s="4"/>
      <c r="B3" s="7" t="s">
        <v>7</v>
      </c>
      <c r="C3" s="4"/>
      <c r="D3" s="8" t="s">
        <v>8</v>
      </c>
      <c r="E3" s="4"/>
      <c r="F3" s="9">
        <f>C3*E3</f>
        <v>0</v>
      </c>
    </row>
    <row r="4" ht="12.75">
      <c r="A4" s="4"/>
      <c r="B4" s="11" t="s">
        <v>9</v>
      </c>
      <c r="C4" s="4"/>
      <c r="D4" s="8" t="s">
        <v>10</v>
      </c>
      <c r="E4" s="4"/>
      <c r="F4" s="9">
        <f>C4*E4</f>
        <v>0</v>
      </c>
    </row>
    <row r="5" ht="12.75">
      <c r="A5" s="4"/>
      <c r="B5" s="11" t="s">
        <v>11</v>
      </c>
      <c r="C5" s="4"/>
      <c r="D5" s="8" t="s">
        <v>10</v>
      </c>
      <c r="E5" s="4"/>
      <c r="F5" s="9">
        <f>C5*E5</f>
        <v>0</v>
      </c>
    </row>
    <row r="6" ht="12.75">
      <c r="A6" s="4"/>
      <c r="B6" s="7" t="s">
        <v>12</v>
      </c>
      <c r="C6" s="4"/>
      <c r="D6" s="8" t="s">
        <v>8</v>
      </c>
      <c r="E6" s="4"/>
      <c r="F6" s="9">
        <f>C6*E6</f>
        <v>0</v>
      </c>
    </row>
    <row r="7" ht="12.75">
      <c r="A7" s="4"/>
      <c r="B7" s="11" t="s">
        <v>13</v>
      </c>
      <c r="C7" s="4"/>
      <c r="D7" s="8" t="s">
        <v>10</v>
      </c>
      <c r="E7" s="4"/>
      <c r="F7" s="9">
        <f>C7*E7</f>
        <v>0</v>
      </c>
    </row>
    <row r="8" ht="12.75">
      <c r="A8" s="4"/>
      <c r="B8" s="11" t="s">
        <v>14</v>
      </c>
      <c r="C8" s="4"/>
      <c r="D8" s="8" t="s">
        <v>10</v>
      </c>
      <c r="E8" s="4"/>
      <c r="F8" s="9">
        <f>C8*E8</f>
        <v>0</v>
      </c>
    </row>
    <row r="9" ht="12.75">
      <c r="A9" s="4"/>
      <c r="B9" s="7" t="s">
        <v>15</v>
      </c>
      <c r="C9" s="4"/>
      <c r="D9" s="8" t="s">
        <v>8</v>
      </c>
      <c r="E9" s="4"/>
      <c r="F9" s="9">
        <f>C9*E9</f>
        <v>0</v>
      </c>
    </row>
    <row r="10" ht="12.75">
      <c r="A10" s="4"/>
      <c r="B10" s="7" t="s">
        <v>16</v>
      </c>
      <c r="C10" s="4"/>
      <c r="D10" s="8" t="s">
        <v>17</v>
      </c>
      <c r="E10" s="4"/>
      <c r="F10" s="9">
        <f>C10*E10</f>
        <v>0</v>
      </c>
    </row>
    <row r="11" ht="12.75">
      <c r="A11" s="4"/>
      <c r="B11" s="11" t="s">
        <v>18</v>
      </c>
      <c r="C11" s="4"/>
      <c r="D11" s="8" t="s">
        <v>10</v>
      </c>
      <c r="E11" s="4"/>
      <c r="F11" s="9">
        <f>C11*E11</f>
        <v>0</v>
      </c>
    </row>
    <row r="12" ht="12.75">
      <c r="A12" s="4"/>
      <c r="B12" s="11" t="s">
        <v>19</v>
      </c>
      <c r="C12" s="4"/>
      <c r="D12" s="8" t="s">
        <v>10</v>
      </c>
      <c r="E12" s="4"/>
      <c r="F12" s="9">
        <f>C12*E12</f>
        <v>0</v>
      </c>
    </row>
    <row r="13" ht="12.75">
      <c r="A13" s="4"/>
      <c r="B13" s="11" t="s">
        <v>20</v>
      </c>
      <c r="C13" s="4"/>
      <c r="D13" s="8" t="s">
        <v>10</v>
      </c>
      <c r="E13" s="4"/>
      <c r="F13" s="9">
        <f>C13*E13</f>
        <v>0</v>
      </c>
    </row>
    <row r="14" ht="12.75">
      <c r="A14" s="4"/>
      <c r="B14" s="11" t="s">
        <v>21</v>
      </c>
      <c r="C14" s="4"/>
      <c r="D14" s="8" t="s">
        <v>10</v>
      </c>
      <c r="E14" s="4"/>
      <c r="F14" s="9">
        <f>C14*E14</f>
        <v>0</v>
      </c>
    </row>
    <row r="15" ht="12.75">
      <c r="A15" s="4"/>
      <c r="B15" s="11" t="s">
        <v>22</v>
      </c>
      <c r="C15" s="4"/>
      <c r="D15" s="8" t="s">
        <v>10</v>
      </c>
      <c r="E15" s="4"/>
      <c r="F15" s="9">
        <f>C15*E15</f>
        <v>0</v>
      </c>
    </row>
    <row r="16" ht="12.75">
      <c r="A16" s="4"/>
      <c r="B16" s="11" t="s">
        <v>23</v>
      </c>
      <c r="C16" s="4"/>
      <c r="D16" s="8" t="s">
        <v>10</v>
      </c>
      <c r="E16" s="4"/>
      <c r="F16" s="9">
        <f>C16*E16</f>
        <v>0</v>
      </c>
    </row>
    <row r="17" ht="12.75">
      <c r="A17" s="4"/>
      <c r="B17" s="11" t="s">
        <v>24</v>
      </c>
      <c r="C17" s="4"/>
      <c r="D17" s="8" t="s">
        <v>10</v>
      </c>
      <c r="E17" s="4"/>
      <c r="F17" s="9">
        <f>C17*E17</f>
        <v>0</v>
      </c>
    </row>
    <row r="18" ht="12.75">
      <c r="A18" s="4"/>
      <c r="B18" s="11" t="s">
        <v>25</v>
      </c>
      <c r="C18" s="4"/>
      <c r="D18" s="8" t="s">
        <v>10</v>
      </c>
      <c r="E18" s="4"/>
      <c r="F18" s="9">
        <f>C18*E18</f>
        <v>0</v>
      </c>
    </row>
    <row r="19" ht="12.75">
      <c r="A19" s="4"/>
      <c r="B19" s="7" t="s">
        <v>26</v>
      </c>
      <c r="C19" s="4"/>
      <c r="D19" s="8" t="s">
        <v>8</v>
      </c>
      <c r="E19" s="4"/>
      <c r="F19" s="9">
        <f>C19*E19</f>
        <v>0</v>
      </c>
    </row>
    <row r="20" ht="12.75">
      <c r="A20" s="4"/>
      <c r="B20" s="11" t="s">
        <v>27</v>
      </c>
      <c r="C20" s="12">
        <v>1</v>
      </c>
      <c r="D20" s="13" t="s">
        <v>28</v>
      </c>
      <c r="E20" s="4"/>
      <c r="F20" s="9">
        <f>C20*E20</f>
        <v>0</v>
      </c>
    </row>
    <row r="21" ht="12.75">
      <c r="A21" s="4"/>
      <c r="B21" s="11" t="s">
        <v>29</v>
      </c>
      <c r="C21" s="12">
        <v>1</v>
      </c>
      <c r="D21" s="13" t="s">
        <v>28</v>
      </c>
      <c r="E21" s="4"/>
      <c r="F21" s="9">
        <f>C21*E21</f>
        <v>0</v>
      </c>
    </row>
    <row r="22" ht="12.75">
      <c r="A22" s="4"/>
      <c r="B22" s="11" t="s">
        <v>30</v>
      </c>
      <c r="C22" s="12">
        <v>1</v>
      </c>
      <c r="D22" s="13" t="s">
        <v>28</v>
      </c>
      <c r="E22" s="4"/>
      <c r="F22" s="9">
        <f>C22*E22</f>
        <v>0</v>
      </c>
    </row>
    <row r="23" ht="12.75">
      <c r="A23" s="4"/>
      <c r="B23" s="11" t="s">
        <v>31</v>
      </c>
      <c r="C23" s="12">
        <v>1</v>
      </c>
      <c r="D23" s="13" t="s">
        <v>28</v>
      </c>
      <c r="E23" s="4"/>
      <c r="F23" s="9">
        <f>C23*E23</f>
        <v>0</v>
      </c>
    </row>
    <row r="24" ht="12.75">
      <c r="A24" s="4"/>
      <c r="B24" s="11" t="s">
        <v>32</v>
      </c>
      <c r="C24" s="12">
        <v>1</v>
      </c>
      <c r="D24" s="13" t="s">
        <v>28</v>
      </c>
      <c r="E24" s="4"/>
      <c r="F24" s="9">
        <f>C24*E24</f>
        <v>0</v>
      </c>
    </row>
    <row r="25" ht="12.75">
      <c r="A25" s="4"/>
      <c r="B25" s="11" t="s">
        <v>33</v>
      </c>
      <c r="C25" s="12">
        <v>1</v>
      </c>
      <c r="D25" s="13" t="s">
        <v>28</v>
      </c>
      <c r="E25" s="4"/>
      <c r="F25" s="9">
        <f>C25*E25</f>
        <v>0</v>
      </c>
    </row>
    <row r="26" ht="12.75">
      <c r="A26" s="4"/>
      <c r="B26" s="11" t="s">
        <v>34</v>
      </c>
      <c r="C26" s="12">
        <v>1</v>
      </c>
      <c r="D26" s="13" t="s">
        <v>28</v>
      </c>
      <c r="E26" s="4"/>
      <c r="F26" s="9">
        <f>C26*E26</f>
        <v>0</v>
      </c>
    </row>
    <row r="27" ht="12.75">
      <c r="A27" s="4"/>
      <c r="B27" s="11" t="s">
        <v>35</v>
      </c>
      <c r="C27" s="12">
        <v>1</v>
      </c>
      <c r="D27" s="13" t="s">
        <v>28</v>
      </c>
      <c r="E27" s="4"/>
      <c r="F27" s="9">
        <f>C27*E27</f>
        <v>0</v>
      </c>
    </row>
    <row r="28" ht="12.75">
      <c r="A28" s="4"/>
      <c r="B28" s="11" t="s">
        <v>36</v>
      </c>
      <c r="C28" s="12">
        <v>1</v>
      </c>
      <c r="D28" s="13" t="s">
        <v>28</v>
      </c>
      <c r="E28" s="4"/>
      <c r="F28" s="9">
        <f>C28*E28</f>
        <v>0</v>
      </c>
    </row>
    <row r="29" ht="12.75">
      <c r="A29" s="4"/>
      <c r="B29" s="11" t="s">
        <v>37</v>
      </c>
      <c r="C29" s="12">
        <v>1</v>
      </c>
      <c r="D29" s="13" t="s">
        <v>28</v>
      </c>
      <c r="E29" s="4"/>
      <c r="F29" s="9">
        <f>C29*E29</f>
        <v>0</v>
      </c>
    </row>
    <row r="30" ht="12.75">
      <c r="A30" s="4"/>
      <c r="B30" s="11" t="s">
        <v>38</v>
      </c>
      <c r="C30" s="12">
        <v>1</v>
      </c>
      <c r="D30" s="13" t="s">
        <v>28</v>
      </c>
      <c r="E30" s="4"/>
      <c r="F30" s="9">
        <f>C30*E30</f>
        <v>0</v>
      </c>
    </row>
    <row r="31" ht="12.75">
      <c r="A31" s="4"/>
      <c r="B31" s="7" t="s">
        <v>39</v>
      </c>
      <c r="C31" s="4"/>
      <c r="D31" s="8" t="s">
        <v>8</v>
      </c>
      <c r="E31" s="4"/>
      <c r="F31" s="9">
        <f>C31*E31</f>
        <v>0</v>
      </c>
    </row>
    <row r="32" ht="12.75">
      <c r="A32" s="10"/>
      <c r="B32" s="11" t="s">
        <v>40</v>
      </c>
      <c r="C32" s="10"/>
      <c r="D32" s="8" t="s">
        <v>10</v>
      </c>
      <c r="E32" s="10"/>
      <c r="F32" s="9">
        <f>C32*E32</f>
        <v>0</v>
      </c>
    </row>
    <row r="33" ht="12.75">
      <c r="A33" s="10"/>
      <c r="B33" s="11" t="s">
        <v>41</v>
      </c>
      <c r="C33" s="10"/>
      <c r="D33" s="8" t="s">
        <v>10</v>
      </c>
      <c r="E33" s="10"/>
      <c r="F33" s="9">
        <f>C33*E33</f>
        <v>0</v>
      </c>
    </row>
    <row r="34" ht="12.75">
      <c r="A34" s="4"/>
      <c r="B34" s="7" t="s">
        <v>42</v>
      </c>
      <c r="C34" s="4"/>
      <c r="D34" s="8" t="s">
        <v>8</v>
      </c>
      <c r="E34" s="4"/>
      <c r="F34" s="9">
        <f>C34*E34</f>
        <v>0</v>
      </c>
    </row>
    <row r="35" ht="12.75">
      <c r="A35" s="4"/>
      <c r="B35" s="7" t="s">
        <v>43</v>
      </c>
      <c r="C35" s="4"/>
      <c r="D35" s="8" t="s">
        <v>17</v>
      </c>
      <c r="E35" s="4"/>
      <c r="F35" s="9">
        <f>C35*E35</f>
        <v>0</v>
      </c>
    </row>
    <row r="36" ht="12.75">
      <c r="A36" s="4"/>
      <c r="B36" s="11" t="s">
        <v>44</v>
      </c>
      <c r="C36" s="12">
        <v>0</v>
      </c>
      <c r="D36" s="13" t="s">
        <v>45</v>
      </c>
      <c r="E36" s="4"/>
      <c r="F36" s="9">
        <f>C36*E36</f>
        <v>0</v>
      </c>
    </row>
    <row r="37" ht="12.75">
      <c r="A37" s="4"/>
      <c r="B37" s="11" t="s">
        <v>46</v>
      </c>
      <c r="C37" s="12">
        <v>0</v>
      </c>
      <c r="D37" s="13" t="s">
        <v>45</v>
      </c>
      <c r="E37" s="4"/>
      <c r="F37" s="9">
        <f>C37*E37</f>
        <v>0</v>
      </c>
    </row>
    <row r="38" ht="12.75">
      <c r="A38" s="4"/>
      <c r="B38" s="11" t="s">
        <v>47</v>
      </c>
      <c r="C38" s="12">
        <v>0</v>
      </c>
      <c r="D38" s="13" t="s">
        <v>45</v>
      </c>
      <c r="E38" s="4"/>
      <c r="F38" s="9">
        <f>C38*E38</f>
        <v>0</v>
      </c>
    </row>
    <row r="39" ht="12.75">
      <c r="A39" s="4"/>
      <c r="B39" s="11" t="s">
        <v>48</v>
      </c>
      <c r="C39" s="12">
        <v>0</v>
      </c>
      <c r="D39" s="13" t="s">
        <v>45</v>
      </c>
      <c r="E39" s="4"/>
      <c r="F39" s="9">
        <f>C39*E39</f>
        <v>0</v>
      </c>
    </row>
    <row r="40" ht="12.75">
      <c r="A40" s="4"/>
      <c r="B40" s="11" t="s">
        <v>49</v>
      </c>
      <c r="C40" s="12">
        <v>0</v>
      </c>
      <c r="D40" s="13" t="s">
        <v>45</v>
      </c>
      <c r="E40" s="4"/>
      <c r="F40" s="9">
        <f>C40*E40</f>
        <v>0</v>
      </c>
    </row>
    <row r="41" ht="12.75">
      <c r="A41" s="4"/>
      <c r="B41" s="11" t="s">
        <v>50</v>
      </c>
      <c r="C41" s="12">
        <v>0</v>
      </c>
      <c r="D41" s="13" t="s">
        <v>45</v>
      </c>
      <c r="E41" s="4"/>
      <c r="F41" s="9">
        <f>C41*E41</f>
        <v>0</v>
      </c>
    </row>
    <row r="42" ht="12.75">
      <c r="A42" s="4"/>
      <c r="B42" s="7" t="s">
        <v>51</v>
      </c>
      <c r="C42" s="4"/>
      <c r="D42" s="8" t="s">
        <v>17</v>
      </c>
      <c r="E42" s="4"/>
      <c r="F42" s="9">
        <f>C42*E42</f>
        <v>0</v>
      </c>
    </row>
    <row r="43" ht="12.75">
      <c r="A43" s="4"/>
      <c r="B43" s="5" t="s">
        <v>52</v>
      </c>
      <c r="C43" s="4"/>
      <c r="D43" s="8" t="s">
        <v>53</v>
      </c>
      <c r="E43" s="4"/>
      <c r="F43" s="9">
        <f>C43*E43</f>
        <v>0</v>
      </c>
    </row>
    <row r="44" ht="12.75">
      <c r="A44" s="10"/>
      <c r="B44" s="11" t="s">
        <v>54</v>
      </c>
      <c r="C44" s="12">
        <v>0</v>
      </c>
      <c r="D44" s="13" t="s">
        <v>55</v>
      </c>
      <c r="E44" s="10"/>
      <c r="F44" s="9">
        <f>C44*E44</f>
        <v>0</v>
      </c>
    </row>
    <row r="45" ht="12.75">
      <c r="A45" s="4"/>
      <c r="B45" s="11" t="s">
        <v>56</v>
      </c>
      <c r="C45" s="12">
        <v>0</v>
      </c>
      <c r="D45" s="13" t="s">
        <v>55</v>
      </c>
      <c r="E45" s="4"/>
      <c r="F45" s="9">
        <f>C45*E45</f>
        <v>0</v>
      </c>
    </row>
    <row r="46" ht="12.75">
      <c r="A46" s="4"/>
      <c r="B46" s="5" t="s">
        <v>57</v>
      </c>
      <c r="C46" s="4"/>
      <c r="D46" s="8" t="s">
        <v>53</v>
      </c>
      <c r="E46" s="4"/>
      <c r="F46" s="9">
        <f>C46*E46</f>
        <v>0</v>
      </c>
    </row>
    <row r="47" ht="12.75">
      <c r="A47" s="4"/>
      <c r="B47" s="11" t="s">
        <v>58</v>
      </c>
      <c r="C47" s="12">
        <v>0</v>
      </c>
      <c r="D47" s="13" t="s">
        <v>55</v>
      </c>
      <c r="E47" s="4"/>
      <c r="F47" s="9">
        <f>C47*E47</f>
        <v>0</v>
      </c>
    </row>
    <row r="48" ht="12.75">
      <c r="A48" s="4"/>
      <c r="B48" s="11" t="s">
        <v>59</v>
      </c>
      <c r="C48" s="12">
        <v>0</v>
      </c>
      <c r="D48" s="13" t="s">
        <v>55</v>
      </c>
      <c r="E48" s="4"/>
      <c r="F48" s="9">
        <f>C48*E48</f>
        <v>0</v>
      </c>
    </row>
    <row r="49" ht="12.75">
      <c r="A49" s="4"/>
      <c r="B49" s="11" t="s">
        <v>60</v>
      </c>
      <c r="C49" s="12">
        <v>0</v>
      </c>
      <c r="D49" s="13" t="s">
        <v>55</v>
      </c>
      <c r="E49" s="4"/>
      <c r="F49" s="9">
        <f>C49*E49</f>
        <v>0</v>
      </c>
    </row>
    <row r="50" ht="12.75">
      <c r="A50" s="4"/>
      <c r="B50" s="11" t="s">
        <v>61</v>
      </c>
      <c r="C50" s="12">
        <v>0</v>
      </c>
      <c r="D50" s="13" t="s">
        <v>55</v>
      </c>
      <c r="E50" s="4"/>
      <c r="F50" s="9">
        <f>C50*E50</f>
        <v>0</v>
      </c>
    </row>
    <row r="51" ht="12.75">
      <c r="A51" s="4"/>
      <c r="B51" s="11" t="s">
        <v>62</v>
      </c>
      <c r="C51" s="12">
        <v>0</v>
      </c>
      <c r="D51" s="13" t="s">
        <v>55</v>
      </c>
      <c r="E51" s="4"/>
      <c r="F51" s="9">
        <f>C51*E51</f>
        <v>0</v>
      </c>
    </row>
    <row r="52" ht="12.75">
      <c r="A52" s="4"/>
      <c r="B52" s="11" t="s">
        <v>63</v>
      </c>
      <c r="C52" s="12">
        <v>0</v>
      </c>
      <c r="D52" s="13" t="s">
        <v>55</v>
      </c>
      <c r="E52" s="4"/>
      <c r="F52" s="9">
        <f>C52*E52</f>
        <v>0</v>
      </c>
    </row>
    <row r="53" ht="12.75">
      <c r="A53" s="4"/>
      <c r="B53" s="11" t="s">
        <v>64</v>
      </c>
      <c r="C53" s="12">
        <v>0</v>
      </c>
      <c r="D53" s="13" t="s">
        <v>55</v>
      </c>
      <c r="E53" s="4"/>
      <c r="F53" s="9">
        <f>C53*E53</f>
        <v>0</v>
      </c>
    </row>
    <row r="54" ht="12.75">
      <c r="A54" s="4"/>
      <c r="B54" s="11" t="s">
        <v>65</v>
      </c>
      <c r="C54" s="12">
        <v>0</v>
      </c>
      <c r="D54" s="13" t="s">
        <v>55</v>
      </c>
      <c r="E54" s="4"/>
      <c r="F54" s="9">
        <f>C54*E54</f>
        <v>0</v>
      </c>
    </row>
    <row r="55" ht="12.75">
      <c r="A55" s="4"/>
      <c r="B55" s="11" t="s">
        <v>66</v>
      </c>
      <c r="C55" s="12">
        <v>0</v>
      </c>
      <c r="D55" s="13" t="s">
        <v>67</v>
      </c>
      <c r="E55" s="4"/>
      <c r="F55" s="9">
        <f>C55*E55</f>
        <v>0</v>
      </c>
    </row>
    <row r="56" ht="12.75">
      <c r="A56" s="4"/>
      <c r="B56" s="11" t="s">
        <v>68</v>
      </c>
      <c r="C56" s="12">
        <v>0</v>
      </c>
      <c r="D56" s="13" t="s">
        <v>67</v>
      </c>
      <c r="E56" s="4"/>
      <c r="F56" s="9">
        <f>C56*E56</f>
        <v>0</v>
      </c>
    </row>
    <row r="57" ht="12.75">
      <c r="A57" s="4"/>
      <c r="B57" s="11" t="s">
        <v>69</v>
      </c>
      <c r="C57" s="12">
        <v>0</v>
      </c>
      <c r="D57" s="13" t="s">
        <v>67</v>
      </c>
      <c r="E57" s="4"/>
      <c r="F57" s="9">
        <f>C57*E57</f>
        <v>0</v>
      </c>
    </row>
    <row r="58" ht="12.75">
      <c r="A58" s="4"/>
      <c r="B58" s="11" t="s">
        <v>70</v>
      </c>
      <c r="C58" s="12">
        <v>0</v>
      </c>
      <c r="D58" s="13" t="s">
        <v>67</v>
      </c>
      <c r="E58" s="4"/>
      <c r="F58" s="9">
        <f>C58*E58</f>
        <v>0</v>
      </c>
    </row>
    <row r="59" ht="12.75">
      <c r="A59" s="4"/>
      <c r="B59" s="11" t="s">
        <v>71</v>
      </c>
      <c r="C59" s="12">
        <v>0</v>
      </c>
      <c r="D59" s="13" t="s">
        <v>67</v>
      </c>
      <c r="E59" s="4"/>
      <c r="F59" s="9">
        <f>C59*E59</f>
        <v>0</v>
      </c>
    </row>
    <row r="60" ht="12.75">
      <c r="A60" s="4"/>
      <c r="B60" s="11" t="s">
        <v>72</v>
      </c>
      <c r="C60" s="12">
        <v>0</v>
      </c>
      <c r="D60" s="13" t="s">
        <v>67</v>
      </c>
      <c r="E60" s="4"/>
      <c r="F60" s="9">
        <f>C60*E60</f>
        <v>0</v>
      </c>
    </row>
    <row r="61" ht="12.75">
      <c r="A61" s="4"/>
      <c r="B61" s="11" t="s">
        <v>73</v>
      </c>
      <c r="C61" s="12">
        <v>0</v>
      </c>
      <c r="D61" s="13" t="s">
        <v>67</v>
      </c>
      <c r="E61" s="4"/>
      <c r="F61" s="9">
        <f>C61*E61</f>
        <v>0</v>
      </c>
    </row>
    <row r="62" ht="12.75">
      <c r="A62" s="4"/>
      <c r="B62" s="11" t="s">
        <v>74</v>
      </c>
      <c r="C62" s="12">
        <v>0</v>
      </c>
      <c r="D62" s="13" t="s">
        <v>67</v>
      </c>
      <c r="E62" s="4"/>
      <c r="F62" s="9">
        <f>C62*E62</f>
        <v>0</v>
      </c>
    </row>
    <row r="63" ht="12.75">
      <c r="A63" s="4"/>
      <c r="B63" s="11" t="s">
        <v>75</v>
      </c>
      <c r="C63" s="12">
        <v>0</v>
      </c>
      <c r="D63" s="13" t="s">
        <v>67</v>
      </c>
      <c r="E63" s="4"/>
      <c r="F63" s="9">
        <f>C63*E63</f>
        <v>0</v>
      </c>
    </row>
    <row r="64" ht="12.75">
      <c r="A64" s="4"/>
      <c r="B64" s="11" t="s">
        <v>76</v>
      </c>
      <c r="C64" s="12">
        <v>0</v>
      </c>
      <c r="D64" s="13" t="s">
        <v>67</v>
      </c>
      <c r="E64" s="4"/>
      <c r="F64" s="9">
        <f>C64*E64</f>
        <v>0</v>
      </c>
    </row>
    <row r="65" ht="12.75">
      <c r="A65" s="4"/>
      <c r="B65" s="11" t="s">
        <v>77</v>
      </c>
      <c r="C65" s="12">
        <v>0</v>
      </c>
      <c r="D65" s="13" t="s">
        <v>67</v>
      </c>
      <c r="E65" s="4"/>
      <c r="F65" s="9">
        <f>C65*E65</f>
        <v>0</v>
      </c>
    </row>
    <row r="66" ht="12.75">
      <c r="A66" s="4"/>
      <c r="B66" s="11" t="s">
        <v>78</v>
      </c>
      <c r="C66" s="12">
        <v>0</v>
      </c>
      <c r="D66" s="13" t="s">
        <v>67</v>
      </c>
      <c r="E66" s="4"/>
      <c r="F66" s="9">
        <f>C66*E66</f>
        <v>0</v>
      </c>
    </row>
    <row r="67" ht="12.75">
      <c r="A67" s="4"/>
      <c r="B67" s="5" t="s">
        <v>79</v>
      </c>
      <c r="C67" s="4"/>
      <c r="D67" s="8" t="s">
        <v>53</v>
      </c>
      <c r="E67" s="4"/>
      <c r="F67" s="9">
        <f>C67*E67</f>
        <v>0</v>
      </c>
    </row>
    <row r="68" ht="12.75">
      <c r="A68" s="4"/>
      <c r="B68" s="11" t="s">
        <v>80</v>
      </c>
      <c r="C68" s="12">
        <v>0</v>
      </c>
      <c r="D68" s="13" t="s">
        <v>55</v>
      </c>
      <c r="E68" s="4"/>
      <c r="F68" s="9">
        <f>C68*E68</f>
        <v>0</v>
      </c>
    </row>
    <row r="69" ht="12.75">
      <c r="A69" s="4"/>
      <c r="B69" s="11" t="s">
        <v>81</v>
      </c>
      <c r="C69" s="12">
        <v>0</v>
      </c>
      <c r="D69" s="13" t="s">
        <v>55</v>
      </c>
      <c r="E69" s="4"/>
      <c r="F69" s="9">
        <f>C69*E69</f>
        <v>0</v>
      </c>
    </row>
    <row r="70" ht="12.75">
      <c r="A70" s="4"/>
      <c r="B70" s="11" t="s">
        <v>82</v>
      </c>
      <c r="C70" s="12">
        <v>0</v>
      </c>
      <c r="D70" s="13" t="s">
        <v>55</v>
      </c>
      <c r="E70" s="4"/>
      <c r="F70" s="9">
        <f>C70*E70</f>
        <v>0</v>
      </c>
    </row>
    <row r="71" ht="12.75">
      <c r="A71" s="4"/>
      <c r="B71" s="5" t="s">
        <v>83</v>
      </c>
      <c r="C71" s="4"/>
      <c r="D71" s="8" t="s">
        <v>53</v>
      </c>
      <c r="E71" s="4"/>
      <c r="F71" s="9">
        <f>C71*E71</f>
        <v>0</v>
      </c>
    </row>
    <row r="72" ht="12.75">
      <c r="A72" s="4"/>
      <c r="B72" s="11" t="s">
        <v>84</v>
      </c>
      <c r="C72" s="12">
        <v>0</v>
      </c>
      <c r="D72" s="13" t="s">
        <v>67</v>
      </c>
      <c r="E72" s="4"/>
      <c r="F72" s="9">
        <f>C72*E72</f>
        <v>0</v>
      </c>
    </row>
    <row r="73" ht="12.75">
      <c r="A73" s="4"/>
      <c r="B73" s="5" t="s">
        <v>85</v>
      </c>
      <c r="C73" s="4"/>
      <c r="D73" s="8" t="s">
        <v>53</v>
      </c>
      <c r="E73" s="4"/>
      <c r="F73" s="9">
        <f>C73*E73</f>
        <v>0</v>
      </c>
    </row>
    <row r="74" ht="12.75">
      <c r="A74" s="4"/>
      <c r="B74" s="11" t="s">
        <v>86</v>
      </c>
      <c r="C74" s="12">
        <v>0</v>
      </c>
      <c r="D74" s="13" t="s">
        <v>55</v>
      </c>
      <c r="E74" s="4"/>
      <c r="F74" s="9">
        <f>C74*E74</f>
        <v>0</v>
      </c>
    </row>
    <row r="75" ht="12.75">
      <c r="A75" s="4"/>
      <c r="B75" s="5" t="s">
        <v>87</v>
      </c>
      <c r="C75" s="4"/>
      <c r="D75" s="8" t="s">
        <v>53</v>
      </c>
      <c r="E75" s="4"/>
      <c r="F75" s="9">
        <f>C75*E75</f>
        <v>0</v>
      </c>
    </row>
    <row r="76" ht="12.75">
      <c r="A76" s="4"/>
      <c r="B76" s="11" t="s">
        <v>88</v>
      </c>
      <c r="C76" s="12">
        <v>0</v>
      </c>
      <c r="D76" s="13" t="s">
        <v>45</v>
      </c>
      <c r="E76" s="4"/>
      <c r="F76" s="9">
        <f>C76*E76</f>
        <v>0</v>
      </c>
    </row>
    <row r="77" ht="12.75">
      <c r="A77" s="4"/>
      <c r="B77" s="5" t="s">
        <v>89</v>
      </c>
      <c r="C77" s="4"/>
      <c r="D77" s="8" t="s">
        <v>53</v>
      </c>
      <c r="E77" s="4"/>
      <c r="F77" s="9">
        <f>C77*E77</f>
        <v>0</v>
      </c>
    </row>
    <row r="78" ht="12.75">
      <c r="A78" s="4"/>
      <c r="B78" s="11" t="s">
        <v>90</v>
      </c>
      <c r="C78" s="12">
        <v>9</v>
      </c>
      <c r="D78" s="13" t="s">
        <v>91</v>
      </c>
      <c r="E78" s="4"/>
      <c r="F78" s="9">
        <f>C78*E78</f>
        <v>0</v>
      </c>
    </row>
    <row r="79" ht="12.75">
      <c r="A79" s="4"/>
      <c r="B79" s="11" t="s">
        <v>92</v>
      </c>
      <c r="C79" s="12">
        <v>43</v>
      </c>
      <c r="D79" s="13" t="s">
        <v>45</v>
      </c>
      <c r="E79" s="4"/>
      <c r="F79" s="9">
        <f>C79*E79</f>
        <v>0</v>
      </c>
    </row>
    <row r="80" ht="12.75">
      <c r="A80" s="4"/>
      <c r="B80" s="11" t="s">
        <v>93</v>
      </c>
      <c r="C80" s="12">
        <v>1.27</v>
      </c>
      <c r="D80" s="13" t="s">
        <v>94</v>
      </c>
      <c r="E80" s="4"/>
      <c r="F80" s="9">
        <f>C80*E80</f>
        <v>0</v>
      </c>
    </row>
    <row r="81" ht="12.75">
      <c r="A81" s="4"/>
      <c r="B81" s="11" t="s">
        <v>95</v>
      </c>
      <c r="C81" s="12">
        <v>43</v>
      </c>
      <c r="D81" s="13" t="s">
        <v>45</v>
      </c>
      <c r="E81" s="4"/>
      <c r="F81" s="9">
        <f>C81*E81</f>
        <v>0</v>
      </c>
    </row>
    <row r="82" ht="12.75">
      <c r="A82" s="4"/>
      <c r="B82" s="5" t="s">
        <v>96</v>
      </c>
      <c r="C82" s="4"/>
      <c r="D82" s="8" t="s">
        <v>53</v>
      </c>
      <c r="E82" s="4"/>
      <c r="F82" s="9">
        <f>C82*E82</f>
        <v>0</v>
      </c>
    </row>
    <row r="83" ht="12.75">
      <c r="A83" s="4"/>
      <c r="B83" s="11" t="s">
        <v>97</v>
      </c>
      <c r="C83" s="12">
        <v>0</v>
      </c>
      <c r="D83" s="13" t="s">
        <v>67</v>
      </c>
      <c r="E83" s="4"/>
      <c r="F83" s="9">
        <f>C83*E83</f>
        <v>0</v>
      </c>
    </row>
    <row r="84" ht="12.75">
      <c r="A84" s="4"/>
      <c r="B84" s="11" t="s">
        <v>98</v>
      </c>
      <c r="C84" s="12">
        <v>0</v>
      </c>
      <c r="D84" s="13" t="s">
        <v>67</v>
      </c>
      <c r="E84" s="4"/>
      <c r="F84" s="9">
        <f>C84*E84</f>
        <v>0</v>
      </c>
    </row>
    <row r="85" ht="12.75">
      <c r="A85" s="4"/>
      <c r="B85" s="5" t="s">
        <v>99</v>
      </c>
      <c r="C85" s="4"/>
      <c r="D85" s="8" t="s">
        <v>53</v>
      </c>
      <c r="E85" s="4"/>
      <c r="F85" s="9">
        <f>C85*E85</f>
        <v>0</v>
      </c>
    </row>
    <row r="86" ht="12.75">
      <c r="A86" s="4"/>
      <c r="B86" s="11" t="s">
        <v>100</v>
      </c>
      <c r="C86" s="12">
        <v>0</v>
      </c>
      <c r="D86" s="13" t="s">
        <v>67</v>
      </c>
      <c r="E86" s="4"/>
      <c r="F86" s="9">
        <f>C86*E86</f>
        <v>0</v>
      </c>
    </row>
    <row r="87" ht="12.75">
      <c r="A87" s="4"/>
      <c r="B87" s="11" t="s">
        <v>101</v>
      </c>
      <c r="C87" s="12">
        <v>0</v>
      </c>
      <c r="D87" s="13" t="s">
        <v>67</v>
      </c>
      <c r="E87" s="4"/>
      <c r="F87" s="9">
        <f>C87*E87</f>
        <v>0</v>
      </c>
    </row>
    <row r="88" ht="12.75">
      <c r="A88" s="4"/>
      <c r="B88" s="11" t="s">
        <v>102</v>
      </c>
      <c r="C88" s="12">
        <v>0</v>
      </c>
      <c r="D88" s="13" t="s">
        <v>67</v>
      </c>
      <c r="E88" s="4"/>
      <c r="F88" s="9">
        <f>C88*E88</f>
        <v>0</v>
      </c>
    </row>
    <row r="89" ht="12.75">
      <c r="A89" s="4"/>
      <c r="B89" s="11" t="s">
        <v>103</v>
      </c>
      <c r="C89" s="12">
        <v>0</v>
      </c>
      <c r="D89" s="13" t="s">
        <v>67</v>
      </c>
      <c r="E89" s="4"/>
      <c r="F89" s="9">
        <f>C89*E89</f>
        <v>0</v>
      </c>
    </row>
    <row r="90" ht="12.75">
      <c r="A90" s="4"/>
      <c r="B90" s="5" t="s">
        <v>104</v>
      </c>
      <c r="C90" s="4"/>
      <c r="D90" s="8" t="s">
        <v>53</v>
      </c>
      <c r="E90" s="4"/>
      <c r="F90" s="9">
        <f>C90*E90</f>
        <v>0</v>
      </c>
    </row>
    <row r="91" ht="12.75">
      <c r="A91" s="4"/>
      <c r="B91" s="11" t="s">
        <v>105</v>
      </c>
      <c r="C91" s="12">
        <v>0</v>
      </c>
      <c r="D91" s="13" t="s">
        <v>67</v>
      </c>
      <c r="E91" s="4"/>
      <c r="F91" s="9">
        <f>C91*E91</f>
        <v>0</v>
      </c>
    </row>
    <row r="92" ht="12.75">
      <c r="A92" s="4"/>
      <c r="B92" s="5" t="s">
        <v>106</v>
      </c>
      <c r="C92" s="4"/>
      <c r="D92" s="8" t="s">
        <v>53</v>
      </c>
      <c r="E92" s="4"/>
      <c r="F92" s="9">
        <f>C92*E92</f>
        <v>0</v>
      </c>
    </row>
    <row r="93" ht="12.75">
      <c r="A93" s="4"/>
      <c r="B93" s="11" t="s">
        <v>107</v>
      </c>
      <c r="C93" s="12">
        <v>0</v>
      </c>
      <c r="D93" s="13" t="s">
        <v>67</v>
      </c>
      <c r="E93" s="4"/>
      <c r="F93" s="9">
        <f>C93*E93</f>
        <v>0</v>
      </c>
    </row>
    <row r="94" ht="12.75">
      <c r="A94" s="4"/>
      <c r="B94" s="5" t="s">
        <v>108</v>
      </c>
      <c r="C94" s="4"/>
      <c r="D94" s="8" t="s">
        <v>53</v>
      </c>
      <c r="E94" s="4"/>
      <c r="F94" s="9">
        <f>C94*E94</f>
        <v>0</v>
      </c>
    </row>
    <row r="95" ht="12.75">
      <c r="A95" s="4"/>
      <c r="B95" s="11" t="s">
        <v>109</v>
      </c>
      <c r="C95" s="12">
        <v>0</v>
      </c>
      <c r="D95" s="13" t="s">
        <v>55</v>
      </c>
      <c r="E95" s="4"/>
      <c r="F95" s="9">
        <f>C95*E95</f>
        <v>0</v>
      </c>
    </row>
    <row r="96" ht="12.75">
      <c r="A96" s="4"/>
      <c r="B96" s="6" t="s">
        <v>110</v>
      </c>
      <c r="C96" s="4"/>
      <c r="D96" s="4" t="s">
        <v>8</v>
      </c>
      <c r="E96" s="4"/>
      <c r="F96" s="9">
        <f>C96*E96</f>
        <v>0</v>
      </c>
    </row>
    <row r="97" ht="12.75">
      <c r="A97" s="4"/>
      <c r="B97" s="6" t="s">
        <v>111</v>
      </c>
      <c r="C97" s="4"/>
      <c r="D97" s="4" t="s">
        <v>17</v>
      </c>
      <c r="E97" s="4"/>
      <c r="F97" s="9">
        <f>C97*E97</f>
        <v>0</v>
      </c>
    </row>
    <row r="98" ht="12.75">
      <c r="A98" s="4"/>
      <c r="B98" s="10" t="s">
        <v>112</v>
      </c>
      <c r="C98" s="12">
        <v>0</v>
      </c>
      <c r="D98" s="12" t="s">
        <v>55</v>
      </c>
      <c r="E98" s="4"/>
      <c r="F98" s="9">
        <f>C98*E98</f>
        <v>0</v>
      </c>
    </row>
    <row r="99" ht="12.75">
      <c r="A99" s="4"/>
      <c r="B99" s="10" t="s">
        <v>113</v>
      </c>
      <c r="C99" s="12">
        <v>0</v>
      </c>
      <c r="D99" s="12" t="s">
        <v>55</v>
      </c>
      <c r="E99" s="4"/>
      <c r="F99" s="9">
        <f>C99*E99</f>
        <v>0</v>
      </c>
    </row>
    <row r="100" ht="12.75">
      <c r="A100" s="4"/>
      <c r="B100" s="14" t="s">
        <v>114</v>
      </c>
      <c r="C100" s="12">
        <v>0</v>
      </c>
      <c r="D100" s="12" t="s">
        <v>55</v>
      </c>
      <c r="E100" s="4"/>
      <c r="F100" s="9">
        <f>C100*E100</f>
        <v>0</v>
      </c>
    </row>
    <row r="101" ht="12.75">
      <c r="A101" s="4"/>
      <c r="B101" s="10" t="s">
        <v>115</v>
      </c>
      <c r="C101" s="12">
        <v>0</v>
      </c>
      <c r="D101" s="12" t="s">
        <v>55</v>
      </c>
      <c r="E101" s="4"/>
      <c r="F101" s="9">
        <f>C101*E101</f>
        <v>0</v>
      </c>
    </row>
    <row r="102" ht="12.75">
      <c r="A102" s="4"/>
      <c r="B102" s="10" t="s">
        <v>116</v>
      </c>
      <c r="C102" s="12">
        <v>0</v>
      </c>
      <c r="D102" s="12" t="s">
        <v>55</v>
      </c>
      <c r="E102" s="4"/>
      <c r="F102" s="9">
        <f>C102*E102</f>
        <v>0</v>
      </c>
    </row>
    <row r="103" ht="12.75">
      <c r="A103" s="4"/>
      <c r="B103" s="10" t="s">
        <v>117</v>
      </c>
      <c r="C103" s="12">
        <v>0</v>
      </c>
      <c r="D103" s="12" t="s">
        <v>55</v>
      </c>
      <c r="E103" s="4"/>
      <c r="F103" s="9">
        <f>C103*E103</f>
        <v>0</v>
      </c>
    </row>
    <row r="104" ht="12.75">
      <c r="A104" s="4"/>
      <c r="B104" s="10" t="s">
        <v>118</v>
      </c>
      <c r="C104" s="12">
        <v>0</v>
      </c>
      <c r="D104" s="12" t="s">
        <v>55</v>
      </c>
      <c r="E104" s="4"/>
      <c r="F104" s="9">
        <f>C104*E104</f>
        <v>0</v>
      </c>
    </row>
    <row r="105" ht="12.75">
      <c r="A105" s="4"/>
      <c r="B105" s="10" t="s">
        <v>119</v>
      </c>
      <c r="C105" s="12">
        <v>0</v>
      </c>
      <c r="D105" s="12" t="s">
        <v>55</v>
      </c>
      <c r="E105" s="4"/>
      <c r="F105" s="9">
        <f>C105*E105</f>
        <v>0</v>
      </c>
    </row>
    <row r="106" ht="12.75">
      <c r="A106" s="4"/>
      <c r="B106" s="14" t="s">
        <v>120</v>
      </c>
      <c r="C106" s="12">
        <v>0</v>
      </c>
      <c r="D106" s="12" t="s">
        <v>55</v>
      </c>
      <c r="E106" s="4"/>
      <c r="F106" s="9">
        <f>C106*E106</f>
        <v>0</v>
      </c>
    </row>
    <row r="107" ht="12.75">
      <c r="A107" s="4"/>
      <c r="B107" s="10" t="s">
        <v>121</v>
      </c>
      <c r="C107" s="12">
        <v>0</v>
      </c>
      <c r="D107" s="12" t="s">
        <v>55</v>
      </c>
      <c r="E107" s="4"/>
      <c r="F107" s="9">
        <f>C107*E107</f>
        <v>0</v>
      </c>
    </row>
    <row r="108" ht="12.75">
      <c r="A108" s="4"/>
      <c r="B108" s="10" t="s">
        <v>122</v>
      </c>
      <c r="C108" s="12">
        <v>0</v>
      </c>
      <c r="D108" s="12" t="s">
        <v>55</v>
      </c>
      <c r="E108" s="4"/>
      <c r="F108" s="9">
        <f>C108*E108</f>
        <v>0</v>
      </c>
    </row>
    <row r="109" ht="12.75">
      <c r="A109" s="4"/>
      <c r="B109" s="10" t="s">
        <v>123</v>
      </c>
      <c r="C109" s="12">
        <v>0</v>
      </c>
      <c r="D109" s="12" t="s">
        <v>55</v>
      </c>
      <c r="E109" s="4"/>
      <c r="F109" s="9">
        <f>C109*E109</f>
        <v>0</v>
      </c>
    </row>
    <row r="110" ht="12.75">
      <c r="A110" s="4"/>
      <c r="B110" s="6" t="s">
        <v>124</v>
      </c>
      <c r="C110" s="4"/>
      <c r="D110" s="4" t="s">
        <v>17</v>
      </c>
      <c r="E110" s="4"/>
      <c r="F110" s="9">
        <f>C110*E110</f>
        <v>0</v>
      </c>
    </row>
    <row r="111" ht="12.75">
      <c r="A111" s="4"/>
      <c r="B111" s="10" t="s">
        <v>125</v>
      </c>
      <c r="C111" s="12">
        <v>0</v>
      </c>
      <c r="D111" s="12" t="s">
        <v>55</v>
      </c>
      <c r="E111" s="4"/>
      <c r="F111" s="9">
        <f>C111*E111</f>
        <v>0</v>
      </c>
    </row>
    <row r="112" ht="12.75">
      <c r="A112" s="4"/>
      <c r="B112" s="10" t="s">
        <v>126</v>
      </c>
      <c r="C112" s="12">
        <v>0</v>
      </c>
      <c r="D112" s="12" t="s">
        <v>55</v>
      </c>
      <c r="E112" s="4"/>
      <c r="F112" s="9">
        <f>C112*E112</f>
        <v>0</v>
      </c>
    </row>
    <row r="113" ht="12.75">
      <c r="A113" s="4"/>
      <c r="B113" s="10" t="s">
        <v>127</v>
      </c>
      <c r="C113" s="12">
        <v>0</v>
      </c>
      <c r="D113" s="12" t="s">
        <v>55</v>
      </c>
      <c r="E113" s="4"/>
      <c r="F113" s="9">
        <f>C113*E113</f>
        <v>0</v>
      </c>
    </row>
    <row r="114" ht="12.75">
      <c r="A114" s="4"/>
      <c r="B114" s="10" t="s">
        <v>128</v>
      </c>
      <c r="C114" s="12">
        <v>0</v>
      </c>
      <c r="D114" s="12" t="s">
        <v>55</v>
      </c>
      <c r="E114" s="4"/>
      <c r="F114" s="9">
        <f>C114*E114</f>
        <v>0</v>
      </c>
    </row>
    <row r="115" ht="12.75">
      <c r="A115" s="4"/>
      <c r="B115" s="10" t="s">
        <v>129</v>
      </c>
      <c r="C115" s="12">
        <v>0</v>
      </c>
      <c r="D115" s="12" t="s">
        <v>55</v>
      </c>
      <c r="E115" s="4"/>
      <c r="F115" s="9">
        <f>C115*E115</f>
        <v>0</v>
      </c>
    </row>
    <row r="116" ht="12.75">
      <c r="A116" s="4"/>
      <c r="B116" s="10" t="s">
        <v>130</v>
      </c>
      <c r="C116" s="12">
        <v>0</v>
      </c>
      <c r="D116" s="12" t="s">
        <v>55</v>
      </c>
      <c r="E116" s="4"/>
      <c r="F116" s="9">
        <f>C116*E116</f>
        <v>0</v>
      </c>
    </row>
    <row r="117" ht="12.75">
      <c r="A117" s="4"/>
      <c r="B117" s="10" t="s">
        <v>131</v>
      </c>
      <c r="C117" s="12">
        <v>0</v>
      </c>
      <c r="D117" s="12" t="s">
        <v>55</v>
      </c>
      <c r="E117" s="4"/>
      <c r="F117" s="9">
        <f>C117*E117</f>
        <v>0</v>
      </c>
    </row>
    <row r="118" ht="12.75">
      <c r="A118" s="4"/>
      <c r="B118" s="10" t="s">
        <v>132</v>
      </c>
      <c r="C118" s="12">
        <v>0</v>
      </c>
      <c r="D118" s="12" t="s">
        <v>55</v>
      </c>
      <c r="E118" s="4"/>
      <c r="F118" s="9">
        <f>C118*E118</f>
        <v>0</v>
      </c>
    </row>
    <row r="119" ht="12.75">
      <c r="A119" s="4"/>
      <c r="B119" s="10" t="s">
        <v>133</v>
      </c>
      <c r="C119" s="12">
        <v>0</v>
      </c>
      <c r="D119" s="12" t="s">
        <v>55</v>
      </c>
      <c r="E119" s="4"/>
      <c r="F119" s="9">
        <f>C119*E119</f>
        <v>0</v>
      </c>
    </row>
    <row r="120" ht="12.75">
      <c r="A120" s="4"/>
      <c r="B120" s="10" t="s">
        <v>134</v>
      </c>
      <c r="C120" s="12">
        <v>0</v>
      </c>
      <c r="D120" s="12" t="s">
        <v>55</v>
      </c>
      <c r="E120" s="4"/>
      <c r="F120" s="9">
        <f>C120*E120</f>
        <v>0</v>
      </c>
    </row>
    <row r="121" ht="12.75">
      <c r="A121" s="4"/>
      <c r="B121" s="10" t="s">
        <v>135</v>
      </c>
      <c r="C121" s="12">
        <v>0</v>
      </c>
      <c r="D121" s="12" t="s">
        <v>55</v>
      </c>
      <c r="E121" s="4"/>
      <c r="F121" s="9">
        <f>C121*E121</f>
        <v>0</v>
      </c>
    </row>
    <row r="122" ht="12.75">
      <c r="A122" s="4"/>
      <c r="B122" s="10" t="s">
        <v>136</v>
      </c>
      <c r="C122" s="12">
        <v>0</v>
      </c>
      <c r="D122" s="12" t="s">
        <v>55</v>
      </c>
      <c r="E122" s="4"/>
      <c r="F122" s="9">
        <f>C122*E122</f>
        <v>0</v>
      </c>
    </row>
    <row r="123" ht="12.75">
      <c r="A123" s="4"/>
      <c r="B123" s="10" t="s">
        <v>137</v>
      </c>
      <c r="C123" s="12">
        <v>0</v>
      </c>
      <c r="D123" s="12" t="s">
        <v>55</v>
      </c>
      <c r="E123" s="4"/>
      <c r="F123" s="9">
        <f>C123*E123</f>
        <v>0</v>
      </c>
    </row>
    <row r="124" ht="12.75">
      <c r="A124" s="4"/>
      <c r="B124" s="10" t="s">
        <v>138</v>
      </c>
      <c r="C124" s="12">
        <v>0</v>
      </c>
      <c r="D124" s="12" t="s">
        <v>55</v>
      </c>
      <c r="E124" s="4"/>
      <c r="F124" s="9">
        <f>C124*E124</f>
        <v>0</v>
      </c>
    </row>
    <row r="125" ht="12.75">
      <c r="A125" s="4"/>
      <c r="B125" s="10" t="s">
        <v>139</v>
      </c>
      <c r="C125" s="12">
        <v>0</v>
      </c>
      <c r="D125" s="12" t="s">
        <v>55</v>
      </c>
      <c r="E125" s="4"/>
      <c r="F125" s="9">
        <f>C125*E125</f>
        <v>0</v>
      </c>
    </row>
    <row r="126" ht="12.75">
      <c r="A126" s="4"/>
      <c r="B126" s="7" t="s">
        <v>140</v>
      </c>
      <c r="C126" s="4"/>
      <c r="D126" s="4" t="s">
        <v>17</v>
      </c>
      <c r="E126" s="4"/>
      <c r="F126" s="9">
        <f>C126*E126</f>
        <v>0</v>
      </c>
    </row>
    <row r="127" ht="12.75">
      <c r="A127" s="4"/>
      <c r="B127" s="10" t="s">
        <v>141</v>
      </c>
      <c r="C127" s="12">
        <v>0</v>
      </c>
      <c r="D127" s="12" t="s">
        <v>55</v>
      </c>
      <c r="E127" s="4"/>
      <c r="F127" s="9">
        <f>C127*E127</f>
        <v>0</v>
      </c>
    </row>
    <row r="128" ht="12.75">
      <c r="A128" s="4"/>
      <c r="B128" s="10" t="s">
        <v>142</v>
      </c>
      <c r="C128" s="12">
        <v>0</v>
      </c>
      <c r="D128" s="12" t="s">
        <v>55</v>
      </c>
      <c r="E128" s="4"/>
      <c r="F128" s="9">
        <f>C128*E128</f>
        <v>0</v>
      </c>
    </row>
    <row r="129" ht="12.75">
      <c r="A129" s="4"/>
      <c r="B129" s="10" t="s">
        <v>143</v>
      </c>
      <c r="C129" s="12">
        <v>0</v>
      </c>
      <c r="D129" s="12" t="s">
        <v>55</v>
      </c>
      <c r="E129" s="4"/>
      <c r="F129" s="9">
        <f>C129*E129</f>
        <v>0</v>
      </c>
    </row>
    <row r="130" ht="12.75">
      <c r="A130" s="4"/>
      <c r="B130" s="10" t="s">
        <v>144</v>
      </c>
      <c r="C130" s="12">
        <v>0</v>
      </c>
      <c r="D130" s="12" t="s">
        <v>55</v>
      </c>
      <c r="E130" s="4"/>
      <c r="F130" s="9">
        <f>C130*E130</f>
        <v>0</v>
      </c>
    </row>
    <row r="131" ht="12.75">
      <c r="A131" s="4"/>
      <c r="B131" s="10" t="s">
        <v>145</v>
      </c>
      <c r="C131" s="12">
        <v>0</v>
      </c>
      <c r="D131" s="12" t="s">
        <v>55</v>
      </c>
      <c r="E131" s="4"/>
      <c r="F131" s="9">
        <f>C131*E131</f>
        <v>0</v>
      </c>
    </row>
    <row r="132" ht="12.75">
      <c r="A132" s="4"/>
      <c r="B132" s="10" t="s">
        <v>146</v>
      </c>
      <c r="C132" s="12">
        <v>0</v>
      </c>
      <c r="D132" s="12" t="s">
        <v>55</v>
      </c>
      <c r="E132" s="4"/>
      <c r="F132" s="9">
        <f>C132*E132</f>
        <v>0</v>
      </c>
    </row>
    <row r="133" ht="12.75">
      <c r="A133" s="4"/>
      <c r="B133" s="10" t="s">
        <v>147</v>
      </c>
      <c r="C133" s="12">
        <v>0</v>
      </c>
      <c r="D133" s="12" t="s">
        <v>55</v>
      </c>
      <c r="E133" s="4"/>
      <c r="F133" s="9">
        <f>C133*E133</f>
        <v>0</v>
      </c>
    </row>
    <row r="134" ht="12.75">
      <c r="A134" s="4"/>
      <c r="B134" s="10" t="s">
        <v>148</v>
      </c>
      <c r="C134" s="12">
        <v>0</v>
      </c>
      <c r="D134" s="12" t="s">
        <v>55</v>
      </c>
      <c r="E134" s="4"/>
      <c r="F134" s="9">
        <f>C134*E134</f>
        <v>0</v>
      </c>
    </row>
    <row r="135" ht="12.75">
      <c r="A135" s="4"/>
      <c r="B135" s="10" t="s">
        <v>149</v>
      </c>
      <c r="C135" s="12">
        <v>0</v>
      </c>
      <c r="D135" s="12" t="s">
        <v>55</v>
      </c>
      <c r="E135" s="4"/>
      <c r="F135" s="9">
        <f>C135*E135</f>
        <v>0</v>
      </c>
    </row>
    <row r="136" ht="12.75">
      <c r="A136" s="4"/>
      <c r="B136" s="6" t="s">
        <v>150</v>
      </c>
      <c r="C136" s="4"/>
      <c r="D136" s="4" t="s">
        <v>17</v>
      </c>
      <c r="E136" s="4"/>
      <c r="F136" s="9">
        <f>C136*E136</f>
        <v>0</v>
      </c>
    </row>
    <row r="137" ht="12.75">
      <c r="A137" s="4"/>
      <c r="B137" s="10" t="s">
        <v>151</v>
      </c>
      <c r="C137" s="12">
        <v>0</v>
      </c>
      <c r="D137" s="12" t="s">
        <v>55</v>
      </c>
      <c r="E137" s="4"/>
      <c r="F137" s="9">
        <f>C137*E137</f>
        <v>0</v>
      </c>
    </row>
    <row r="138" ht="12.75">
      <c r="A138" s="4"/>
      <c r="B138" s="10" t="s">
        <v>152</v>
      </c>
      <c r="C138" s="12">
        <v>0</v>
      </c>
      <c r="D138" s="12" t="s">
        <v>55</v>
      </c>
      <c r="E138" s="4"/>
      <c r="F138" s="9">
        <f>C138*E138</f>
        <v>0</v>
      </c>
    </row>
    <row r="139" ht="12.75">
      <c r="A139" s="4"/>
      <c r="B139" s="10" t="s">
        <v>153</v>
      </c>
      <c r="C139" s="12">
        <v>0</v>
      </c>
      <c r="D139" s="12" t="s">
        <v>55</v>
      </c>
      <c r="E139" s="4"/>
      <c r="F139" s="9">
        <f>C139*E139</f>
        <v>0</v>
      </c>
    </row>
    <row r="140" ht="12.75">
      <c r="A140" s="4"/>
      <c r="B140" s="10" t="s">
        <v>154</v>
      </c>
      <c r="C140" s="12">
        <v>0</v>
      </c>
      <c r="D140" s="12" t="s">
        <v>55</v>
      </c>
      <c r="E140" s="4"/>
      <c r="F140" s="9">
        <f>C140*E140</f>
        <v>0</v>
      </c>
    </row>
    <row r="141" ht="12.75">
      <c r="A141" s="4"/>
      <c r="B141" s="10" t="s">
        <v>155</v>
      </c>
      <c r="C141" s="12">
        <v>0</v>
      </c>
      <c r="D141" s="12" t="s">
        <v>55</v>
      </c>
      <c r="E141" s="4"/>
      <c r="F141" s="9">
        <f>C141*E141</f>
        <v>0</v>
      </c>
    </row>
    <row r="142" ht="12.75">
      <c r="A142" s="4"/>
      <c r="B142" s="7" t="s">
        <v>156</v>
      </c>
      <c r="C142" s="4"/>
      <c r="D142" s="8" t="s">
        <v>8</v>
      </c>
      <c r="E142" s="4"/>
      <c r="F142" s="9">
        <f>C142*E142</f>
        <v>0</v>
      </c>
    </row>
    <row r="143" ht="12.75">
      <c r="A143" s="4"/>
      <c r="B143" s="11" t="s">
        <v>157</v>
      </c>
      <c r="C143" s="12">
        <v>0</v>
      </c>
      <c r="D143" s="13" t="s">
        <v>45</v>
      </c>
      <c r="E143" s="4"/>
      <c r="F143" s="9">
        <f>C143*E143</f>
        <v>0</v>
      </c>
    </row>
    <row r="144" ht="12.75">
      <c r="A144" s="4"/>
      <c r="B144" s="11" t="s">
        <v>158</v>
      </c>
      <c r="C144" s="12">
        <v>0</v>
      </c>
      <c r="D144" s="13" t="s">
        <v>45</v>
      </c>
      <c r="E144" s="4"/>
      <c r="F144" s="9">
        <f>C144*E144</f>
        <v>0</v>
      </c>
    </row>
    <row r="145" ht="12.75">
      <c r="A145" s="4"/>
      <c r="B145" s="11" t="s">
        <v>159</v>
      </c>
      <c r="C145" s="12">
        <v>0</v>
      </c>
      <c r="D145" s="13" t="s">
        <v>45</v>
      </c>
      <c r="E145" s="4"/>
      <c r="F145" s="9">
        <f>C145*E145</f>
        <v>0</v>
      </c>
    </row>
    <row r="146" ht="12.75">
      <c r="A146" s="4"/>
      <c r="B146" s="11" t="s">
        <v>160</v>
      </c>
      <c r="C146" s="12">
        <v>0</v>
      </c>
      <c r="D146" s="13" t="s">
        <v>45</v>
      </c>
      <c r="E146" s="4"/>
      <c r="F146" s="9">
        <f>C146*E146</f>
        <v>0</v>
      </c>
    </row>
    <row r="147" ht="12.75">
      <c r="A147" s="4"/>
      <c r="B147" s="11" t="s">
        <v>161</v>
      </c>
      <c r="C147" s="12">
        <v>0</v>
      </c>
      <c r="D147" s="13" t="s">
        <v>45</v>
      </c>
      <c r="E147" s="4"/>
      <c r="F147" s="9">
        <f>C147*E147</f>
        <v>0</v>
      </c>
    </row>
    <row r="148" ht="12.75">
      <c r="A148" s="4"/>
      <c r="B148" s="11" t="s">
        <v>162</v>
      </c>
      <c r="C148" s="12">
        <v>0</v>
      </c>
      <c r="D148" s="13" t="s">
        <v>45</v>
      </c>
      <c r="E148" s="4"/>
      <c r="F148" s="9">
        <f>C148*E148</f>
        <v>0</v>
      </c>
    </row>
    <row r="149" ht="12.75">
      <c r="A149" s="4"/>
      <c r="B149" s="11" t="s">
        <v>163</v>
      </c>
      <c r="C149" s="12">
        <v>0</v>
      </c>
      <c r="D149" s="13" t="s">
        <v>45</v>
      </c>
      <c r="E149" s="4"/>
      <c r="F149" s="9">
        <f>C149*E149</f>
        <v>0</v>
      </c>
    </row>
    <row r="150" ht="12.75">
      <c r="A150" s="4"/>
      <c r="B150" s="11" t="s">
        <v>164</v>
      </c>
      <c r="C150" s="12">
        <v>0</v>
      </c>
      <c r="D150" s="13" t="s">
        <v>45</v>
      </c>
      <c r="E150" s="4"/>
      <c r="F150" s="9">
        <f>C150*E150</f>
        <v>0</v>
      </c>
    </row>
    <row r="151" ht="12.75">
      <c r="A151" s="4"/>
      <c r="B151" s="11" t="s">
        <v>165</v>
      </c>
      <c r="C151" s="12">
        <v>2</v>
      </c>
      <c r="D151" s="13" t="s">
        <v>45</v>
      </c>
      <c r="E151" s="4"/>
      <c r="F151" s="9">
        <f>C151*E151</f>
        <v>0</v>
      </c>
    </row>
    <row r="152" ht="12.75">
      <c r="A152" s="4"/>
      <c r="B152" s="11" t="s">
        <v>166</v>
      </c>
      <c r="C152" s="12">
        <v>3</v>
      </c>
      <c r="D152" s="13" t="s">
        <v>45</v>
      </c>
      <c r="E152" s="4"/>
      <c r="F152" s="9">
        <f>C152*E152</f>
        <v>0</v>
      </c>
    </row>
    <row r="153" ht="12.75">
      <c r="A153" s="4"/>
      <c r="B153" s="11" t="s">
        <v>167</v>
      </c>
      <c r="C153" s="12">
        <v>0</v>
      </c>
      <c r="D153" s="13" t="s">
        <v>45</v>
      </c>
      <c r="E153" s="4"/>
      <c r="F153" s="9">
        <f>C153*E153</f>
        <v>0</v>
      </c>
    </row>
    <row r="154" ht="12.75">
      <c r="A154" s="4"/>
      <c r="B154" s="11" t="s">
        <v>168</v>
      </c>
      <c r="C154" s="12">
        <v>0</v>
      </c>
      <c r="D154" s="13" t="s">
        <v>67</v>
      </c>
      <c r="E154" s="4"/>
      <c r="F154" s="9">
        <f>C154*E154</f>
        <v>0</v>
      </c>
    </row>
    <row r="155" ht="12.75">
      <c r="A155" s="4"/>
      <c r="B155" s="11" t="s">
        <v>169</v>
      </c>
      <c r="C155" s="12">
        <v>0</v>
      </c>
      <c r="D155" s="13" t="s">
        <v>67</v>
      </c>
      <c r="E155" s="4"/>
      <c r="F155" s="9">
        <f>C155*E155</f>
        <v>0</v>
      </c>
    </row>
    <row r="156" ht="12.75">
      <c r="A156" s="4"/>
      <c r="B156" s="11" t="s">
        <v>170</v>
      </c>
      <c r="C156" s="12">
        <v>0</v>
      </c>
      <c r="D156" s="13" t="s">
        <v>67</v>
      </c>
      <c r="E156" s="4"/>
      <c r="F156" s="9">
        <f>C156*E156</f>
        <v>0</v>
      </c>
    </row>
    <row r="157" ht="12.75">
      <c r="B157" s="15" t="s">
        <v>3</v>
      </c>
      <c r="F157" s="16">
        <f>SUM(F2:F156)</f>
        <v>0</v>
      </c>
    </row>
  </sheetData>
  <mergeCells count="1">
    <mergeCell ref="A1:C1"/>
  </mergeCells>
  <pageMargins left="0.75" right="0.75" top="1" bottom="1" header="0.5" footer="0.5"/>
  <pageSetup orientation="portrait"/>
</worksheet>
</file>