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<sst xmlns="http://schemas.openxmlformats.org/spreadsheetml/2006/main" count="431" uniqueCount="188">
  <si>
    <t>Civil Works</t>
  </si>
  <si>
    <t>Site Preparation, Civil, Earthworks and Demolition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</si>
  <si>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</si>
  <si>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</si>
  <si>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</si>
  <si>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</si>
  <si>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</si>
  <si>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</si>
  <si>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</si>
  <si>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</si>
  <si>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SITE PREPARATION AND EARTHWORKS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</si>
  <si>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</si>
  <si>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</si>
  <si>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</si>
  <si>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</si>
  <si>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</si>
  <si>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</t>
  </si>
  <si>
    <t>Refer to Document "XXX" Geotecnhical Report for Soil Description at site</t>
  </si>
  <si>
    <t>Refer to Dwg. No. Survey Plan for Ground Elevation at site</t>
  </si>
  <si>
    <t>Refer to Document "XXX" for contamination report</t>
  </si>
  <si>
    <t>PRICES</t>
  </si>
  <si>
    <t>Prices shall include for:</t>
  </si>
  <si>
    <t>Head2</t>
  </si>
  <si>
    <t>Getting out, levelling, grading, trimming and forming batters</t>
  </si>
  <si>
    <t>Keeping sides plumb and to shape</t>
  </si>
  <si>
    <t>Scabbling faces of excavation as required</t>
  </si>
  <si>
    <t>Backfilling, ramming solid</t>
  </si>
  <si>
    <t>Processing excavated materials suitable for reuse as fill</t>
  </si>
  <si>
    <t>Loading and disposal of surplus spoil</t>
  </si>
  <si>
    <t>Importing fill where required</t>
  </si>
  <si>
    <t>All double handling required</t>
  </si>
  <si>
    <t>All costs associated with forming and maintaining stripped material stockpiles</t>
  </si>
  <si>
    <t>Tip fees</t>
  </si>
  <si>
    <t>The Contractor is deemed to have included for material as found</t>
  </si>
  <si>
    <t>GENERAL ITEMS</t>
  </si>
  <si>
    <t>Allow for giving notice of and providing facilities for inspection</t>
  </si>
  <si>
    <t>Item</t>
  </si>
  <si>
    <t>Allow for compliance with quality assurance requirements</t>
  </si>
  <si>
    <t>Allow for providing samples </t>
  </si>
  <si>
    <t>Allow for testing </t>
  </si>
  <si>
    <t>Allow for contractors submissions </t>
  </si>
  <si>
    <t>Allow for inspection of site</t>
  </si>
  <si>
    <t>Allow for complying with relevant Acts, By-laws and regulations relating to excavation, planking and strutting</t>
  </si>
  <si>
    <t>Allow for all costs associated with meeting local authority requirements and obtaining approvals</t>
  </si>
  <si>
    <t>Allow for locating and marking all existing services including disconnection of redundant services not otherwise allowed for and protection of services to be retained</t>
  </si>
  <si>
    <t>Allow for a dilapidation survey if required, monitoring of existing buildings, pavements and structures close to work areas, controlling possible damage and making good damage on completion</t>
  </si>
  <si>
    <t>Allow for keeping excavations free from rain and percolating water by pumping, bailing and other means</t>
  </si>
  <si>
    <t>Allow for provision and removal of temporary fencing, hoardings warning notices and the like</t>
  </si>
  <si>
    <t>Allow for traffic management measures</t>
  </si>
  <si>
    <t>Allow for any shoring, planking and strutting deemed necessary to retain sides of excavations but not measured following</t>
  </si>
  <si>
    <t>Allow for benching prior to bulk fill on surfaces exceeding 1:4 slope </t>
  </si>
  <si>
    <t>Allow for any working space excavations deemed necessary but not measured following</t>
  </si>
  <si>
    <t>Allow for any safety covers over holes and other OH&amp;S requirements</t>
  </si>
  <si>
    <t>Allow for geotechnical investigations, monitoring and reports </t>
  </si>
  <si>
    <t>NOTES AND ASSUMPTIONS</t>
  </si>
  <si>
    <t>Contractor to determine suitability of existing soil to be used as fiil</t>
  </si>
  <si>
    <t>No working area were considered for detailed excavation</t>
  </si>
  <si>
    <t>Earthwork quantities have been calculated on AGTEK 3D Software. Refer to images provided for reference.</t>
  </si>
  <si>
    <t>Cut and Fill volume represent difference between existing surface level and subgrade level. They exclude localized excavation for footings, lift pit, retaining wall, etc</t>
  </si>
  <si>
    <t>Structure thickness were considered for the following. Building slab = 250mm, Footpath pavement = 220mm, Landscape = 300mm</t>
  </si>
  <si>
    <t>SITE CLEARANCE</t>
  </si>
  <si>
    <t>Removal of Water</t>
  </si>
  <si>
    <t>Site restoration works to make good areas of site or outside site boundary to existing condition after completion of works if required</t>
  </si>
  <si>
    <t>Site Clearing and Grubbing</t>
  </si>
  <si>
    <t>m2</t>
  </si>
  <si>
    <t>Stripping of top soil (indicate depth in mm)</t>
  </si>
  <si>
    <t>m3</t>
  </si>
  <si>
    <t>EROSION AND SEDIMENT CONTROL</t>
  </si>
  <si>
    <t>Sediment Fence - "description" (NB: refer detail to Dwg#)</t>
  </si>
  <si>
    <t>m</t>
  </si>
  <si>
    <t>Geotextile Inlet Filter - "description" (NB: refer detail to Dwg#)</t>
  </si>
  <si>
    <t>no</t>
  </si>
  <si>
    <t>Straw Bale Filter - "description" (NB: refer detail to Dwg#)</t>
  </si>
  <si>
    <t>Sandbag Inlet Trap - "description" (NB: refer detail to Dwg#)</t>
  </si>
  <si>
    <t>Stabilized Site Access - "description" (NB: refer detail to Dwg#) (Minimum 15000x3000mm if area on plan is less than 45m2 just count it as 1 item)</t>
  </si>
  <si>
    <t>Temporary Stockpile - "description" (NB: refer detail to Dwg#)</t>
  </si>
  <si>
    <t>Drainage swale - "description" (NB: refer detail to Dwg#)</t>
  </si>
  <si>
    <t>Grass Swale - "description" (NB: refer detail to Dwg#)</t>
  </si>
  <si>
    <t>Temporary Fence - "description" (NB: refer detail to Dwg#)</t>
  </si>
  <si>
    <t>SITE PREPARATION</t>
  </si>
  <si>
    <t>Trim and Compact</t>
  </si>
  <si>
    <t>Trim and compact building pads to level, carpark and roads to final level allowing for falls and cross falls </t>
  </si>
  <si>
    <t>CUT AND FILL</t>
  </si>
  <si>
    <t>Bulk excavation over site to reduced level at elev. xxxm</t>
  </si>
  <si>
    <t>Selected fill won from site (usually the cut volume)</t>
  </si>
  <si>
    <t>Imported fill (remaining volume of fill in excess of quantity covered by cut) </t>
  </si>
  <si>
    <t>DISPOSAL</t>
  </si>
  <si>
    <t>Disposal of cut soil</t>
  </si>
  <si>
    <t>Disposal of stripped soil</t>
  </si>
  <si>
    <t>DETAILED EXCAVATION ( Pick up at Structrural and other Trade)</t>
  </si>
  <si>
    <t>Footing</t>
  </si>
  <si>
    <t>Detailed excavation to strip footing</t>
  </si>
  <si>
    <t>Detailed excavation to pad footing</t>
  </si>
  <si>
    <t>Detailed excavation to ground beam</t>
  </si>
  <si>
    <t>Lift Pit</t>
  </si>
  <si>
    <t>Detailed excavation to lift pit</t>
  </si>
  <si>
    <t>Tanks</t>
  </si>
  <si>
    <t>Detailed excavation to on-site detention tank</t>
  </si>
  <si>
    <t>FINAL SITE PREPARATION</t>
  </si>
  <si>
    <t>Basecourse</t>
  </si>
  <si>
    <t>Provide xxxmm thick "basecourse description" or approved equivalent over compacted subgrade "ie 3% CBR" to concrete SOG area (can obtain from concrete trade</t>
  </si>
  <si>
    <t>TOTAL Site Preparation and Earthworks</t>
  </si>
  <si>
    <t>CIVIL WORKS</t>
  </si>
  <si>
    <t>Tenderers are referred to the Specification for the full particulars of workmanship and materials, and the quantities herein provided shall be read in conjunction with the drawings.</t>
  </si>
  <si>
    <t>Getting out</t>
  </si>
  <si>
    <t>Backfilling</t>
  </si>
  <si>
    <t>Ramming solid</t>
  </si>
  <si>
    <t>Environmental and sustainable requirements detailed in the Tender documents (if any)</t>
  </si>
  <si>
    <t>Allow for providing samples and sample panels of materials or finishes</t>
  </si>
  <si>
    <t>Allow for contractor's submissions </t>
  </si>
  <si>
    <t>Allow for keeping excavation free from rain and percolating water by pumping, bailing and other means</t>
  </si>
  <si>
    <t>Allow for protecting finished surfaces from damage and cleaning on completion</t>
  </si>
  <si>
    <t>Allow for concrete pumping here or in rates applied</t>
  </si>
  <si>
    <t>Assumption</t>
  </si>
  <si>
    <t>STORMWATER</t>
  </si>
  <si>
    <t>Pits and Drain</t>
  </si>
  <si>
    <t>PIT1 - "detail description"</t>
  </si>
  <si>
    <t>Grated Drain</t>
  </si>
  <si>
    <t>Head Wall</t>
  </si>
  <si>
    <t>No</t>
  </si>
  <si>
    <t>Subsoil drainage (AG drain)</t>
  </si>
  <si>
    <t>Pipes</t>
  </si>
  <si>
    <t>150mm uPVC</t>
  </si>
  <si>
    <t>600mm RCP</t>
  </si>
  <si>
    <t>Detention Tank - "description" ( NB: refer detail to Dwg#)</t>
  </si>
  <si>
    <t>ROADWORK, FOOTHPATH &amp; PAVEMENT</t>
  </si>
  <si>
    <t>Asphalt Pavement</t>
  </si>
  <si>
    <t>Sub-grade "description"</t>
  </si>
  <si>
    <t>Sub-base Course "description"</t>
  </si>
  <si>
    <t>Base Course "description"</t>
  </si>
  <si>
    <t>Wearing course "description"</t>
  </si>
  <si>
    <t>Concrete Footpath/Pavement</t>
  </si>
  <si>
    <t>150mm thick concrete, 25 Mpa</t>
  </si>
  <si>
    <t>150mm high edgeboard to 150mm thick concrete</t>
  </si>
  <si>
    <t>SL-82 mesh on top of 150mm thick concrete</t>
  </si>
  <si>
    <t>Surface finish</t>
  </si>
  <si>
    <t>Trimmer bars "description"</t>
  </si>
  <si>
    <t>t</t>
  </si>
  <si>
    <t>Curing to concrete</t>
  </si>
  <si>
    <t>Concrete Driveway/Parking</t>
  </si>
  <si>
    <t>Kerb, Gutter and Island</t>
  </si>
  <si>
    <t>Kerb (description, reference dwg)</t>
  </si>
  <si>
    <t>Kerb and gutter (description, reference dwg)</t>
  </si>
  <si>
    <t>Island (description, reference dwg)</t>
  </si>
  <si>
    <t>Joints and Associated Items</t>
  </si>
  <si>
    <t>TJ - Tool joint,  " description" (NB: refer detail to Dwg#)</t>
  </si>
  <si>
    <t>EJ - Expansion joint,  " description" (NB: refer detail to Dwg#)</t>
  </si>
  <si>
    <t>Carpark Sundries</t>
  </si>
  <si>
    <t>Line Marking</t>
  </si>
  <si>
    <t>Vehicle Crossing</t>
  </si>
  <si>
    <t>Shared space painting</t>
  </si>
  <si>
    <t>Arrow Marking</t>
  </si>
  <si>
    <t>Accessible Marking</t>
  </si>
  <si>
    <t>Pram ramp</t>
  </si>
  <si>
    <t>RETAINING WALL</t>
  </si>
  <si>
    <t>RW1 - 200mm thick Concrete Retaining Wall</t>
  </si>
  <si>
    <t>500 x 250mm depth 25 Mpa concrete footing (copy the volume to detailed excavation)</t>
  </si>
  <si>
    <t>Formwork to sides of footing (m2 if greater than 250mm, m if 250mm and less)</t>
  </si>
  <si>
    <t>Bar reinforcement to footing</t>
  </si>
  <si>
    <t>200mm thick concrete retaining wall</t>
  </si>
  <si>
    <t>Formwork to concrete retaining wall</t>
  </si>
  <si>
    <t>Bar reinforcement to concrete retaining wall</t>
  </si>
  <si>
    <t>Waterproof membrane to back of wall</t>
  </si>
  <si>
    <t>RW2 - 190mm thick Retaining Block Wall</t>
  </si>
  <si>
    <t>xxxmm high formwork to sides of footing (m2 if greater than 250mm, m if 250mm and less)</t>
  </si>
  <si>
    <t>190mm thick retaining block wall</t>
  </si>
  <si>
    <t>Corefilling to retaining block wall; Assumed CF Rate: 0.12m3/m2</t>
  </si>
  <si>
    <t>Bar reinforcement to retaining block wall</t>
  </si>
  <si>
    <t>Wall capping</t>
  </si>
  <si>
    <t>TOTAL Civil Works</t>
  </si>
  <si>
    <t>DEMOLITION</t>
  </si>
  <si>
    <t>The Tenderers should carefully check site to assess the extent of Demolition required for this contract</t>
  </si>
  <si>
    <t>Demolition of work</t>
  </si>
  <si>
    <t>Taking down, removal and cartage from site</t>
  </si>
  <si>
    <t>Cleaning up on completion</t>
  </si>
  <si>
    <t>Protecting adjoining surfaces</t>
  </si>
  <si>
    <t>Making good to work disturbed</t>
  </si>
  <si>
    <t>Recycling waste where required</t>
  </si>
  <si>
    <t>Environmental and sustainable requirements detailed in the specification</t>
  </si>
  <si>
    <t>Allow for site visit to assess the nature and extent of demolition</t>
  </si>
  <si>
    <t>Allow to retain and protect existing works / premises on site and adjoining properties</t>
  </si>
  <si>
    <t>Allow for provision and removal of temporary fencing / screens, hoardings, weather / dust protection measures, security, temporary access, warning notices and the like</t>
  </si>
  <si>
    <t>Allow for all temporary shoring, propping, supports and the like (other than designed shoring and propping measured following)</t>
  </si>
  <si>
    <t>Allow for all required credits for recovered materials</t>
  </si>
  <si>
    <t>Allow for giving notice of any unanticipated hazardous materials or conditions found on site</t>
  </si>
  <si>
    <t>Allow for submissions including work plans, data and dilapidation records</t>
  </si>
  <si>
    <t>TOTAL Demolition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</si>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</sst>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226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1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2</v>
      </c>
      <c r="B4" s="5" t="s">
        <v>3</v>
      </c>
      <c r="C4" s="6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9</v>
      </c>
    </row>
    <row r="6" ht="12.75">
      <c r="A6" s="5"/>
      <c r="B6" s="5" t="s">
        <v>10</v>
      </c>
    </row>
    <row r="7" ht="12.75">
      <c r="A7" s="4"/>
      <c r="B7" s="4" t="s">
        <v>11</v>
      </c>
      <c r="C7" s="4"/>
      <c r="D7" s="4" t="s">
        <v>12</v>
      </c>
      <c r="E7" s="4"/>
      <c r="G7" s="4"/>
      <c r="H7" s="4"/>
    </row>
    <row r="8" ht="12.75">
      <c r="A8" s="4"/>
      <c r="B8" s="4" t="s">
        <v>13</v>
      </c>
      <c r="C8" s="4"/>
      <c r="D8" s="4" t="s">
        <v>14</v>
      </c>
      <c r="E8" s="4"/>
      <c r="G8" s="4"/>
      <c r="H8" s="4"/>
    </row>
    <row r="9" ht="12.75">
      <c r="A9" s="4"/>
      <c r="B9" s="4" t="s">
        <v>15</v>
      </c>
      <c r="C9" s="4"/>
      <c r="D9" s="4" t="s">
        <v>14</v>
      </c>
      <c r="E9" s="4"/>
      <c r="G9" s="4"/>
      <c r="H9" s="4"/>
    </row>
    <row r="10" ht="12.75">
      <c r="A10" s="4"/>
      <c r="B10" s="4" t="s">
        <v>16</v>
      </c>
      <c r="C10" s="4"/>
      <c r="D10" s="4" t="s">
        <v>12</v>
      </c>
      <c r="E10" s="4"/>
      <c r="G10" s="4"/>
      <c r="H10" s="4"/>
    </row>
    <row r="11" ht="12.75">
      <c r="A11" s="4"/>
      <c r="B11" s="4" t="s">
        <v>17</v>
      </c>
      <c r="C11" s="4"/>
      <c r="D11" s="4" t="s">
        <v>14</v>
      </c>
      <c r="E11" s="4"/>
      <c r="G11" s="4"/>
      <c r="H11" s="4"/>
    </row>
    <row r="12" ht="12.75">
      <c r="A12" s="4"/>
      <c r="B12" s="4" t="s">
        <v>18</v>
      </c>
      <c r="C12" s="4"/>
      <c r="D12" s="4" t="s">
        <v>14</v>
      </c>
      <c r="E12" s="4"/>
      <c r="G12" s="4"/>
      <c r="H12" s="4"/>
    </row>
    <row r="13" ht="12.75">
      <c r="A13" s="4"/>
      <c r="B13" s="4" t="s">
        <v>19</v>
      </c>
      <c r="C13" s="4"/>
      <c r="D13" s="4" t="s">
        <v>14</v>
      </c>
      <c r="E13" s="4"/>
      <c r="G13" s="4"/>
      <c r="H13" s="4"/>
    </row>
    <row r="14" ht="12.75">
      <c r="A14" s="4"/>
      <c r="B14" s="4" t="s">
        <v>20</v>
      </c>
      <c r="C14" s="4"/>
      <c r="D14" s="4" t="s">
        <v>12</v>
      </c>
      <c r="E14" s="4"/>
      <c r="G14" s="4"/>
      <c r="H14" s="4"/>
    </row>
    <row r="15" ht="12.75">
      <c r="A15" s="4"/>
      <c r="B15" s="4" t="s">
        <v>21</v>
      </c>
      <c r="C15" s="4"/>
      <c r="D15" s="4" t="s">
        <v>22</v>
      </c>
      <c r="E15" s="4"/>
      <c r="G15" s="4"/>
      <c r="H15" s="4"/>
    </row>
    <row r="16" ht="12.75">
      <c r="A16" s="4"/>
      <c r="B16" s="4" t="s">
        <v>23</v>
      </c>
      <c r="C16" s="4"/>
      <c r="D16" s="4" t="s">
        <v>14</v>
      </c>
      <c r="E16" s="4"/>
      <c r="G16" s="4"/>
      <c r="H16" s="4"/>
    </row>
    <row r="17" ht="12.75">
      <c r="A17" s="4"/>
      <c r="B17" s="4" t="s">
        <v>24</v>
      </c>
      <c r="C17" s="4"/>
      <c r="D17" s="4" t="s">
        <v>14</v>
      </c>
      <c r="E17" s="4"/>
      <c r="G17" s="4"/>
      <c r="H17" s="4"/>
    </row>
    <row r="18" ht="12.75">
      <c r="A18" s="4"/>
      <c r="B18" s="4" t="s">
        <v>25</v>
      </c>
      <c r="C18" s="4"/>
      <c r="D18" s="4" t="s">
        <v>14</v>
      </c>
      <c r="E18" s="4"/>
      <c r="G18" s="4"/>
      <c r="H18" s="4"/>
    </row>
    <row r="19" ht="12.75">
      <c r="A19" s="4"/>
      <c r="B19" s="4" t="s">
        <v>26</v>
      </c>
      <c r="C19" s="4"/>
      <c r="D19" s="4" t="s">
        <v>14</v>
      </c>
      <c r="E19" s="4"/>
      <c r="G19" s="4"/>
      <c r="H19" s="4"/>
    </row>
    <row r="20" ht="12.75">
      <c r="A20" s="4"/>
      <c r="B20" s="4" t="s">
        <v>27</v>
      </c>
      <c r="C20" s="4"/>
      <c r="D20" s="4" t="s">
        <v>14</v>
      </c>
      <c r="E20" s="4"/>
      <c r="G20" s="4"/>
      <c r="H20" s="4"/>
    </row>
    <row r="21" ht="12.75">
      <c r="A21" s="4"/>
      <c r="B21" s="4" t="s">
        <v>28</v>
      </c>
      <c r="C21" s="4"/>
      <c r="D21" s="4" t="s">
        <v>14</v>
      </c>
      <c r="E21" s="4"/>
      <c r="G21" s="4"/>
      <c r="H21" s="4"/>
    </row>
    <row r="22" ht="12.75">
      <c r="A22" s="4"/>
      <c r="B22" s="4" t="s">
        <v>29</v>
      </c>
      <c r="C22" s="4"/>
      <c r="D22" s="4" t="s">
        <v>14</v>
      </c>
      <c r="E22" s="4"/>
      <c r="G22" s="4"/>
      <c r="H22" s="4"/>
    </row>
    <row r="23" ht="12.75">
      <c r="A23" s="4"/>
      <c r="B23" s="4" t="s">
        <v>30</v>
      </c>
      <c r="C23" s="4"/>
      <c r="D23" s="4" t="s">
        <v>14</v>
      </c>
      <c r="E23" s="4"/>
      <c r="G23" s="4"/>
      <c r="H23" s="4"/>
    </row>
    <row r="24" ht="12.75">
      <c r="A24" s="4"/>
      <c r="B24" s="4" t="s">
        <v>31</v>
      </c>
      <c r="C24" s="4"/>
      <c r="D24" s="4" t="s">
        <v>14</v>
      </c>
      <c r="E24" s="4"/>
      <c r="G24" s="4"/>
      <c r="H24" s="4"/>
    </row>
    <row r="25" ht="12.75">
      <c r="A25" s="4"/>
      <c r="B25" s="4" t="s">
        <v>32</v>
      </c>
      <c r="C25" s="4"/>
      <c r="D25" s="4" t="s">
        <v>14</v>
      </c>
      <c r="E25" s="4"/>
      <c r="G25" s="4"/>
      <c r="H25" s="4"/>
    </row>
    <row r="26" ht="12.75">
      <c r="A26" s="4"/>
      <c r="B26" s="4" t="s">
        <v>33</v>
      </c>
      <c r="C26" s="4"/>
      <c r="D26" s="4" t="s">
        <v>14</v>
      </c>
      <c r="E26" s="4"/>
      <c r="G26" s="4"/>
      <c r="H26" s="4"/>
    </row>
    <row r="27" ht="12.75">
      <c r="A27" s="4"/>
      <c r="B27" s="4" t="s">
        <v>34</v>
      </c>
      <c r="C27" s="4"/>
      <c r="D27" s="4" t="s">
        <v>12</v>
      </c>
      <c r="E27" s="4"/>
      <c r="G27" s="4"/>
      <c r="H27" s="4"/>
    </row>
    <row r="28" ht="12.75">
      <c r="A28" s="4"/>
      <c r="B28" s="4" t="s">
        <v>35</v>
      </c>
      <c r="C28" s="7">
        <v>1</v>
      </c>
      <c r="D28" s="4" t="s">
        <v>36</v>
      </c>
      <c r="E28" s="4"/>
      <c r="G28" s="4"/>
      <c r="H28" s="4"/>
    </row>
    <row r="29" ht="12.75">
      <c r="A29" s="4"/>
      <c r="B29" s="4" t="s">
        <v>37</v>
      </c>
      <c r="C29" s="7">
        <v>1</v>
      </c>
      <c r="D29" s="4" t="s">
        <v>36</v>
      </c>
      <c r="E29" s="4"/>
      <c r="G29" s="4"/>
      <c r="H29" s="4"/>
    </row>
    <row r="30" ht="12.75">
      <c r="A30" s="4"/>
      <c r="B30" s="4" t="s">
        <v>38</v>
      </c>
      <c r="C30" s="7">
        <v>1</v>
      </c>
      <c r="D30" s="4" t="s">
        <v>36</v>
      </c>
      <c r="E30" s="4"/>
      <c r="G30" s="4"/>
      <c r="H30" s="4"/>
    </row>
    <row r="31" ht="12.75">
      <c r="A31" s="4"/>
      <c r="B31" s="4" t="s">
        <v>39</v>
      </c>
      <c r="C31" s="7">
        <v>1</v>
      </c>
      <c r="D31" s="4" t="s">
        <v>36</v>
      </c>
      <c r="E31" s="4"/>
      <c r="G31" s="4"/>
      <c r="H31" s="4"/>
    </row>
    <row r="32" ht="12.75">
      <c r="A32" s="4"/>
      <c r="B32" s="4" t="s">
        <v>40</v>
      </c>
      <c r="C32" s="7">
        <v>1</v>
      </c>
      <c r="D32" s="4" t="s">
        <v>36</v>
      </c>
      <c r="E32" s="4"/>
      <c r="G32" s="4"/>
      <c r="H32" s="4"/>
    </row>
    <row r="33" ht="12.75">
      <c r="A33" s="4"/>
      <c r="B33" s="4" t="s">
        <v>41</v>
      </c>
      <c r="C33" s="7">
        <v>1</v>
      </c>
      <c r="D33" s="4" t="s">
        <v>36</v>
      </c>
      <c r="E33" s="4"/>
      <c r="G33" s="4"/>
      <c r="H33" s="4"/>
    </row>
    <row r="34" ht="12.75">
      <c r="A34" s="4"/>
      <c r="B34" s="4" t="s">
        <v>42</v>
      </c>
      <c r="C34" s="7">
        <v>1</v>
      </c>
      <c r="D34" s="4" t="s">
        <v>36</v>
      </c>
      <c r="E34" s="4"/>
      <c r="G34" s="4"/>
      <c r="H34" s="4"/>
    </row>
    <row r="35" ht="12.75">
      <c r="A35" s="4"/>
      <c r="B35" s="4" t="s">
        <v>43</v>
      </c>
      <c r="C35" s="7">
        <v>1</v>
      </c>
      <c r="D35" s="4" t="s">
        <v>36</v>
      </c>
      <c r="E35" s="4"/>
      <c r="G35" s="4"/>
      <c r="H35" s="4"/>
    </row>
    <row r="36" ht="12.75">
      <c r="A36" s="4"/>
      <c r="B36" s="4" t="s">
        <v>44</v>
      </c>
      <c r="C36" s="7">
        <v>1</v>
      </c>
      <c r="D36" s="4" t="s">
        <v>36</v>
      </c>
      <c r="E36" s="4"/>
      <c r="G36" s="4"/>
      <c r="H36" s="4"/>
    </row>
    <row r="37" ht="12.75">
      <c r="A37" s="4"/>
      <c r="B37" s="4" t="s">
        <v>45</v>
      </c>
      <c r="C37" s="7">
        <v>1</v>
      </c>
      <c r="D37" s="4" t="s">
        <v>36</v>
      </c>
      <c r="E37" s="4"/>
      <c r="G37" s="4"/>
      <c r="H37" s="4"/>
    </row>
    <row r="38" ht="12.75">
      <c r="A38" s="4"/>
      <c r="B38" s="4" t="s">
        <v>46</v>
      </c>
      <c r="C38" s="7">
        <v>1</v>
      </c>
      <c r="D38" s="4" t="s">
        <v>36</v>
      </c>
      <c r="E38" s="4"/>
      <c r="G38" s="4"/>
      <c r="H38" s="4"/>
    </row>
    <row r="39" ht="12.75">
      <c r="A39" s="4"/>
      <c r="B39" s="4" t="s">
        <v>47</v>
      </c>
      <c r="C39" s="7">
        <v>1</v>
      </c>
      <c r="D39" s="4" t="s">
        <v>36</v>
      </c>
      <c r="E39" s="4"/>
      <c r="G39" s="4"/>
      <c r="H39" s="4"/>
    </row>
    <row r="40" ht="12.75">
      <c r="A40" s="4"/>
      <c r="B40" s="4" t="s">
        <v>48</v>
      </c>
      <c r="C40" s="7">
        <v>1</v>
      </c>
      <c r="D40" s="4" t="s">
        <v>36</v>
      </c>
      <c r="E40" s="4"/>
      <c r="G40" s="4"/>
      <c r="H40" s="4"/>
    </row>
    <row r="41" ht="12.75">
      <c r="A41" s="4"/>
      <c r="B41" s="4" t="s">
        <v>49</v>
      </c>
      <c r="C41" s="7">
        <v>1</v>
      </c>
      <c r="D41" s="4" t="s">
        <v>36</v>
      </c>
      <c r="E41" s="4"/>
      <c r="G41" s="4"/>
      <c r="H41" s="4"/>
    </row>
    <row r="42" ht="12.75">
      <c r="A42" s="4"/>
      <c r="B42" s="4" t="s">
        <v>50</v>
      </c>
      <c r="C42" s="7">
        <v>1</v>
      </c>
      <c r="D42" s="4" t="s">
        <v>36</v>
      </c>
      <c r="E42" s="4"/>
      <c r="G42" s="4"/>
      <c r="H42" s="4"/>
    </row>
    <row r="43" ht="12.75">
      <c r="A43" s="4"/>
      <c r="B43" s="4" t="s">
        <v>51</v>
      </c>
      <c r="C43" s="7">
        <v>1</v>
      </c>
      <c r="D43" s="4" t="s">
        <v>36</v>
      </c>
      <c r="E43" s="4"/>
      <c r="G43" s="4"/>
      <c r="H43" s="4"/>
    </row>
    <row r="44" ht="12.75">
      <c r="A44" s="4"/>
      <c r="B44" s="4" t="s">
        <v>52</v>
      </c>
      <c r="C44" s="7">
        <v>1</v>
      </c>
      <c r="D44" s="4" t="s">
        <v>36</v>
      </c>
      <c r="E44" s="4"/>
      <c r="G44" s="4"/>
      <c r="H44" s="4"/>
    </row>
    <row r="45" ht="12.75">
      <c r="A45" s="4"/>
      <c r="B45" s="4" t="s">
        <v>53</v>
      </c>
      <c r="C45" s="7">
        <v>1</v>
      </c>
      <c r="D45" s="4" t="s">
        <v>36</v>
      </c>
      <c r="E45" s="4"/>
      <c r="G45" s="4"/>
      <c r="H45" s="4"/>
    </row>
    <row r="46" ht="12.75">
      <c r="A46" s="4"/>
      <c r="B46" s="4" t="s">
        <v>54</v>
      </c>
      <c r="C46" s="4"/>
      <c r="D46" s="4" t="s">
        <v>12</v>
      </c>
      <c r="E46" s="4"/>
      <c r="G46" s="4"/>
      <c r="H46" s="4"/>
    </row>
    <row r="47" ht="12.75">
      <c r="A47" s="4"/>
      <c r="B47" s="4" t="s">
        <v>55</v>
      </c>
      <c r="C47" s="4"/>
      <c r="D47" s="4" t="s">
        <v>14</v>
      </c>
      <c r="E47" s="4"/>
      <c r="G47" s="4"/>
      <c r="H47" s="4"/>
    </row>
    <row r="48" ht="12.75">
      <c r="A48" s="4"/>
      <c r="B48" s="4" t="s">
        <v>56</v>
      </c>
      <c r="C48" s="4"/>
      <c r="D48" s="4" t="s">
        <v>14</v>
      </c>
      <c r="E48" s="4"/>
      <c r="G48" s="4"/>
      <c r="H48" s="4"/>
    </row>
    <row r="49" ht="12.75">
      <c r="A49" s="4"/>
      <c r="B49" s="4" t="s">
        <v>57</v>
      </c>
      <c r="C49" s="4"/>
      <c r="D49" s="4" t="s">
        <v>14</v>
      </c>
      <c r="E49" s="4"/>
      <c r="G49" s="4"/>
      <c r="H49" s="4"/>
    </row>
    <row r="50" ht="12.75">
      <c r="A50" s="4"/>
      <c r="B50" s="4" t="s">
        <v>58</v>
      </c>
      <c r="C50" s="4"/>
      <c r="D50" s="4" t="s">
        <v>14</v>
      </c>
      <c r="E50" s="4"/>
      <c r="G50" s="4"/>
      <c r="H50" s="4"/>
    </row>
    <row r="51" ht="12.75">
      <c r="A51" s="4"/>
      <c r="B51" s="4" t="s">
        <v>59</v>
      </c>
      <c r="C51" s="4"/>
      <c r="D51" s="4" t="s">
        <v>14</v>
      </c>
      <c r="E51" s="4"/>
      <c r="G51" s="4"/>
      <c r="H51" s="4"/>
    </row>
    <row r="52" ht="12.75">
      <c r="A52" s="4"/>
      <c r="B52" s="4" t="s">
        <v>60</v>
      </c>
      <c r="C52" s="4"/>
      <c r="D52" s="4" t="s">
        <v>12</v>
      </c>
      <c r="E52" s="4"/>
      <c r="G52" s="4"/>
      <c r="H52" s="4"/>
    </row>
    <row r="53" ht="12.75">
      <c r="A53" s="4"/>
      <c r="B53" s="4" t="s">
        <v>61</v>
      </c>
      <c r="C53" s="7">
        <v>1</v>
      </c>
      <c r="D53" s="4" t="s">
        <v>36</v>
      </c>
      <c r="E53" s="4"/>
      <c r="G53" s="4"/>
      <c r="H53" s="4"/>
    </row>
    <row r="54" ht="12.75">
      <c r="A54" s="4"/>
      <c r="B54" s="4" t="s">
        <v>62</v>
      </c>
      <c r="C54" s="7">
        <v>1</v>
      </c>
      <c r="D54" s="4" t="s">
        <v>36</v>
      </c>
      <c r="E54" s="4"/>
      <c r="G54" s="4"/>
      <c r="H54" s="4"/>
    </row>
    <row r="55" ht="12.75">
      <c r="A55" s="4"/>
      <c r="B55" s="4" t="s">
        <v>63</v>
      </c>
      <c r="C55" s="4"/>
      <c r="D55" s="4" t="s">
        <v>64</v>
      </c>
      <c r="E55" s="4"/>
      <c r="G55" s="4"/>
      <c r="H55" s="4"/>
    </row>
    <row r="56" ht="12.75">
      <c r="A56" s="4"/>
      <c r="B56" s="4" t="s">
        <v>65</v>
      </c>
      <c r="C56" s="4"/>
      <c r="D56" s="4" t="s">
        <v>66</v>
      </c>
      <c r="E56" s="4"/>
      <c r="G56" s="4"/>
      <c r="H56" s="4"/>
    </row>
    <row r="57" ht="12.75">
      <c r="A57" s="4"/>
      <c r="B57" s="4" t="s">
        <v>67</v>
      </c>
      <c r="C57" s="4"/>
      <c r="D57" s="4" t="s">
        <v>12</v>
      </c>
      <c r="E57" s="4"/>
      <c r="G57" s="4"/>
      <c r="H57" s="4"/>
    </row>
    <row r="58" ht="12.75">
      <c r="A58" s="4"/>
      <c r="B58" s="4" t="s">
        <v>68</v>
      </c>
      <c r="C58" s="4"/>
      <c r="D58" s="4" t="s">
        <v>69</v>
      </c>
      <c r="E58" s="4"/>
      <c r="G58" s="4"/>
      <c r="H58" s="4"/>
    </row>
    <row r="59" ht="12.75">
      <c r="A59" s="4"/>
      <c r="B59" s="4" t="s">
        <v>70</v>
      </c>
      <c r="C59" s="4"/>
      <c r="D59" s="4" t="s">
        <v>71</v>
      </c>
      <c r="E59" s="4"/>
      <c r="G59" s="4"/>
      <c r="H59" s="4"/>
    </row>
    <row r="60" ht="12.75">
      <c r="A60" s="4"/>
      <c r="B60" s="4" t="s">
        <v>72</v>
      </c>
      <c r="C60" s="4"/>
      <c r="D60" s="4" t="s">
        <v>71</v>
      </c>
      <c r="E60" s="4"/>
      <c r="G60" s="4"/>
      <c r="H60" s="4"/>
    </row>
    <row r="61" ht="12.75">
      <c r="A61" s="4"/>
      <c r="B61" s="4" t="s">
        <v>73</v>
      </c>
      <c r="C61" s="4"/>
      <c r="D61" s="4" t="s">
        <v>71</v>
      </c>
      <c r="E61" s="4"/>
      <c r="G61" s="4"/>
      <c r="H61" s="4"/>
    </row>
    <row r="62" ht="12.75">
      <c r="A62" s="4"/>
      <c r="B62" s="4" t="s">
        <v>74</v>
      </c>
      <c r="C62" s="4"/>
      <c r="D62" s="4" t="s">
        <v>71</v>
      </c>
      <c r="E62" s="4"/>
      <c r="G62" s="4"/>
      <c r="H62" s="4"/>
    </row>
    <row r="63" ht="12.75">
      <c r="A63" s="4"/>
      <c r="B63" s="4" t="s">
        <v>75</v>
      </c>
      <c r="C63" s="4"/>
      <c r="D63" s="4" t="s">
        <v>71</v>
      </c>
      <c r="E63" s="4"/>
      <c r="G63" s="4"/>
      <c r="H63" s="4"/>
    </row>
    <row r="64" ht="12.75">
      <c r="A64" s="4"/>
      <c r="B64" s="4" t="s">
        <v>76</v>
      </c>
      <c r="C64" s="4"/>
      <c r="D64" s="4" t="s">
        <v>69</v>
      </c>
      <c r="E64" s="4"/>
      <c r="G64" s="4"/>
      <c r="H64" s="4"/>
    </row>
    <row r="65" ht="12.75">
      <c r="A65" s="4"/>
      <c r="B65" s="4" t="s">
        <v>77</v>
      </c>
      <c r="C65" s="4"/>
      <c r="D65" s="4" t="s">
        <v>69</v>
      </c>
      <c r="E65" s="4"/>
      <c r="G65" s="4"/>
      <c r="H65" s="4"/>
    </row>
    <row r="66" ht="12.75">
      <c r="A66" s="4"/>
      <c r="B66" s="4" t="s">
        <v>78</v>
      </c>
      <c r="C66" s="4"/>
      <c r="D66" s="4" t="s">
        <v>69</v>
      </c>
      <c r="E66" s="4"/>
      <c r="G66" s="4"/>
      <c r="H66" s="4"/>
    </row>
    <row r="67" ht="12.75">
      <c r="A67" s="4"/>
      <c r="B67" s="4" t="s">
        <v>79</v>
      </c>
      <c r="C67" s="4"/>
      <c r="D67" s="4" t="s">
        <v>12</v>
      </c>
      <c r="E67" s="4"/>
      <c r="G67" s="4"/>
      <c r="H67" s="4"/>
    </row>
    <row r="68" ht="12.75">
      <c r="A68" s="4"/>
      <c r="B68" s="4" t="s">
        <v>80</v>
      </c>
      <c r="C68" s="4"/>
      <c r="D68" s="4"/>
      <c r="E68" s="4"/>
      <c r="G68" s="4"/>
      <c r="H68" s="4"/>
    </row>
    <row r="69" ht="12.75">
      <c r="A69" s="4"/>
      <c r="B69" s="4" t="s">
        <v>81</v>
      </c>
      <c r="C69" s="4"/>
      <c r="D69" s="4" t="s">
        <v>64</v>
      </c>
      <c r="E69" s="4"/>
      <c r="G69" s="4"/>
      <c r="H69" s="4"/>
    </row>
    <row r="70" ht="12.75">
      <c r="A70" s="4"/>
      <c r="B70" s="4" t="s">
        <v>82</v>
      </c>
      <c r="C70" s="4"/>
      <c r="D70" s="4" t="s">
        <v>12</v>
      </c>
      <c r="E70" s="4"/>
      <c r="G70" s="4"/>
      <c r="H70" s="4"/>
    </row>
    <row r="71" ht="12.75">
      <c r="A71" s="4"/>
      <c r="B71" s="4" t="s">
        <v>83</v>
      </c>
      <c r="C71" s="4"/>
      <c r="D71" s="4" t="s">
        <v>66</v>
      </c>
      <c r="E71" s="4"/>
      <c r="G71" s="4"/>
      <c r="H71" s="4"/>
    </row>
    <row r="72" ht="12.75">
      <c r="A72" s="4"/>
      <c r="B72" s="4" t="s">
        <v>84</v>
      </c>
      <c r="C72" s="4"/>
      <c r="D72" s="4" t="s">
        <v>66</v>
      </c>
      <c r="E72" s="4"/>
      <c r="G72" s="4"/>
      <c r="H72" s="4"/>
    </row>
    <row r="73" ht="12.75">
      <c r="A73" s="4"/>
      <c r="B73" s="4" t="s">
        <v>85</v>
      </c>
      <c r="C73" s="4"/>
      <c r="D73" s="4" t="s">
        <v>66</v>
      </c>
      <c r="E73" s="4"/>
      <c r="G73" s="4"/>
      <c r="H73" s="4"/>
    </row>
    <row r="74" ht="12.75">
      <c r="A74" s="4"/>
      <c r="B74" s="4" t="s">
        <v>86</v>
      </c>
      <c r="C74" s="4"/>
      <c r="D74" s="4" t="s">
        <v>12</v>
      </c>
      <c r="E74" s="4"/>
      <c r="G74" s="4"/>
      <c r="H74" s="4"/>
    </row>
    <row r="75" ht="12.75">
      <c r="A75" s="4"/>
      <c r="B75" s="4" t="s">
        <v>87</v>
      </c>
      <c r="C75" s="4"/>
      <c r="D75" s="4" t="s">
        <v>66</v>
      </c>
      <c r="E75" s="4"/>
      <c r="G75" s="4"/>
      <c r="H75" s="4"/>
    </row>
    <row r="76" ht="12.75">
      <c r="A76" s="4"/>
      <c r="B76" s="4" t="s">
        <v>88</v>
      </c>
      <c r="C76" s="4"/>
      <c r="D76" s="4" t="s">
        <v>66</v>
      </c>
      <c r="E76" s="4"/>
      <c r="G76" s="4"/>
      <c r="H76" s="4"/>
    </row>
    <row r="77" ht="12.75">
      <c r="A77" s="4"/>
      <c r="B77" s="4" t="s">
        <v>89</v>
      </c>
      <c r="C77" s="4"/>
      <c r="D77" s="4" t="s">
        <v>12</v>
      </c>
      <c r="E77" s="4"/>
      <c r="G77" s="4"/>
      <c r="H77" s="4"/>
    </row>
    <row r="78" ht="12.75">
      <c r="A78" s="4"/>
      <c r="B78" s="4" t="s">
        <v>90</v>
      </c>
      <c r="C78" s="4"/>
      <c r="D78" s="4" t="s">
        <v>22</v>
      </c>
      <c r="E78" s="4"/>
      <c r="G78" s="4"/>
      <c r="H78" s="4"/>
    </row>
    <row r="79" ht="12.75">
      <c r="A79" s="4"/>
      <c r="B79" s="4" t="s">
        <v>91</v>
      </c>
      <c r="C79" s="4"/>
      <c r="D79" s="4" t="s">
        <v>66</v>
      </c>
      <c r="E79" s="4"/>
      <c r="G79" s="4"/>
      <c r="H79" s="4"/>
    </row>
    <row r="80" ht="12.75">
      <c r="A80" s="4"/>
      <c r="B80" s="4" t="s">
        <v>92</v>
      </c>
      <c r="C80" s="4"/>
      <c r="D80" s="4" t="s">
        <v>66</v>
      </c>
      <c r="E80" s="4"/>
      <c r="G80" s="4"/>
      <c r="H80" s="4"/>
    </row>
    <row r="81" ht="12.75">
      <c r="A81" s="4"/>
      <c r="B81" s="4" t="s">
        <v>93</v>
      </c>
      <c r="C81" s="4"/>
      <c r="D81" s="4" t="s">
        <v>66</v>
      </c>
      <c r="E81" s="4"/>
      <c r="G81" s="4"/>
      <c r="H81" s="4"/>
    </row>
    <row r="82" ht="12.75">
      <c r="A82" s="4"/>
      <c r="B82" s="4" t="s">
        <v>94</v>
      </c>
      <c r="C82" s="4"/>
      <c r="D82" s="4" t="s">
        <v>22</v>
      </c>
      <c r="E82" s="4"/>
      <c r="G82" s="4"/>
      <c r="H82" s="4"/>
    </row>
    <row r="83" ht="12.75">
      <c r="A83" s="4"/>
      <c r="B83" s="4" t="s">
        <v>95</v>
      </c>
      <c r="C83" s="4"/>
      <c r="D83" s="4" t="s">
        <v>66</v>
      </c>
      <c r="E83" s="4"/>
      <c r="G83" s="4"/>
      <c r="H83" s="4"/>
    </row>
    <row r="84" ht="12.75">
      <c r="A84" s="4"/>
      <c r="B84" s="4" t="s">
        <v>96</v>
      </c>
      <c r="C84" s="4"/>
      <c r="D84" s="4" t="s">
        <v>22</v>
      </c>
      <c r="E84" s="4"/>
      <c r="G84" s="4"/>
      <c r="H84" s="4"/>
    </row>
    <row r="85" ht="12.75">
      <c r="A85" s="4"/>
      <c r="B85" s="4" t="s">
        <v>97</v>
      </c>
      <c r="C85" s="4"/>
      <c r="D85" s="4" t="s">
        <v>66</v>
      </c>
      <c r="E85" s="4"/>
      <c r="G85" s="4"/>
      <c r="H85" s="4"/>
    </row>
    <row r="86" ht="12.75">
      <c r="A86" s="4"/>
      <c r="B86" s="4" t="s">
        <v>98</v>
      </c>
      <c r="C86" s="4"/>
      <c r="D86" s="4" t="s">
        <v>12</v>
      </c>
      <c r="E86" s="4"/>
      <c r="G86" s="4"/>
      <c r="H86" s="4"/>
    </row>
    <row r="87" ht="12.75">
      <c r="A87" s="4"/>
      <c r="B87" s="4" t="s">
        <v>80</v>
      </c>
      <c r="C87" s="4"/>
      <c r="D87" s="4" t="s">
        <v>22</v>
      </c>
      <c r="E87" s="4"/>
      <c r="G87" s="4"/>
      <c r="H87" s="4"/>
    </row>
    <row r="88" ht="12.75">
      <c r="A88" s="4"/>
      <c r="B88" s="4" t="s">
        <v>81</v>
      </c>
      <c r="C88" s="4"/>
      <c r="D88" s="4" t="s">
        <v>64</v>
      </c>
      <c r="E88" s="4"/>
      <c r="G88" s="4"/>
      <c r="H88" s="4"/>
    </row>
    <row r="89" ht="12.75">
      <c r="A89" s="4"/>
      <c r="B89" s="4" t="s">
        <v>99</v>
      </c>
      <c r="C89" s="4"/>
      <c r="D89" s="4" t="s">
        <v>22</v>
      </c>
      <c r="E89" s="4"/>
      <c r="G89" s="4"/>
      <c r="H89" s="4"/>
    </row>
    <row r="90" ht="12.75">
      <c r="A90" s="4"/>
      <c r="B90" s="4" t="s">
        <v>100</v>
      </c>
      <c r="C90" s="4"/>
      <c r="D90" s="4" t="s">
        <v>66</v>
      </c>
      <c r="E90" s="4"/>
      <c r="G90" s="4"/>
      <c r="H90" s="4"/>
    </row>
    <row r="91" ht="12.75">
      <c r="B91" s="5" t="s">
        <v>101</v>
      </c>
      <c r="C91" s="5"/>
      <c r="D91" s="5"/>
      <c r="E91" s="5"/>
      <c r="F91" s="8">
        <f>ROUNDUP(SUM(H7:H91),0)</f>
        <v>0</v>
      </c>
      <c r="G91" s="5"/>
      <c r="I91" s="8">
        <f>PRODUCT(F91,G91)</f>
      </c>
    </row>
    <row r="93" ht="12.75">
      <c r="A93" s="5"/>
      <c r="B93" s="5" t="s">
        <v>102</v>
      </c>
    </row>
    <row r="94" ht="12.75">
      <c r="A94" s="4"/>
      <c r="B94" s="4" t="s">
        <v>11</v>
      </c>
      <c r="C94" s="4"/>
      <c r="D94" s="4" t="s">
        <v>12</v>
      </c>
      <c r="E94" s="4"/>
      <c r="G94" s="4"/>
      <c r="H94" s="4"/>
    </row>
    <row r="95" ht="12.75">
      <c r="A95" s="4"/>
      <c r="B95" s="4" t="s">
        <v>103</v>
      </c>
      <c r="C95" s="4"/>
      <c r="D95" s="4" t="s">
        <v>14</v>
      </c>
      <c r="E95" s="4"/>
      <c r="G95" s="4"/>
      <c r="H95" s="4"/>
    </row>
    <row r="96" ht="12.75">
      <c r="A96" s="4"/>
      <c r="B96" s="4" t="s">
        <v>15</v>
      </c>
      <c r="C96" s="4"/>
      <c r="D96" s="4" t="s">
        <v>14</v>
      </c>
      <c r="E96" s="4"/>
      <c r="G96" s="4"/>
      <c r="H96" s="4"/>
    </row>
    <row r="97" ht="12.75">
      <c r="A97" s="4"/>
      <c r="B97" s="4" t="s">
        <v>16</v>
      </c>
      <c r="C97" s="4"/>
      <c r="D97" s="4" t="s">
        <v>12</v>
      </c>
      <c r="E97" s="4"/>
      <c r="G97" s="4"/>
      <c r="H97" s="4"/>
    </row>
    <row r="98" ht="12.75">
      <c r="A98" s="4"/>
      <c r="B98" s="4"/>
      <c r="C98" s="4"/>
      <c r="D98" s="4"/>
      <c r="E98" s="4"/>
      <c r="G98" s="4"/>
      <c r="H98" s="4"/>
    </row>
    <row r="99" ht="12.75">
      <c r="A99" s="4"/>
      <c r="B99" s="4" t="s">
        <v>20</v>
      </c>
      <c r="C99" s="4"/>
      <c r="D99" s="4" t="s">
        <v>12</v>
      </c>
      <c r="E99" s="4"/>
      <c r="G99" s="4"/>
      <c r="H99" s="4"/>
    </row>
    <row r="100" ht="12.75">
      <c r="A100" s="4"/>
      <c r="B100" s="4" t="s">
        <v>21</v>
      </c>
      <c r="C100" s="4"/>
      <c r="D100" s="4" t="s">
        <v>22</v>
      </c>
      <c r="E100" s="4"/>
      <c r="G100" s="4"/>
      <c r="H100" s="4"/>
    </row>
    <row r="101" ht="12.75">
      <c r="A101" s="4"/>
      <c r="B101" s="4" t="s">
        <v>104</v>
      </c>
      <c r="C101" s="4"/>
      <c r="D101" s="4" t="s">
        <v>14</v>
      </c>
      <c r="E101" s="4"/>
      <c r="G101" s="4"/>
      <c r="H101" s="4"/>
    </row>
    <row r="102" ht="12.75">
      <c r="A102" s="4"/>
      <c r="B102" s="4" t="s">
        <v>24</v>
      </c>
      <c r="C102" s="4"/>
      <c r="D102" s="4" t="s">
        <v>14</v>
      </c>
      <c r="E102" s="4"/>
      <c r="G102" s="4"/>
      <c r="H102" s="4"/>
    </row>
    <row r="103" ht="12.75">
      <c r="A103" s="4"/>
      <c r="B103" s="4" t="s">
        <v>105</v>
      </c>
      <c r="C103" s="4"/>
      <c r="D103" s="4" t="s">
        <v>14</v>
      </c>
      <c r="E103" s="4"/>
      <c r="G103" s="4"/>
      <c r="H103" s="4"/>
    </row>
    <row r="104" ht="12.75">
      <c r="A104" s="4"/>
      <c r="B104" s="4" t="s">
        <v>106</v>
      </c>
      <c r="C104" s="4"/>
      <c r="D104" s="4" t="s">
        <v>14</v>
      </c>
      <c r="E104" s="4"/>
      <c r="G104" s="4"/>
      <c r="H104" s="4"/>
    </row>
    <row r="105" ht="12.75">
      <c r="A105" s="4"/>
      <c r="B105" s="4" t="s">
        <v>28</v>
      </c>
      <c r="C105" s="4"/>
      <c r="D105" s="4" t="s">
        <v>14</v>
      </c>
      <c r="E105" s="4"/>
      <c r="G105" s="4"/>
      <c r="H105" s="4"/>
    </row>
    <row r="106" ht="12.75">
      <c r="A106" s="4"/>
      <c r="B106" s="4" t="s">
        <v>30</v>
      </c>
      <c r="C106" s="4"/>
      <c r="D106" s="4" t="s">
        <v>14</v>
      </c>
      <c r="E106" s="4"/>
      <c r="G106" s="4"/>
      <c r="H106" s="4"/>
    </row>
    <row r="107" ht="12.75">
      <c r="A107" s="4"/>
      <c r="B107" s="4" t="s">
        <v>33</v>
      </c>
      <c r="C107" s="4"/>
      <c r="D107" s="4" t="s">
        <v>14</v>
      </c>
      <c r="E107" s="4"/>
      <c r="G107" s="4"/>
      <c r="H107" s="4"/>
    </row>
    <row r="108" ht="12.75">
      <c r="A108" s="4"/>
      <c r="B108" s="4" t="s">
        <v>107</v>
      </c>
      <c r="C108" s="4"/>
      <c r="D108" s="4" t="s">
        <v>14</v>
      </c>
      <c r="E108" s="4"/>
      <c r="G108" s="4"/>
      <c r="H108" s="4"/>
    </row>
    <row r="109" ht="12.75">
      <c r="A109" s="4"/>
      <c r="B109" s="4" t="s">
        <v>34</v>
      </c>
      <c r="C109" s="4"/>
      <c r="D109" s="4" t="s">
        <v>12</v>
      </c>
      <c r="E109" s="4"/>
      <c r="G109" s="4"/>
      <c r="H109" s="4"/>
    </row>
    <row r="110" ht="12.75">
      <c r="A110" s="4"/>
      <c r="B110" s="4" t="s">
        <v>35</v>
      </c>
      <c r="C110" s="7">
        <v>1</v>
      </c>
      <c r="D110" s="4" t="s">
        <v>36</v>
      </c>
      <c r="E110" s="4"/>
      <c r="G110" s="4"/>
      <c r="H110" s="4"/>
    </row>
    <row r="111" ht="12.75">
      <c r="A111" s="4"/>
      <c r="B111" s="4" t="s">
        <v>37</v>
      </c>
      <c r="C111" s="7">
        <v>1</v>
      </c>
      <c r="D111" s="4" t="s">
        <v>36</v>
      </c>
      <c r="E111" s="4"/>
      <c r="G111" s="4"/>
      <c r="H111" s="4"/>
    </row>
    <row r="112" ht="12.75">
      <c r="A112" s="4"/>
      <c r="B112" s="4" t="s">
        <v>42</v>
      </c>
      <c r="C112" s="7">
        <v>1</v>
      </c>
      <c r="D112" s="4" t="s">
        <v>36</v>
      </c>
      <c r="E112" s="4"/>
      <c r="G112" s="4"/>
      <c r="H112" s="4"/>
    </row>
    <row r="113" ht="12.75">
      <c r="A113" s="4"/>
      <c r="B113" s="4" t="s">
        <v>39</v>
      </c>
      <c r="C113" s="7">
        <v>1</v>
      </c>
      <c r="D113" s="4" t="s">
        <v>36</v>
      </c>
      <c r="E113" s="4"/>
      <c r="G113" s="4"/>
      <c r="H113" s="4"/>
    </row>
    <row r="114" ht="12.75">
      <c r="A114" s="4"/>
      <c r="B114" s="4" t="s">
        <v>108</v>
      </c>
      <c r="C114" s="7">
        <v>1</v>
      </c>
      <c r="D114" s="4" t="s">
        <v>36</v>
      </c>
      <c r="E114" s="4"/>
      <c r="G114" s="4"/>
      <c r="H114" s="4"/>
    </row>
    <row r="115" ht="12.75">
      <c r="A115" s="4"/>
      <c r="B115" s="4" t="s">
        <v>109</v>
      </c>
      <c r="C115" s="7">
        <v>1</v>
      </c>
      <c r="D115" s="4" t="s">
        <v>36</v>
      </c>
      <c r="E115" s="4"/>
      <c r="G115" s="4"/>
      <c r="H115" s="4"/>
    </row>
    <row r="116" ht="12.75">
      <c r="A116" s="4"/>
      <c r="B116" s="4" t="s">
        <v>110</v>
      </c>
      <c r="C116" s="7">
        <v>1</v>
      </c>
      <c r="D116" s="4" t="s">
        <v>36</v>
      </c>
      <c r="E116" s="4"/>
      <c r="G116" s="4"/>
      <c r="H116" s="4"/>
    </row>
    <row r="117" ht="12.75">
      <c r="A117" s="4"/>
      <c r="B117" s="4" t="s">
        <v>111</v>
      </c>
      <c r="C117" s="7">
        <v>1</v>
      </c>
      <c r="D117" s="4" t="s">
        <v>36</v>
      </c>
      <c r="E117" s="4"/>
      <c r="G117" s="4"/>
      <c r="H117" s="4"/>
    </row>
    <row r="118" ht="12.75">
      <c r="A118" s="4"/>
      <c r="B118" s="4" t="s">
        <v>112</v>
      </c>
      <c r="C118" s="7">
        <v>1</v>
      </c>
      <c r="D118" s="4" t="s">
        <v>36</v>
      </c>
      <c r="E118" s="4"/>
      <c r="G118" s="4"/>
      <c r="H118" s="4"/>
    </row>
    <row r="119" ht="12.75">
      <c r="A119" s="4"/>
      <c r="B119" s="4" t="s">
        <v>54</v>
      </c>
      <c r="C119" s="4"/>
      <c r="D119" s="4" t="s">
        <v>12</v>
      </c>
      <c r="E119" s="4"/>
      <c r="G119" s="4"/>
      <c r="H119" s="4"/>
    </row>
    <row r="120" ht="12.75">
      <c r="A120" s="4"/>
      <c r="B120" s="4"/>
      <c r="C120" s="4"/>
      <c r="D120" s="4" t="s">
        <v>14</v>
      </c>
      <c r="E120" s="4"/>
      <c r="G120" s="4"/>
      <c r="H120" s="4"/>
    </row>
    <row r="121" ht="12.75">
      <c r="A121" s="4"/>
      <c r="B121" s="4"/>
      <c r="C121" s="4"/>
      <c r="D121" s="4" t="s">
        <v>113</v>
      </c>
      <c r="E121" s="4"/>
      <c r="G121" s="4"/>
      <c r="H121" s="4"/>
    </row>
    <row r="122" ht="12.75">
      <c r="A122" s="4"/>
      <c r="B122" s="4" t="s">
        <v>114</v>
      </c>
      <c r="C122" s="4"/>
      <c r="D122" s="4" t="s">
        <v>12</v>
      </c>
      <c r="E122" s="4"/>
      <c r="G122" s="4"/>
      <c r="H122" s="4"/>
    </row>
    <row r="123" ht="12.75">
      <c r="A123" s="4"/>
      <c r="B123" s="4" t="s">
        <v>115</v>
      </c>
      <c r="C123" s="4"/>
      <c r="D123" s="4" t="s">
        <v>22</v>
      </c>
      <c r="E123" s="4"/>
      <c r="G123" s="4"/>
      <c r="H123" s="4"/>
    </row>
    <row r="124" ht="12.75">
      <c r="A124" s="4"/>
      <c r="B124" s="4" t="s">
        <v>116</v>
      </c>
      <c r="C124" s="4"/>
      <c r="D124" s="4" t="s">
        <v>71</v>
      </c>
      <c r="E124" s="4"/>
      <c r="G124" s="4"/>
      <c r="H124" s="4"/>
    </row>
    <row r="125" ht="12.75">
      <c r="A125" s="4"/>
      <c r="B125" s="4" t="s">
        <v>117</v>
      </c>
      <c r="C125" s="4"/>
      <c r="D125" s="4" t="s">
        <v>69</v>
      </c>
      <c r="E125" s="4"/>
      <c r="G125" s="4"/>
      <c r="H125" s="4"/>
    </row>
    <row r="126" ht="12.75">
      <c r="A126" s="4"/>
      <c r="B126" s="4" t="s">
        <v>118</v>
      </c>
      <c r="C126" s="4"/>
      <c r="D126" s="4" t="s">
        <v>119</v>
      </c>
      <c r="E126" s="4"/>
      <c r="G126" s="4"/>
      <c r="H126" s="4"/>
    </row>
    <row r="127" ht="12.75">
      <c r="A127" s="4"/>
      <c r="B127" s="4" t="s">
        <v>120</v>
      </c>
      <c r="C127" s="4"/>
      <c r="D127" s="4" t="s">
        <v>69</v>
      </c>
      <c r="E127" s="4"/>
      <c r="G127" s="4"/>
      <c r="H127" s="4"/>
    </row>
    <row r="128" ht="12.75">
      <c r="A128" s="4"/>
      <c r="B128" s="4" t="s">
        <v>121</v>
      </c>
      <c r="C128" s="4"/>
      <c r="D128" s="4" t="s">
        <v>22</v>
      </c>
      <c r="E128" s="4"/>
      <c r="G128" s="4"/>
      <c r="H128" s="4"/>
    </row>
    <row r="129" ht="12.75">
      <c r="A129" s="4"/>
      <c r="B129" s="4" t="s">
        <v>122</v>
      </c>
      <c r="C129" s="4"/>
      <c r="D129" s="4" t="s">
        <v>69</v>
      </c>
      <c r="E129" s="4"/>
      <c r="G129" s="4"/>
      <c r="H129" s="4"/>
    </row>
    <row r="130" ht="12.75">
      <c r="A130" s="4"/>
      <c r="B130" s="4" t="s">
        <v>123</v>
      </c>
      <c r="C130" s="4"/>
      <c r="D130" s="4" t="s">
        <v>69</v>
      </c>
      <c r="E130" s="4"/>
      <c r="G130" s="4"/>
      <c r="H130" s="4"/>
    </row>
    <row r="131" ht="12.75">
      <c r="A131" s="4"/>
      <c r="B131" s="4" t="s">
        <v>96</v>
      </c>
      <c r="C131" s="4"/>
      <c r="D131" s="4" t="s">
        <v>22</v>
      </c>
      <c r="E131" s="4"/>
      <c r="G131" s="4"/>
      <c r="H131" s="4"/>
    </row>
    <row r="132" ht="12.75">
      <c r="A132" s="4"/>
      <c r="B132" s="4" t="s">
        <v>124</v>
      </c>
      <c r="C132" s="4"/>
      <c r="D132" s="4" t="s">
        <v>71</v>
      </c>
      <c r="E132" s="4"/>
      <c r="G132" s="4"/>
      <c r="H132" s="4"/>
    </row>
    <row r="133" ht="12.75">
      <c r="A133" s="4"/>
      <c r="B133" s="4" t="s">
        <v>125</v>
      </c>
      <c r="C133" s="4"/>
      <c r="D133" s="4" t="s">
        <v>12</v>
      </c>
      <c r="E133" s="4"/>
      <c r="G133" s="4"/>
      <c r="H133" s="4"/>
    </row>
    <row r="134" ht="12.75">
      <c r="A134" s="4"/>
      <c r="B134" s="4" t="s">
        <v>126</v>
      </c>
      <c r="C134" s="4"/>
      <c r="D134" s="4" t="s">
        <v>22</v>
      </c>
      <c r="E134" s="4"/>
      <c r="G134" s="4"/>
      <c r="H134" s="4"/>
    </row>
    <row r="135" ht="12.75">
      <c r="A135" s="4"/>
      <c r="B135" s="4" t="s">
        <v>127</v>
      </c>
      <c r="C135" s="4"/>
      <c r="D135" s="4" t="s">
        <v>64</v>
      </c>
      <c r="E135" s="4"/>
      <c r="G135" s="4"/>
      <c r="H135" s="4"/>
    </row>
    <row r="136" ht="12.75">
      <c r="A136" s="4"/>
      <c r="B136" s="4" t="s">
        <v>128</v>
      </c>
      <c r="C136" s="4"/>
      <c r="D136" s="4" t="s">
        <v>64</v>
      </c>
      <c r="E136" s="4"/>
      <c r="G136" s="4"/>
      <c r="H136" s="4"/>
    </row>
    <row r="137" ht="12.75">
      <c r="A137" s="4"/>
      <c r="B137" s="4" t="s">
        <v>129</v>
      </c>
      <c r="C137" s="4"/>
      <c r="D137" s="4" t="s">
        <v>64</v>
      </c>
      <c r="E137" s="4"/>
      <c r="G137" s="4"/>
      <c r="H137" s="4"/>
    </row>
    <row r="138" ht="12.75">
      <c r="A138" s="4"/>
      <c r="B138" s="4" t="s">
        <v>130</v>
      </c>
      <c r="C138" s="4"/>
      <c r="D138" s="4" t="s">
        <v>64</v>
      </c>
      <c r="E138" s="4"/>
      <c r="G138" s="4"/>
      <c r="H138" s="4"/>
    </row>
    <row r="139" ht="12.75">
      <c r="A139" s="4"/>
      <c r="B139" s="4" t="s">
        <v>131</v>
      </c>
      <c r="C139" s="4"/>
      <c r="D139" s="4" t="s">
        <v>22</v>
      </c>
      <c r="E139" s="4"/>
      <c r="G139" s="4"/>
      <c r="H139" s="4"/>
    </row>
    <row r="140" ht="12.75">
      <c r="A140" s="4"/>
      <c r="B140" s="4" t="s">
        <v>127</v>
      </c>
      <c r="C140" s="4"/>
      <c r="D140" s="4" t="s">
        <v>64</v>
      </c>
      <c r="E140" s="4"/>
      <c r="G140" s="4"/>
      <c r="H140" s="4"/>
    </row>
    <row r="141" ht="12.75">
      <c r="A141" s="4"/>
      <c r="B141" s="4" t="s">
        <v>128</v>
      </c>
      <c r="C141" s="4"/>
      <c r="D141" s="4" t="s">
        <v>64</v>
      </c>
      <c r="E141" s="4"/>
      <c r="G141" s="4"/>
      <c r="H141" s="4"/>
    </row>
    <row r="142" ht="12.75">
      <c r="A142" s="4"/>
      <c r="B142" s="4" t="s">
        <v>129</v>
      </c>
      <c r="C142" s="4"/>
      <c r="D142" s="4" t="s">
        <v>64</v>
      </c>
      <c r="E142" s="4"/>
      <c r="G142" s="4"/>
      <c r="H142" s="4"/>
    </row>
    <row r="143" ht="12.75">
      <c r="A143" s="4"/>
      <c r="B143" s="4" t="s">
        <v>132</v>
      </c>
      <c r="C143" s="4"/>
      <c r="D143" s="4" t="s">
        <v>66</v>
      </c>
      <c r="E143" s="4"/>
      <c r="G143" s="4"/>
      <c r="H143" s="4"/>
    </row>
    <row r="144" ht="12.75">
      <c r="A144" s="4"/>
      <c r="B144" s="4" t="s">
        <v>133</v>
      </c>
      <c r="C144" s="4"/>
      <c r="D144" s="4" t="s">
        <v>69</v>
      </c>
      <c r="E144" s="4"/>
      <c r="G144" s="4"/>
      <c r="H144" s="4"/>
    </row>
    <row r="145" ht="12.75">
      <c r="A145" s="4"/>
      <c r="B145" s="4" t="s">
        <v>134</v>
      </c>
      <c r="C145" s="4"/>
      <c r="D145" s="4" t="s">
        <v>64</v>
      </c>
      <c r="E145" s="4"/>
      <c r="G145" s="4"/>
      <c r="H145" s="4"/>
    </row>
    <row r="146" ht="12.75">
      <c r="A146" s="4"/>
      <c r="B146" s="4" t="s">
        <v>135</v>
      </c>
      <c r="C146" s="4"/>
      <c r="D146" s="4" t="s">
        <v>64</v>
      </c>
      <c r="E146" s="4"/>
      <c r="G146" s="4"/>
      <c r="H146" s="4"/>
    </row>
    <row r="147" ht="12.75">
      <c r="A147" s="4"/>
      <c r="B147" s="4" t="s">
        <v>136</v>
      </c>
      <c r="C147" s="4"/>
      <c r="D147" s="4" t="s">
        <v>137</v>
      </c>
      <c r="E147" s="4"/>
      <c r="G147" s="4"/>
      <c r="H147" s="4"/>
    </row>
    <row r="148" ht="12.75">
      <c r="A148" s="4"/>
      <c r="B148" s="4" t="s">
        <v>138</v>
      </c>
      <c r="C148" s="4"/>
      <c r="D148" s="4" t="s">
        <v>64</v>
      </c>
      <c r="E148" s="4"/>
      <c r="G148" s="4"/>
      <c r="H148" s="4"/>
    </row>
    <row r="149" ht="12.75">
      <c r="A149" s="4"/>
      <c r="B149" s="4" t="s">
        <v>139</v>
      </c>
      <c r="C149" s="4"/>
      <c r="D149" s="4" t="s">
        <v>22</v>
      </c>
      <c r="E149" s="4"/>
      <c r="G149" s="4"/>
      <c r="H149" s="4"/>
    </row>
    <row r="150" ht="12.75">
      <c r="A150" s="4"/>
      <c r="B150" s="4" t="s">
        <v>127</v>
      </c>
      <c r="C150" s="4"/>
      <c r="D150" s="4" t="s">
        <v>64</v>
      </c>
      <c r="E150" s="4"/>
      <c r="G150" s="4"/>
      <c r="H150" s="4"/>
    </row>
    <row r="151" ht="12.75">
      <c r="A151" s="4"/>
      <c r="B151" s="4" t="s">
        <v>128</v>
      </c>
      <c r="C151" s="4"/>
      <c r="D151" s="4" t="s">
        <v>64</v>
      </c>
      <c r="E151" s="4"/>
      <c r="G151" s="4"/>
      <c r="H151" s="4"/>
    </row>
    <row r="152" ht="12.75">
      <c r="A152" s="4"/>
      <c r="B152" s="4" t="s">
        <v>129</v>
      </c>
      <c r="C152" s="4"/>
      <c r="D152" s="4" t="s">
        <v>64</v>
      </c>
      <c r="E152" s="4"/>
      <c r="G152" s="4"/>
      <c r="H152" s="4"/>
    </row>
    <row r="153" ht="12.75">
      <c r="A153" s="4"/>
      <c r="B153" s="4" t="s">
        <v>132</v>
      </c>
      <c r="C153" s="4"/>
      <c r="D153" s="4" t="s">
        <v>66</v>
      </c>
      <c r="E153" s="4"/>
      <c r="G153" s="4"/>
      <c r="H153" s="4"/>
    </row>
    <row r="154" ht="12.75">
      <c r="A154" s="4"/>
      <c r="B154" s="4" t="s">
        <v>133</v>
      </c>
      <c r="C154" s="4"/>
      <c r="D154" s="4" t="s">
        <v>69</v>
      </c>
      <c r="E154" s="4"/>
      <c r="G154" s="4"/>
      <c r="H154" s="4"/>
    </row>
    <row r="155" ht="12.75">
      <c r="A155" s="4"/>
      <c r="B155" s="4" t="s">
        <v>134</v>
      </c>
      <c r="C155" s="4"/>
      <c r="D155" s="4" t="s">
        <v>64</v>
      </c>
      <c r="E155" s="4"/>
      <c r="G155" s="4"/>
      <c r="H155" s="4"/>
    </row>
    <row r="156" ht="12.75">
      <c r="A156" s="4"/>
      <c r="B156" s="4" t="s">
        <v>135</v>
      </c>
      <c r="C156" s="4"/>
      <c r="D156" s="4" t="s">
        <v>64</v>
      </c>
      <c r="E156" s="4"/>
      <c r="G156" s="4"/>
      <c r="H156" s="4"/>
    </row>
    <row r="157" ht="12.75">
      <c r="A157" s="4"/>
      <c r="B157" s="4" t="s">
        <v>136</v>
      </c>
      <c r="C157" s="4"/>
      <c r="D157" s="4" t="s">
        <v>137</v>
      </c>
      <c r="E157" s="4"/>
      <c r="G157" s="4"/>
      <c r="H157" s="4"/>
    </row>
    <row r="158" ht="12.75">
      <c r="A158" s="4"/>
      <c r="B158" s="4" t="s">
        <v>138</v>
      </c>
      <c r="C158" s="4"/>
      <c r="D158" s="4" t="s">
        <v>64</v>
      </c>
      <c r="E158" s="4"/>
      <c r="G158" s="4"/>
      <c r="H158" s="4"/>
    </row>
    <row r="159" ht="12.75">
      <c r="A159" s="4"/>
      <c r="B159" s="4" t="s">
        <v>140</v>
      </c>
      <c r="C159" s="4"/>
      <c r="D159" s="4" t="s">
        <v>22</v>
      </c>
      <c r="E159" s="4"/>
      <c r="G159" s="4"/>
      <c r="H159" s="4"/>
    </row>
    <row r="160" ht="12.75">
      <c r="A160" s="4"/>
      <c r="B160" s="4" t="s">
        <v>141</v>
      </c>
      <c r="C160" s="4"/>
      <c r="D160" s="4" t="s">
        <v>69</v>
      </c>
      <c r="E160" s="4"/>
      <c r="G160" s="4"/>
      <c r="H160" s="4"/>
    </row>
    <row r="161" ht="12.75">
      <c r="A161" s="4"/>
      <c r="B161" s="4" t="s">
        <v>142</v>
      </c>
      <c r="C161" s="4"/>
      <c r="D161" s="4" t="s">
        <v>69</v>
      </c>
      <c r="E161" s="4"/>
      <c r="G161" s="4"/>
      <c r="H161" s="4"/>
    </row>
    <row r="162" ht="12.75">
      <c r="A162" s="4"/>
      <c r="B162" s="4" t="s">
        <v>143</v>
      </c>
      <c r="C162" s="4"/>
      <c r="D162" s="4" t="s">
        <v>69</v>
      </c>
      <c r="E162" s="4"/>
      <c r="G162" s="4"/>
      <c r="H162" s="4"/>
    </row>
    <row r="163" ht="12.75">
      <c r="A163" s="4"/>
      <c r="B163" s="4" t="s">
        <v>144</v>
      </c>
      <c r="C163" s="4"/>
      <c r="D163" s="4" t="s">
        <v>22</v>
      </c>
      <c r="E163" s="4"/>
      <c r="G163" s="4"/>
      <c r="H163" s="4"/>
    </row>
    <row r="164" ht="12.75">
      <c r="A164" s="4"/>
      <c r="B164" s="4" t="s">
        <v>145</v>
      </c>
      <c r="C164" s="4"/>
      <c r="D164" s="4" t="s">
        <v>69</v>
      </c>
      <c r="E164" s="4"/>
      <c r="G164" s="4"/>
      <c r="H164" s="4"/>
    </row>
    <row r="165" ht="12.75">
      <c r="A165" s="4"/>
      <c r="B165" s="4" t="s">
        <v>146</v>
      </c>
      <c r="C165" s="4"/>
      <c r="D165" s="4" t="s">
        <v>69</v>
      </c>
      <c r="E165" s="4"/>
      <c r="G165" s="4"/>
      <c r="H165" s="4"/>
    </row>
    <row r="166" ht="12.75">
      <c r="A166" s="4"/>
      <c r="B166" s="4" t="s">
        <v>147</v>
      </c>
      <c r="C166" s="4"/>
      <c r="D166" s="4" t="s">
        <v>22</v>
      </c>
      <c r="E166" s="4"/>
      <c r="G166" s="4"/>
      <c r="H166" s="4"/>
    </row>
    <row r="167" ht="12.75">
      <c r="A167" s="4"/>
      <c r="B167" s="4" t="s">
        <v>148</v>
      </c>
      <c r="C167" s="4"/>
      <c r="D167" s="4" t="s">
        <v>69</v>
      </c>
      <c r="E167" s="4"/>
      <c r="G167" s="4"/>
      <c r="H167" s="4"/>
    </row>
    <row r="168" ht="12.75">
      <c r="A168" s="4"/>
      <c r="B168" s="4" t="s">
        <v>149</v>
      </c>
      <c r="C168" s="4"/>
      <c r="D168" s="4" t="s">
        <v>69</v>
      </c>
      <c r="E168" s="4"/>
      <c r="G168" s="4"/>
      <c r="H168" s="4"/>
    </row>
    <row r="169" ht="12.75">
      <c r="A169" s="4"/>
      <c r="B169" s="4" t="s">
        <v>150</v>
      </c>
      <c r="C169" s="4"/>
      <c r="D169" s="4" t="s">
        <v>64</v>
      </c>
      <c r="E169" s="4"/>
      <c r="G169" s="4"/>
      <c r="H169" s="4"/>
    </row>
    <row r="170" ht="12.75">
      <c r="A170" s="4"/>
      <c r="B170" s="4" t="s">
        <v>151</v>
      </c>
      <c r="C170" s="4"/>
      <c r="D170" s="4" t="s">
        <v>71</v>
      </c>
      <c r="E170" s="4"/>
      <c r="G170" s="4"/>
      <c r="H170" s="4"/>
    </row>
    <row r="171" ht="12.75">
      <c r="A171" s="4"/>
      <c r="B171" s="4" t="s">
        <v>152</v>
      </c>
      <c r="C171" s="4"/>
      <c r="D171" s="4" t="s">
        <v>71</v>
      </c>
      <c r="E171" s="4"/>
      <c r="G171" s="4"/>
      <c r="H171" s="4"/>
    </row>
    <row r="172" ht="12.75">
      <c r="A172" s="4"/>
      <c r="B172" s="4" t="s">
        <v>153</v>
      </c>
      <c r="C172" s="4"/>
      <c r="D172" s="4" t="s">
        <v>71</v>
      </c>
      <c r="E172" s="4"/>
      <c r="G172" s="4"/>
      <c r="H172" s="4"/>
    </row>
    <row r="173" ht="12.75">
      <c r="A173" s="4"/>
      <c r="B173" s="4" t="s">
        <v>154</v>
      </c>
      <c r="C173" s="4"/>
      <c r="D173" s="4" t="s">
        <v>12</v>
      </c>
      <c r="E173" s="4"/>
      <c r="G173" s="4"/>
      <c r="H173" s="4"/>
    </row>
    <row r="174" ht="12.75">
      <c r="A174" s="4"/>
      <c r="B174" s="4" t="s">
        <v>155</v>
      </c>
      <c r="C174" s="4"/>
      <c r="D174" s="4" t="s">
        <v>22</v>
      </c>
      <c r="E174" s="4"/>
      <c r="G174" s="4"/>
      <c r="H174" s="4"/>
    </row>
    <row r="175" ht="12.75">
      <c r="A175" s="4"/>
      <c r="B175" s="4" t="s">
        <v>156</v>
      </c>
      <c r="C175" s="4"/>
      <c r="D175" s="4" t="s">
        <v>66</v>
      </c>
      <c r="E175" s="4"/>
      <c r="G175" s="4"/>
      <c r="H175" s="4"/>
    </row>
    <row r="176" ht="12.75">
      <c r="A176" s="4"/>
      <c r="B176" s="4" t="s">
        <v>157</v>
      </c>
      <c r="C176" s="4"/>
      <c r="D176" s="4" t="s">
        <v>64</v>
      </c>
      <c r="E176" s="4"/>
      <c r="G176" s="4"/>
      <c r="H176" s="4"/>
    </row>
    <row r="177" ht="12.75">
      <c r="A177" s="4"/>
      <c r="B177" s="4" t="s">
        <v>158</v>
      </c>
      <c r="C177" s="4"/>
      <c r="D177" s="4" t="s">
        <v>137</v>
      </c>
      <c r="E177" s="4"/>
      <c r="G177" s="4"/>
      <c r="H177" s="4"/>
    </row>
    <row r="178" ht="12.75">
      <c r="A178" s="4"/>
      <c r="B178" s="4" t="s">
        <v>159</v>
      </c>
      <c r="C178" s="4"/>
      <c r="D178" s="4" t="s">
        <v>66</v>
      </c>
      <c r="E178" s="4"/>
      <c r="G178" s="4"/>
      <c r="H178" s="4"/>
    </row>
    <row r="179" ht="12.75">
      <c r="A179" s="4"/>
      <c r="B179" s="4" t="s">
        <v>160</v>
      </c>
      <c r="C179" s="4"/>
      <c r="D179" s="4" t="s">
        <v>64</v>
      </c>
      <c r="E179" s="4"/>
      <c r="G179" s="4"/>
      <c r="H179" s="4"/>
    </row>
    <row r="180" ht="12.75">
      <c r="A180" s="4"/>
      <c r="B180" s="4" t="s">
        <v>161</v>
      </c>
      <c r="C180" s="4"/>
      <c r="D180" s="4" t="s">
        <v>137</v>
      </c>
      <c r="E180" s="4"/>
      <c r="G180" s="4"/>
      <c r="H180" s="4"/>
    </row>
    <row r="181" ht="12.75">
      <c r="A181" s="4"/>
      <c r="B181" s="4" t="s">
        <v>162</v>
      </c>
      <c r="C181" s="4"/>
      <c r="D181" s="4" t="s">
        <v>64</v>
      </c>
      <c r="E181" s="4"/>
      <c r="G181" s="4"/>
      <c r="H181" s="4"/>
    </row>
    <row r="182" ht="12.75">
      <c r="A182" s="4"/>
      <c r="B182" s="4" t="s">
        <v>163</v>
      </c>
      <c r="C182" s="4"/>
      <c r="D182" s="4" t="s">
        <v>22</v>
      </c>
      <c r="E182" s="4"/>
      <c r="G182" s="4"/>
      <c r="H182" s="4"/>
    </row>
    <row r="183" ht="12.75">
      <c r="A183" s="4"/>
      <c r="B183" s="4" t="s">
        <v>156</v>
      </c>
      <c r="C183" s="4"/>
      <c r="D183" s="4" t="s">
        <v>66</v>
      </c>
      <c r="E183" s="4"/>
      <c r="G183" s="4"/>
      <c r="H183" s="4"/>
    </row>
    <row r="184" ht="12.75">
      <c r="A184" s="4"/>
      <c r="B184" s="4" t="s">
        <v>164</v>
      </c>
      <c r="C184" s="4"/>
      <c r="D184" s="4" t="s">
        <v>64</v>
      </c>
      <c r="E184" s="4"/>
      <c r="G184" s="4"/>
      <c r="H184" s="4"/>
    </row>
    <row r="185" ht="12.75">
      <c r="A185" s="4"/>
      <c r="B185" s="4" t="s">
        <v>158</v>
      </c>
      <c r="C185" s="4"/>
      <c r="D185" s="4" t="s">
        <v>137</v>
      </c>
      <c r="E185" s="4"/>
      <c r="G185" s="4"/>
      <c r="H185" s="4"/>
    </row>
    <row r="186" ht="12.75">
      <c r="A186" s="4"/>
      <c r="B186" s="4" t="s">
        <v>165</v>
      </c>
      <c r="C186" s="4"/>
      <c r="D186" s="4" t="s">
        <v>64</v>
      </c>
      <c r="E186" s="4"/>
      <c r="G186" s="4"/>
      <c r="H186" s="4"/>
    </row>
    <row r="187" ht="12.75">
      <c r="A187" s="4"/>
      <c r="B187" s="4" t="s">
        <v>166</v>
      </c>
      <c r="C187" s="4"/>
      <c r="D187" s="4" t="s">
        <v>66</v>
      </c>
      <c r="E187" s="4"/>
      <c r="G187" s="4"/>
      <c r="H187" s="4"/>
    </row>
    <row r="188" ht="12.75">
      <c r="A188" s="4"/>
      <c r="B188" s="4" t="s">
        <v>167</v>
      </c>
      <c r="C188" s="4"/>
      <c r="D188" s="4" t="s">
        <v>137</v>
      </c>
      <c r="E188" s="4"/>
      <c r="G188" s="4"/>
      <c r="H188" s="4"/>
    </row>
    <row r="189" ht="12.75">
      <c r="A189" s="4"/>
      <c r="B189" s="4" t="s">
        <v>168</v>
      </c>
      <c r="C189" s="4"/>
      <c r="D189" s="4" t="s">
        <v>69</v>
      </c>
      <c r="E189" s="4"/>
      <c r="G189" s="4"/>
      <c r="H189" s="4"/>
    </row>
    <row r="190" ht="12.75">
      <c r="A190" s="4"/>
      <c r="B190" s="4" t="s">
        <v>162</v>
      </c>
      <c r="C190" s="4"/>
      <c r="D190" s="4" t="s">
        <v>64</v>
      </c>
      <c r="E190" s="4"/>
      <c r="G190" s="4"/>
      <c r="H190" s="4"/>
    </row>
    <row r="191" ht="12.75">
      <c r="B191" s="5" t="s">
        <v>169</v>
      </c>
      <c r="C191" s="5"/>
      <c r="D191" s="5"/>
      <c r="E191" s="5"/>
      <c r="F191" s="8">
        <f>ROUNDUP(SUM(H94:H191),0)</f>
        <v>0</v>
      </c>
      <c r="G191" s="5"/>
      <c r="I191" s="8">
        <f>PRODUCT(F191,G191)</f>
      </c>
    </row>
    <row r="193" ht="12.75">
      <c r="A193" s="5"/>
      <c r="B193" s="5" t="s">
        <v>170</v>
      </c>
    </row>
    <row r="194" ht="12.75">
      <c r="A194" s="4"/>
      <c r="B194" s="4" t="s">
        <v>11</v>
      </c>
      <c r="C194" s="4"/>
      <c r="D194" s="4" t="s">
        <v>12</v>
      </c>
      <c r="E194" s="4"/>
      <c r="G194" s="4"/>
      <c r="H194" s="4"/>
    </row>
    <row r="195" ht="12.75">
      <c r="A195" s="4"/>
      <c r="B195" s="4" t="s">
        <v>13</v>
      </c>
      <c r="C195" s="4"/>
      <c r="D195" s="4" t="s">
        <v>14</v>
      </c>
      <c r="E195" s="4"/>
      <c r="G195" s="4"/>
      <c r="H195" s="4"/>
    </row>
    <row r="196" ht="12.75">
      <c r="A196" s="4"/>
      <c r="B196" s="4" t="s">
        <v>15</v>
      </c>
      <c r="C196" s="4"/>
      <c r="D196" s="4" t="s">
        <v>14</v>
      </c>
      <c r="E196" s="4"/>
      <c r="G196" s="4"/>
      <c r="H196" s="4"/>
    </row>
    <row r="197" ht="12.75">
      <c r="A197" s="4"/>
      <c r="B197" s="4" t="s">
        <v>171</v>
      </c>
      <c r="C197" s="4"/>
      <c r="D197" s="4" t="s">
        <v>14</v>
      </c>
      <c r="E197" s="4"/>
      <c r="G197" s="4"/>
      <c r="H197" s="4"/>
    </row>
    <row r="198" ht="12.75">
      <c r="A198" s="4"/>
      <c r="B198" s="4" t="s">
        <v>16</v>
      </c>
      <c r="C198" s="4"/>
      <c r="D198" s="4" t="s">
        <v>12</v>
      </c>
      <c r="E198" s="4"/>
      <c r="G198" s="4"/>
      <c r="H198" s="4"/>
    </row>
    <row r="199" ht="12.75">
      <c r="A199" s="4"/>
      <c r="B199" s="4"/>
      <c r="C199" s="4"/>
      <c r="D199" s="4"/>
      <c r="E199" s="4"/>
      <c r="G199" s="4"/>
      <c r="H199" s="4"/>
    </row>
    <row r="200" ht="12.75">
      <c r="A200" s="4"/>
      <c r="B200" s="4" t="s">
        <v>20</v>
      </c>
      <c r="C200" s="4"/>
      <c r="D200" s="4" t="s">
        <v>12</v>
      </c>
      <c r="E200" s="4"/>
      <c r="G200" s="4"/>
      <c r="H200" s="4"/>
    </row>
    <row r="201" ht="12.75">
      <c r="A201" s="4"/>
      <c r="B201" s="4" t="s">
        <v>21</v>
      </c>
      <c r="C201" s="4"/>
      <c r="D201" s="4" t="s">
        <v>22</v>
      </c>
      <c r="E201" s="4"/>
      <c r="G201" s="4"/>
      <c r="H201" s="4"/>
    </row>
    <row r="202" ht="12.75">
      <c r="A202" s="4"/>
      <c r="B202" s="4" t="s">
        <v>172</v>
      </c>
      <c r="C202" s="4"/>
      <c r="D202" s="4" t="s">
        <v>14</v>
      </c>
      <c r="E202" s="4"/>
      <c r="G202" s="4"/>
      <c r="H202" s="4"/>
    </row>
    <row r="203" ht="12.75">
      <c r="A203" s="4"/>
      <c r="B203" s="4" t="s">
        <v>173</v>
      </c>
      <c r="C203" s="4"/>
      <c r="D203" s="4" t="s">
        <v>14</v>
      </c>
      <c r="E203" s="4"/>
      <c r="G203" s="4"/>
      <c r="H203" s="4"/>
    </row>
    <row r="204" ht="12.75">
      <c r="A204" s="4"/>
      <c r="B204" s="4" t="s">
        <v>174</v>
      </c>
      <c r="C204" s="4"/>
      <c r="D204" s="4" t="s">
        <v>14</v>
      </c>
      <c r="E204" s="4"/>
      <c r="G204" s="4"/>
      <c r="H204" s="4"/>
    </row>
    <row r="205" ht="12.75">
      <c r="A205" s="4"/>
      <c r="B205" s="4" t="s">
        <v>175</v>
      </c>
      <c r="C205" s="4"/>
      <c r="D205" s="4" t="s">
        <v>14</v>
      </c>
      <c r="E205" s="4"/>
      <c r="G205" s="4"/>
      <c r="H205" s="4"/>
    </row>
    <row r="206" ht="12.75">
      <c r="A206" s="4"/>
      <c r="B206" s="4" t="s">
        <v>176</v>
      </c>
      <c r="C206" s="4"/>
      <c r="D206" s="4" t="s">
        <v>14</v>
      </c>
      <c r="E206" s="4"/>
      <c r="G206" s="4"/>
      <c r="H206" s="4"/>
    </row>
    <row r="207" ht="12.75">
      <c r="A207" s="4"/>
      <c r="B207" s="4" t="s">
        <v>177</v>
      </c>
      <c r="C207" s="4"/>
      <c r="D207" s="4" t="s">
        <v>14</v>
      </c>
      <c r="E207" s="4"/>
      <c r="G207" s="4"/>
      <c r="H207" s="4"/>
    </row>
    <row r="208" ht="12.75">
      <c r="A208" s="4"/>
      <c r="B208" s="4" t="s">
        <v>32</v>
      </c>
      <c r="C208" s="4"/>
      <c r="D208" s="4" t="s">
        <v>14</v>
      </c>
      <c r="E208" s="4"/>
      <c r="G208" s="4"/>
      <c r="H208" s="4"/>
    </row>
    <row r="209" ht="12.75">
      <c r="A209" s="4"/>
      <c r="B209" s="4" t="s">
        <v>178</v>
      </c>
      <c r="C209" s="4"/>
      <c r="D209" s="4" t="s">
        <v>14</v>
      </c>
      <c r="E209" s="4"/>
      <c r="G209" s="4"/>
      <c r="H209" s="4"/>
    </row>
    <row r="210" ht="12.75">
      <c r="A210" s="4"/>
      <c r="B210" s="4" t="s">
        <v>34</v>
      </c>
      <c r="C210" s="4"/>
      <c r="D210" s="4" t="s">
        <v>12</v>
      </c>
      <c r="E210" s="4"/>
      <c r="G210" s="4"/>
      <c r="H210" s="4"/>
    </row>
    <row r="211" ht="12.75">
      <c r="A211" s="4"/>
      <c r="B211" s="4" t="s">
        <v>179</v>
      </c>
      <c r="C211" s="7">
        <v>1</v>
      </c>
      <c r="D211" s="4" t="s">
        <v>36</v>
      </c>
      <c r="E211" s="4"/>
      <c r="G211" s="4"/>
      <c r="H211" s="4"/>
    </row>
    <row r="212" ht="12.75">
      <c r="A212" s="4"/>
      <c r="B212" s="4" t="s">
        <v>180</v>
      </c>
      <c r="C212" s="7">
        <v>1</v>
      </c>
      <c r="D212" s="4" t="s">
        <v>36</v>
      </c>
      <c r="E212" s="4"/>
      <c r="G212" s="4"/>
      <c r="H212" s="4"/>
    </row>
    <row r="213" ht="12.75">
      <c r="A213" s="4"/>
      <c r="B213" s="4" t="s">
        <v>181</v>
      </c>
      <c r="C213" s="7">
        <v>1</v>
      </c>
      <c r="D213" s="4" t="s">
        <v>36</v>
      </c>
      <c r="E213" s="4"/>
      <c r="G213" s="4"/>
      <c r="H213" s="4"/>
    </row>
    <row r="214" ht="12.75">
      <c r="A214" s="4"/>
      <c r="B214" s="4" t="s">
        <v>182</v>
      </c>
      <c r="C214" s="7">
        <v>1</v>
      </c>
      <c r="D214" s="4" t="s">
        <v>36</v>
      </c>
      <c r="E214" s="4"/>
      <c r="G214" s="4"/>
      <c r="H214" s="4"/>
    </row>
    <row r="215" ht="12.75">
      <c r="A215" s="4"/>
      <c r="B215" s="4" t="s">
        <v>183</v>
      </c>
      <c r="C215" s="7">
        <v>1</v>
      </c>
      <c r="D215" s="4" t="s">
        <v>36</v>
      </c>
      <c r="E215" s="4"/>
      <c r="G215" s="4"/>
      <c r="H215" s="4"/>
    </row>
    <row r="216" ht="12.75">
      <c r="A216" s="4"/>
      <c r="B216" s="4" t="s">
        <v>184</v>
      </c>
      <c r="C216" s="7">
        <v>1</v>
      </c>
      <c r="D216" s="4" t="s">
        <v>36</v>
      </c>
      <c r="E216" s="4"/>
      <c r="G216" s="4"/>
      <c r="H216" s="4"/>
    </row>
    <row r="217" ht="12.75">
      <c r="A217" s="4"/>
      <c r="B217" s="4" t="s">
        <v>35</v>
      </c>
      <c r="C217" s="7">
        <v>1</v>
      </c>
      <c r="D217" s="4" t="s">
        <v>36</v>
      </c>
      <c r="E217" s="4"/>
      <c r="G217" s="4"/>
      <c r="H217" s="4"/>
    </row>
    <row r="218" ht="12.75">
      <c r="A218" s="4"/>
      <c r="B218" s="4" t="s">
        <v>37</v>
      </c>
      <c r="C218" s="7">
        <v>1</v>
      </c>
      <c r="D218" s="4" t="s">
        <v>36</v>
      </c>
      <c r="E218" s="4"/>
      <c r="G218" s="4"/>
      <c r="H218" s="4"/>
    </row>
    <row r="219" ht="12.75">
      <c r="A219" s="4"/>
      <c r="B219" s="4" t="s">
        <v>185</v>
      </c>
      <c r="C219" s="7">
        <v>1</v>
      </c>
      <c r="D219" s="4" t="s">
        <v>36</v>
      </c>
      <c r="E219" s="4"/>
      <c r="G219" s="4"/>
      <c r="H219" s="4"/>
    </row>
    <row r="220" ht="12.75">
      <c r="A220" s="4"/>
      <c r="B220" s="4" t="s">
        <v>48</v>
      </c>
      <c r="C220" s="7">
        <v>1</v>
      </c>
      <c r="D220" s="4" t="s">
        <v>36</v>
      </c>
      <c r="E220" s="4"/>
      <c r="G220" s="4"/>
      <c r="H220" s="4"/>
    </row>
    <row r="221" ht="12.75">
      <c r="A221" s="4"/>
      <c r="B221" s="4" t="s">
        <v>43</v>
      </c>
      <c r="C221" s="7">
        <v>1</v>
      </c>
      <c r="D221" s="4" t="s">
        <v>36</v>
      </c>
      <c r="E221" s="4"/>
      <c r="G221" s="4"/>
      <c r="H221" s="4"/>
    </row>
    <row r="222" ht="12.75">
      <c r="A222" s="4"/>
      <c r="B222" s="4" t="s">
        <v>170</v>
      </c>
      <c r="C222" s="4"/>
      <c r="D222" s="4" t="s">
        <v>12</v>
      </c>
      <c r="E222" s="4"/>
      <c r="G222" s="4"/>
      <c r="H222" s="4"/>
    </row>
    <row r="223" ht="12.75">
      <c r="B223" s="5" t="s">
        <v>186</v>
      </c>
      <c r="C223" s="5"/>
      <c r="D223" s="5"/>
      <c r="E223" s="5"/>
      <c r="F223" s="8">
        <f>ROUNDUP(SUM(H194:H223),0)</f>
        <v>0</v>
      </c>
      <c r="G223" s="5"/>
      <c r="I223" s="8">
        <f>PRODUCT(F223,G223)</f>
      </c>
    </row>
    <row r="226" ht="12.75">
      <c r="B226" s="5" t="s">
        <v>187</v>
      </c>
      <c r="I226" s="8">
        <f>SUM(I5:I223)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